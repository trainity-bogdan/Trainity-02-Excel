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nzari" sheetId="1" state="visible" r:id="rId1"/>
    <sheet name="CONTACTE" sheetId="2" state="visible" r:id="rId2"/>
    <sheet name="tbl_Localitati" sheetId="3" state="visible" r:id="rId3"/>
    <sheet name="tbl_RegulriTVA" sheetId="4" state="visible" r:id="rId4"/>
    <sheet name="tbl_SarbatoriLegale" sheetId="5" state="visible" r:id="rId5"/>
    <sheet name="tbl_CodJudetCNP" sheetId="6" state="visible" r:id="rId6"/>
    <sheet name="_SEMNALIZARE" sheetId="7" state="visible" r:id="rId7"/>
    <sheet name="CLIENTI" sheetId="8" state="visible" r:id="rId8"/>
    <sheet name="PRODUSE" sheetId="9" state="visible" r:id="rId9"/>
    <sheet name="AGENTI" sheetId="10" state="visible" r:id="rId10"/>
    <sheet name="DEPOZITE" sheetId="11" state="visible" r:id="rId11"/>
    <sheet name="_README" sheetId="12" state="visible" r:id="rId12"/>
    <sheet name="CONTROL_FIN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sz val="14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4" fontId="3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49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bl_Vanzari" displayName="tbl_Vanzari" ref="A1:V2011" headerRowCount="1">
  <autoFilter ref="A1:V2011"/>
  <tableColumns count="22">
    <tableColumn id="1" name="nr_factura"/>
    <tableColumn id="2" name="data_factura"/>
    <tableColumn id="3" name="client_nume"/>
    <tableColumn id="4" name="judet"/>
    <tableColumn id="5" name="cod_produs"/>
    <tableColumn id="6" name="produs_nume"/>
    <tableColumn id="7" name="categorie"/>
    <tableColumn id="8" name="cantitate"/>
    <tableColumn id="9" name="pret_unitar"/>
    <tableColumn id="10" name="valoare_neta"/>
    <tableColumn id="11" name="cota_tva"/>
    <tableColumn id="12" name="valoare_tva"/>
    <tableColumn id="13" name="valoare_totala"/>
    <tableColumn id="14" name="moneda"/>
    <tableColumn id="15" name="oras"/>
    <tableColumn id="16" name="data_scadentei"/>
    <tableColumn id="17" name="flag_oras"/>
    <tableColumn id="18" name="flag_tva"/>
    <tableColumn id="19" name="flag_scadenta"/>
    <tableColumn id="20" name="flag_zi"/>
    <tableColumn id="21" name="status_validare"/>
    <tableColumn id="22" name="motiv_anomalie"/>
  </tableColumns>
  <tableStyleInfo name="TableStyleLight9" showRowStripes="1"/>
</table>
</file>

<file path=xl/tables/table2.xml><?xml version="1.0" encoding="utf-8"?>
<table xmlns="http://schemas.openxmlformats.org/spreadsheetml/2006/main" id="2" name="tbl_Contacte" displayName="tbl_Contacte" ref="A1:M51" headerRowCount="1">
  <autoFilter ref="A1:M51"/>
  <tableColumns count="13">
    <tableColumn id="1" name="id_contact"/>
    <tableColumn id="2" name="client_nume"/>
    <tableColumn id="3" name="nume_persoana"/>
    <tableColumn id="4" name="CNP"/>
    <tableColumn id="5" name="Sex"/>
    <tableColumn id="6" name="Judet"/>
    <tableColumn id="7" name="Data_Nasterii"/>
    <tableColumn id="8" name="flag_sex"/>
    <tableColumn id="9" name="flag_judet"/>
    <tableColumn id="10" name="flag_data"/>
    <tableColumn id="11" name="flag_control"/>
    <tableColumn id="12" name="status_validare"/>
    <tableColumn id="13" name="motiv_anomalie"/>
  </tableColumns>
  <tableStyleInfo name="TableStyleLight9" showRowStripes="1"/>
</table>
</file>

<file path=xl/tables/table3.xml><?xml version="1.0" encoding="utf-8"?>
<table xmlns="http://schemas.openxmlformats.org/spreadsheetml/2006/main" id="3" name="tbl_Localitati" displayName="tbl_Localitati" ref="A1:B21" headerRowCount="1">
  <autoFilter ref="A1:B21"/>
  <tableColumns count="2">
    <tableColumn id="1" name="oras_oficial"/>
    <tableColumn id="2" name="judet"/>
  </tableColumns>
  <tableStyleInfo name="TableStyleLight11" showRowStripes="1"/>
</table>
</file>

<file path=xl/tables/table4.xml><?xml version="1.0" encoding="utf-8"?>
<table xmlns="http://schemas.openxmlformats.org/spreadsheetml/2006/main" id="4" name="tbl_RegulriTVA" displayName="tbl_RegulriTVA" ref="A1:B8" headerRowCount="1">
  <autoFilter ref="A1:B8"/>
  <tableColumns count="2">
    <tableColumn id="1" name="categorie"/>
    <tableColumn id="2" name="cota_legala"/>
  </tableColumns>
  <tableStyleInfo name="TableStyleLight11" showRowStripes="1"/>
</table>
</file>

<file path=xl/tables/table5.xml><?xml version="1.0" encoding="utf-8"?>
<table xmlns="http://schemas.openxmlformats.org/spreadsheetml/2006/main" id="5" name="tbl_SarbatoriLegale" displayName="tbl_SarbatoriLegale" ref="A1:B17" headerRowCount="1">
  <autoFilter ref="A1:B17"/>
  <tableColumns count="2">
    <tableColumn id="1" name="data"/>
    <tableColumn id="2" name="denumire"/>
  </tableColumns>
  <tableStyleInfo name="TableStyleLight11" showRowStripes="1"/>
</table>
</file>

<file path=xl/tables/table6.xml><?xml version="1.0" encoding="utf-8"?>
<table xmlns="http://schemas.openxmlformats.org/spreadsheetml/2006/main" id="6" name="tbl_CodJudetCNP" displayName="tbl_CodJudetCNP" ref="A1:B16" headerRowCount="1">
  <autoFilter ref="A1:B16"/>
  <tableColumns count="2">
    <tableColumn id="1" name="cod"/>
    <tableColumn id="2" name="judet"/>
  </tableColumns>
  <tableStyleInfo name="TableStyleLight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nr_factura</t>
        </is>
      </c>
      <c r="B1" t="inlineStr">
        <is>
          <t>data_factura</t>
        </is>
      </c>
      <c r="C1" t="inlineStr">
        <is>
          <t>client_nume</t>
        </is>
      </c>
      <c r="D1" t="inlineStr">
        <is>
          <t>judet</t>
        </is>
      </c>
      <c r="E1" t="inlineStr">
        <is>
          <t>cod_produs</t>
        </is>
      </c>
      <c r="F1" t="inlineStr">
        <is>
          <t>produs_nume</t>
        </is>
      </c>
      <c r="G1" t="inlineStr">
        <is>
          <t>categorie</t>
        </is>
      </c>
      <c r="H1" t="inlineStr">
        <is>
          <t>cantitate</t>
        </is>
      </c>
      <c r="I1" t="inlineStr">
        <is>
          <t>pret_unitar</t>
        </is>
      </c>
      <c r="J1" t="inlineStr">
        <is>
          <t>valoare_neta</t>
        </is>
      </c>
      <c r="K1" t="inlineStr">
        <is>
          <t>cota_tva</t>
        </is>
      </c>
      <c r="L1" t="inlineStr">
        <is>
          <t>valoare_tva</t>
        </is>
      </c>
      <c r="M1" t="inlineStr">
        <is>
          <t>valoare_totala</t>
        </is>
      </c>
      <c r="N1" t="inlineStr">
        <is>
          <t>moneda</t>
        </is>
      </c>
      <c r="O1" t="inlineStr">
        <is>
          <t>oras</t>
        </is>
      </c>
      <c r="P1" t="inlineStr">
        <is>
          <t>data_scadentei</t>
        </is>
      </c>
      <c r="Q1" t="inlineStr">
        <is>
          <t>flag_oras</t>
        </is>
      </c>
      <c r="R1" t="inlineStr">
        <is>
          <t>flag_tva</t>
        </is>
      </c>
      <c r="S1" t="inlineStr">
        <is>
          <t>flag_scadenta</t>
        </is>
      </c>
      <c r="T1" t="inlineStr">
        <is>
          <t>flag_zi</t>
        </is>
      </c>
      <c r="U1" t="inlineStr">
        <is>
          <t>status_validare</t>
        </is>
      </c>
      <c r="V1" t="inlineStr">
        <is>
          <t>motiv_anomalie</t>
        </is>
      </c>
    </row>
    <row r="2">
      <c r="A2" t="inlineStr">
        <is>
          <t>F-2025-00001</t>
        </is>
      </c>
      <c r="B2" s="12" t="n">
        <v>46069</v>
      </c>
      <c r="C2" t="inlineStr">
        <is>
          <t>SC PROVITA MEDICAL SRL</t>
        </is>
      </c>
      <c r="D2" t="inlineStr">
        <is>
          <t>Mureș</t>
        </is>
      </c>
      <c r="E2" t="inlineStr">
        <is>
          <t>PRD-001</t>
        </is>
      </c>
      <c r="F2" t="inlineStr">
        <is>
          <t>Pachet protocol sedinte</t>
        </is>
      </c>
      <c r="G2" t="inlineStr">
        <is>
          <t>Alimente</t>
        </is>
      </c>
      <c r="H2" t="n">
        <v>5</v>
      </c>
      <c r="I2" t="n">
        <v>2460.21</v>
      </c>
      <c r="J2" t="n">
        <v>12301.05</v>
      </c>
      <c r="K2" s="13" t="n">
        <v>0.05</v>
      </c>
      <c r="L2" t="n">
        <v>615.05</v>
      </c>
      <c r="M2" t="n">
        <v>12916.1</v>
      </c>
      <c r="N2" t="inlineStr">
        <is>
          <t>RON</t>
        </is>
      </c>
      <c r="O2" t="inlineStr">
        <is>
          <t>Târgu Mureș</t>
        </is>
      </c>
      <c r="P2" s="12" t="n">
        <v>46084</v>
      </c>
      <c r="Q2">
        <f>IF(COUNTIF(tbl_Localitati[oras_oficial],[@oras])=0,"ORAS NEALINIAT",IF(XLOOKUP([@oras],tbl_Localitati[oras_oficial],tbl_Localitati[judet],"?")&lt;&gt;[@judet],"JUDET NECORESPUNZATOR",""))</f>
        <v/>
      </c>
      <c r="R2">
        <f>IF(XLOOKUP([@categorie],tbl_RegulriTVA[categorie],tbl_RegulriTVA[cota_legala],-1)&lt;&gt;[@cota_tva],"TVA GRESIT","")</f>
        <v/>
      </c>
      <c r="S2">
        <f>IF([@data_scadentei]&lt;[@data_factura],"SCADENTA INAINTEA FACTURII","")</f>
        <v/>
      </c>
      <c r="T2">
        <f>IF(NETWORKDAYS.INTL([@data_factura],[@data_factura],1,tbl_SarbatoriLegale[data])=0,"ZI NELUCRATOARE","")</f>
        <v/>
      </c>
      <c r="U2">
        <f>IF([@motiv_anomalie]="","OK","DE INVESTIGAT")</f>
        <v/>
      </c>
      <c r="V2">
        <f>TEXTJOIN("; ",TRUE,[@flag_oras],[@flag_tva],[@flag_scadenta],[@flag_zi])</f>
        <v/>
      </c>
    </row>
    <row r="3">
      <c r="A3" t="inlineStr">
        <is>
          <t>F-2025-00002</t>
        </is>
      </c>
      <c r="B3" s="12" t="n">
        <v>46108</v>
      </c>
      <c r="C3" t="inlineStr">
        <is>
          <t>SC AROMET TRADING SRL</t>
        </is>
      </c>
      <c r="D3" t="inlineStr">
        <is>
          <t>Prahova</t>
        </is>
      </c>
      <c r="E3" t="inlineStr">
        <is>
          <t>PRD-005</t>
        </is>
      </c>
      <c r="F3" t="inlineStr">
        <is>
          <t>Licenta Office 365 anuala</t>
        </is>
      </c>
      <c r="G3" t="inlineStr">
        <is>
          <t>Licențe software</t>
        </is>
      </c>
      <c r="H3" t="n">
        <v>10</v>
      </c>
      <c r="I3" t="n">
        <v>257.67</v>
      </c>
      <c r="J3" t="n">
        <v>2576.7</v>
      </c>
      <c r="K3" s="13" t="n">
        <v>0.09</v>
      </c>
      <c r="L3" t="n">
        <v>231.9</v>
      </c>
      <c r="M3" t="n">
        <v>2808.6</v>
      </c>
      <c r="N3" t="inlineStr">
        <is>
          <t>RON</t>
        </is>
      </c>
      <c r="O3" t="inlineStr">
        <is>
          <t>Alba Iulia</t>
        </is>
      </c>
      <c r="P3" s="12" t="n">
        <v>46138</v>
      </c>
      <c r="Q3">
        <f>IF(COUNTIF(tbl_Localitati[oras_oficial],[@oras])=0,"ORAS NEALINIAT",IF(XLOOKUP([@oras],tbl_Localitati[oras_oficial],tbl_Localitati[judet],"?")&lt;&gt;[@judet],"JUDET NECORESPUNZATOR",""))</f>
        <v/>
      </c>
      <c r="R3">
        <f>IF(XLOOKUP([@categorie],tbl_RegulriTVA[categorie],tbl_RegulriTVA[cota_legala],-1)&lt;&gt;[@cota_tva],"TVA GRESIT","")</f>
        <v/>
      </c>
      <c r="S3">
        <f>IF([@data_scadentei]&lt;[@data_factura],"SCADENTA INAINTEA FACTURII","")</f>
        <v/>
      </c>
      <c r="T3">
        <f>IF(NETWORKDAYS.INTL([@data_factura],[@data_factura],1,tbl_SarbatoriLegale[data])=0,"ZI NELUCRATOARE","")</f>
        <v/>
      </c>
      <c r="U3">
        <f>IF([@motiv_anomalie]="","OK","DE INVESTIGAT")</f>
        <v/>
      </c>
      <c r="V3">
        <f>TEXTJOIN("; ",TRUE,[@flag_oras],[@flag_tva],[@flag_scadenta],[@flag_zi])</f>
        <v/>
      </c>
    </row>
    <row r="4">
      <c r="A4" t="inlineStr">
        <is>
          <t>F-2025-00003</t>
        </is>
      </c>
      <c r="B4" s="12" t="n">
        <v>46300</v>
      </c>
      <c r="C4" t="inlineStr">
        <is>
          <t>SC PROVITA MEDICAL SRL</t>
        </is>
      </c>
      <c r="D4" t="inlineStr">
        <is>
          <t>Mureș</t>
        </is>
      </c>
      <c r="E4" t="inlineStr">
        <is>
          <t>PRD-006</t>
        </is>
      </c>
      <c r="F4" t="inlineStr">
        <is>
          <t>Cafea boabe 1kg</t>
        </is>
      </c>
      <c r="G4" t="inlineStr">
        <is>
          <t>Alimente</t>
        </is>
      </c>
      <c r="H4" t="n">
        <v>25</v>
      </c>
      <c r="I4" t="n">
        <v>720.27</v>
      </c>
      <c r="J4" t="n">
        <v>18006.75</v>
      </c>
      <c r="K4" s="13" t="n">
        <v>0.09</v>
      </c>
      <c r="L4" t="n">
        <v>1620.61</v>
      </c>
      <c r="M4" t="n">
        <v>19627.36</v>
      </c>
      <c r="N4" t="inlineStr">
        <is>
          <t>RON</t>
        </is>
      </c>
      <c r="O4" t="inlineStr">
        <is>
          <t>Târgu Mureș</t>
        </is>
      </c>
      <c r="P4" s="12" t="n">
        <v>46345</v>
      </c>
      <c r="Q4">
        <f>IF(COUNTIF(tbl_Localitati[oras_oficial],[@oras])=0,"ORAS NEALINIAT",IF(XLOOKUP([@oras],tbl_Localitati[oras_oficial],tbl_Localitati[judet],"?")&lt;&gt;[@judet],"JUDET NECORESPUNZATOR",""))</f>
        <v/>
      </c>
      <c r="R4">
        <f>IF(XLOOKUP([@categorie],tbl_RegulriTVA[categorie],tbl_RegulriTVA[cota_legala],-1)&lt;&gt;[@cota_tva],"TVA GRESIT","")</f>
        <v/>
      </c>
      <c r="S4">
        <f>IF([@data_scadentei]&lt;[@data_factura],"SCADENTA INAINTEA FACTURII","")</f>
        <v/>
      </c>
      <c r="T4">
        <f>IF(NETWORKDAYS.INTL([@data_factura],[@data_factura],1,tbl_SarbatoriLegale[data])=0,"ZI NELUCRATOARE","")</f>
        <v/>
      </c>
      <c r="U4">
        <f>IF([@motiv_anomalie]="","OK","DE INVESTIGAT")</f>
        <v/>
      </c>
      <c r="V4">
        <f>TEXTJOIN("; ",TRUE,[@flag_oras],[@flag_tva],[@flag_scadenta],[@flag_zi])</f>
        <v/>
      </c>
    </row>
    <row r="5">
      <c r="A5" t="inlineStr">
        <is>
          <t>F-2025-00004</t>
        </is>
      </c>
      <c r="B5" s="12" t="n">
        <v>46185</v>
      </c>
      <c r="C5" t="inlineStr">
        <is>
          <t>SC ELECTROBUILD SRL</t>
        </is>
      </c>
      <c r="D5" t="inlineStr">
        <is>
          <t>Bacău</t>
        </is>
      </c>
      <c r="E5" t="inlineStr">
        <is>
          <t>PRD-008</t>
        </is>
      </c>
      <c r="F5" t="inlineStr">
        <is>
          <t>Consultanta implementare IT</t>
        </is>
      </c>
      <c r="G5" t="inlineStr">
        <is>
          <t>Servicii consultanță</t>
        </is>
      </c>
      <c r="H5" t="n">
        <v>1</v>
      </c>
      <c r="I5" t="n">
        <v>452.97</v>
      </c>
      <c r="J5" t="n">
        <v>452.97</v>
      </c>
      <c r="K5" s="13" t="n">
        <v>0.19</v>
      </c>
      <c r="L5" t="n">
        <v>86.06</v>
      </c>
      <c r="M5" t="n">
        <v>539.03</v>
      </c>
      <c r="N5" t="inlineStr">
        <is>
          <t>RON</t>
        </is>
      </c>
      <c r="O5" t="inlineStr">
        <is>
          <t>Bacău</t>
        </is>
      </c>
      <c r="P5" s="12" t="n">
        <v>46200</v>
      </c>
      <c r="Q5">
        <f>IF(COUNTIF(tbl_Localitati[oras_oficial],[@oras])=0,"ORAS NEALINIAT",IF(XLOOKUP([@oras],tbl_Localitati[oras_oficial],tbl_Localitati[judet],"?")&lt;&gt;[@judet],"JUDET NECORESPUNZATOR",""))</f>
        <v/>
      </c>
      <c r="R5">
        <f>IF(XLOOKUP([@categorie],tbl_RegulriTVA[categorie],tbl_RegulriTVA[cota_legala],-1)&lt;&gt;[@cota_tva],"TVA GRESIT","")</f>
        <v/>
      </c>
      <c r="S5">
        <f>IF([@data_scadentei]&lt;[@data_factura],"SCADENTA INAINTEA FACTURII","")</f>
        <v/>
      </c>
      <c r="T5">
        <f>IF(NETWORKDAYS.INTL([@data_factura],[@data_factura],1,tbl_SarbatoriLegale[data])=0,"ZI NELUCRATOARE","")</f>
        <v/>
      </c>
      <c r="U5">
        <f>IF([@motiv_anomalie]="","OK","DE INVESTIGAT")</f>
        <v/>
      </c>
      <c r="V5">
        <f>TEXTJOIN("; ",TRUE,[@flag_oras],[@flag_tva],[@flag_scadenta],[@flag_zi])</f>
        <v/>
      </c>
    </row>
    <row r="6">
      <c r="A6" t="inlineStr">
        <is>
          <t>F-2025-00005</t>
        </is>
      </c>
      <c r="B6" s="12" t="n">
        <v>46106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Switch gigabit 24p</t>
        </is>
      </c>
      <c r="G6" t="inlineStr">
        <is>
          <t>Hardware IT</t>
        </is>
      </c>
      <c r="H6" t="n">
        <v>1</v>
      </c>
      <c r="I6" t="n">
        <v>173.29</v>
      </c>
      <c r="J6" t="n">
        <v>173.29</v>
      </c>
      <c r="K6" s="13" t="n">
        <v>0.19</v>
      </c>
      <c r="L6" t="n">
        <v>32.93</v>
      </c>
      <c r="M6" t="n">
        <v>206.22</v>
      </c>
      <c r="N6" t="inlineStr">
        <is>
          <t>RON</t>
        </is>
      </c>
      <c r="O6" t="inlineStr">
        <is>
          <t>Sibiu</t>
        </is>
      </c>
      <c r="P6" s="12" t="n">
        <v>46136</v>
      </c>
      <c r="Q6">
        <f>IF(COUNTIF(tbl_Localitati[oras_oficial],[@oras])=0,"ORAS NEALINIAT",IF(XLOOKUP([@oras],tbl_Localitati[oras_oficial],tbl_Localitati[judet],"?")&lt;&gt;[@judet],"JUDET NECORESPUNZATOR",""))</f>
        <v/>
      </c>
      <c r="R6">
        <f>IF(XLOOKUP([@categorie],tbl_RegulriTVA[categorie],tbl_RegulriTVA[cota_legala],-1)&lt;&gt;[@cota_tva],"TVA GRESIT","")</f>
        <v/>
      </c>
      <c r="S6">
        <f>IF([@data_scadentei]&lt;[@data_factura],"SCADENTA INAINTEA FACTURII","")</f>
        <v/>
      </c>
      <c r="T6">
        <f>IF(NETWORKDAYS.INTL([@data_factura],[@data_factura],1,tbl_SarbatoriLegale[data])=0,"ZI NELUCRATOARE","")</f>
        <v/>
      </c>
      <c r="U6">
        <f>IF([@motiv_anomalie]="","OK","DE INVESTIGAT")</f>
        <v/>
      </c>
      <c r="V6">
        <f>TEXTJOIN("; ",TRUE,[@flag_oras],[@flag_tva],[@flag_scadenta],[@flag_zi])</f>
        <v/>
      </c>
    </row>
    <row r="7">
      <c r="A7" t="inlineStr">
        <is>
          <t>F-2025-00006</t>
        </is>
      </c>
      <c r="B7" s="12" t="n">
        <v>46037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Audit infrastructura</t>
        </is>
      </c>
      <c r="G7" t="inlineStr">
        <is>
          <t>Servicii consultanță</t>
        </is>
      </c>
      <c r="H7" t="n">
        <v>5</v>
      </c>
      <c r="I7" t="n">
        <v>4183.33</v>
      </c>
      <c r="J7" t="n">
        <v>20916.65</v>
      </c>
      <c r="K7" s="13" t="n">
        <v>0.19</v>
      </c>
      <c r="L7" t="n">
        <v>3974.16</v>
      </c>
      <c r="M7" t="n">
        <v>24890.81</v>
      </c>
      <c r="N7" t="inlineStr">
        <is>
          <t>RON</t>
        </is>
      </c>
      <c r="O7" t="inlineStr">
        <is>
          <t>Sibiu</t>
        </is>
      </c>
      <c r="P7" s="12" t="n">
        <v>46082</v>
      </c>
      <c r="Q7">
        <f>IF(COUNTIF(tbl_Localitati[oras_oficial],[@oras])=0,"ORAS NEALINIAT",IF(XLOOKUP([@oras],tbl_Localitati[oras_oficial],tbl_Localitati[judet],"?")&lt;&gt;[@judet],"JUDET NECORESPUNZATOR",""))</f>
        <v/>
      </c>
      <c r="R7">
        <f>IF(XLOOKUP([@categorie],tbl_RegulriTVA[categorie],tbl_RegulriTVA[cota_legala],-1)&lt;&gt;[@cota_tva],"TVA GRESIT","")</f>
        <v/>
      </c>
      <c r="S7">
        <f>IF([@data_scadentei]&lt;[@data_factura],"SCADENTA INAINTEA FACTURII","")</f>
        <v/>
      </c>
      <c r="T7">
        <f>IF(NETWORKDAYS.INTL([@data_factura],[@data_factura],1,tbl_SarbatoriLegale[data])=0,"ZI NELUCRATOARE","")</f>
        <v/>
      </c>
      <c r="U7">
        <f>IF([@motiv_anomalie]="","OK","DE INVESTIGAT")</f>
        <v/>
      </c>
      <c r="V7">
        <f>TEXTJOIN("; ",TRUE,[@flag_oras],[@flag_tva],[@flag_scadenta],[@flag_zi])</f>
        <v/>
      </c>
    </row>
    <row r="8">
      <c r="A8" t="inlineStr">
        <is>
          <t>F-2025-00007</t>
        </is>
      </c>
      <c r="B8" s="12" t="n">
        <v>46267</v>
      </c>
      <c r="C8" t="inlineStr">
        <is>
          <t>SC DACTECH SOLUTIONS SRL</t>
        </is>
      </c>
      <c r="D8" t="inlineStr">
        <is>
          <t>Argeș</t>
        </is>
      </c>
      <c r="E8" t="inlineStr">
        <is>
          <t>PRD-010</t>
        </is>
      </c>
      <c r="F8" t="inlineStr">
        <is>
          <t>Termometru digital</t>
        </is>
      </c>
      <c r="G8" t="inlineStr">
        <is>
          <t>Produse farmaceutice</t>
        </is>
      </c>
      <c r="H8" t="n">
        <v>5</v>
      </c>
      <c r="I8" t="n">
        <v>334.79</v>
      </c>
      <c r="J8" t="n">
        <v>1673.95</v>
      </c>
      <c r="K8" s="13" t="n">
        <v>0.09</v>
      </c>
      <c r="L8" t="n">
        <v>150.66</v>
      </c>
      <c r="M8" t="n">
        <v>1824.61</v>
      </c>
      <c r="N8" t="inlineStr">
        <is>
          <t>RON</t>
        </is>
      </c>
      <c r="O8" t="inlineStr">
        <is>
          <t>Pitești</t>
        </is>
      </c>
      <c r="P8" s="12" t="n">
        <v>46327</v>
      </c>
      <c r="Q8">
        <f>IF(COUNTIF(tbl_Localitati[oras_oficial],[@oras])=0,"ORAS NEALINIAT",IF(XLOOKUP([@oras],tbl_Localitati[oras_oficial],tbl_Localitati[judet],"?")&lt;&gt;[@judet],"JUDET NECORESPUNZATOR",""))</f>
        <v/>
      </c>
      <c r="R8">
        <f>IF(XLOOKUP([@categorie],tbl_RegulriTVA[categorie],tbl_RegulriTVA[cota_legala],-1)&lt;&gt;[@cota_tva],"TVA GRESIT","")</f>
        <v/>
      </c>
      <c r="S8">
        <f>IF([@data_scadentei]&lt;[@data_factura],"SCADENTA INAINTEA FACTURII","")</f>
        <v/>
      </c>
      <c r="T8">
        <f>IF(NETWORKDAYS.INTL([@data_factura],[@data_factura],1,tbl_SarbatoriLegale[data])=0,"ZI NELUCRATOARE","")</f>
        <v/>
      </c>
      <c r="U8">
        <f>IF([@motiv_anomalie]="","OK","DE INVESTIGAT")</f>
        <v/>
      </c>
      <c r="V8">
        <f>TEXTJOIN("; ",TRUE,[@flag_oras],[@flag_tva],[@flag_scadenta],[@flag_zi])</f>
        <v/>
      </c>
    </row>
    <row r="9">
      <c r="A9" t="inlineStr">
        <is>
          <t>F-2025-00008</t>
        </is>
      </c>
      <c r="B9" s="12" t="n">
        <v>46195</v>
      </c>
      <c r="C9" t="inlineStr">
        <is>
          <t>SC VECTOR CONSULT SRL</t>
        </is>
      </c>
      <c r="D9" t="inlineStr">
        <is>
          <t>Timiș</t>
        </is>
      </c>
      <c r="E9" t="inlineStr">
        <is>
          <t>PRD-009</t>
        </is>
      </c>
      <c r="F9" t="inlineStr">
        <is>
          <t>Monitor 27" 4K</t>
        </is>
      </c>
      <c r="G9" t="inlineStr">
        <is>
          <t>Hardware IT</t>
        </is>
      </c>
      <c r="H9" t="n">
        <v>50</v>
      </c>
      <c r="I9" t="n">
        <v>29.13</v>
      </c>
      <c r="J9" t="n">
        <v>1456.5</v>
      </c>
      <c r="K9" s="13" t="n">
        <v>0.19</v>
      </c>
      <c r="L9" t="n">
        <v>276.74</v>
      </c>
      <c r="M9" t="n">
        <v>1733.24</v>
      </c>
      <c r="N9" t="inlineStr">
        <is>
          <t>RON</t>
        </is>
      </c>
      <c r="O9" t="inlineStr">
        <is>
          <t>Timișoara</t>
        </is>
      </c>
      <c r="P9" s="12" t="n">
        <v>46240</v>
      </c>
      <c r="Q9">
        <f>IF(COUNTIF(tbl_Localitati[oras_oficial],[@oras])=0,"ORAS NEALINIAT",IF(XLOOKUP([@oras],tbl_Localitati[oras_oficial],tbl_Localitati[judet],"?")&lt;&gt;[@judet],"JUDET NECORESPUNZATOR",""))</f>
        <v/>
      </c>
      <c r="R9">
        <f>IF(XLOOKUP([@categorie],tbl_RegulriTVA[categorie],tbl_RegulriTVA[cota_legala],-1)&lt;&gt;[@cota_tva],"TVA GRESIT","")</f>
        <v/>
      </c>
      <c r="S9">
        <f>IF([@data_scadentei]&lt;[@data_factura],"SCADENTA INAINTEA FACTURII","")</f>
        <v/>
      </c>
      <c r="T9">
        <f>IF(NETWORKDAYS.INTL([@data_factura],[@data_factura],1,tbl_SarbatoriLegale[data])=0,"ZI NELUCRATOARE","")</f>
        <v/>
      </c>
      <c r="U9">
        <f>IF([@motiv_anomalie]="","OK","DE INVESTIGAT")</f>
        <v/>
      </c>
      <c r="V9">
        <f>TEXTJOIN("; ",TRUE,[@flag_oras],[@flag_tva],[@flag_scadenta],[@flag_zi])</f>
        <v/>
      </c>
    </row>
    <row r="10">
      <c r="A10" t="inlineStr">
        <is>
          <t>F-2025-00009</t>
        </is>
      </c>
      <c r="B10" s="12" t="n">
        <v>46307</v>
      </c>
      <c r="C10" t="inlineStr">
        <is>
          <t>SC INTEGROMED SA</t>
        </is>
      </c>
      <c r="D10" t="inlineStr">
        <is>
          <t>Cluj</t>
        </is>
      </c>
      <c r="E10" t="inlineStr">
        <is>
          <t>PRD-005</t>
        </is>
      </c>
      <c r="F10" t="inlineStr">
        <is>
          <t>Server rack 1U</t>
        </is>
      </c>
      <c r="G10" t="inlineStr">
        <is>
          <t>Hardware IT</t>
        </is>
      </c>
      <c r="H10" t="n">
        <v>1</v>
      </c>
      <c r="I10" t="n">
        <v>244.11</v>
      </c>
      <c r="J10" t="n">
        <v>244.11</v>
      </c>
      <c r="K10" s="13" t="n">
        <v>0.19</v>
      </c>
      <c r="L10" t="n">
        <v>46.38</v>
      </c>
      <c r="M10" t="n">
        <v>290.49</v>
      </c>
      <c r="N10" t="inlineStr">
        <is>
          <t>RON</t>
        </is>
      </c>
      <c r="O10" t="inlineStr">
        <is>
          <t>Cluj-Napoca</t>
        </is>
      </c>
      <c r="P10" s="12" t="n">
        <v>46337</v>
      </c>
      <c r="Q10">
        <f>IF(COUNTIF(tbl_Localitati[oras_oficial],[@oras])=0,"ORAS NEALINIAT",IF(XLOOKUP([@oras],tbl_Localitati[oras_oficial],tbl_Localitati[judet],"?")&lt;&gt;[@judet],"JUDET NECORESPUNZATOR",""))</f>
        <v/>
      </c>
      <c r="R10">
        <f>IF(XLOOKUP([@categorie],tbl_RegulriTVA[categorie],tbl_RegulriTVA[cota_legala],-1)&lt;&gt;[@cota_tva],"TVA GRESIT","")</f>
        <v/>
      </c>
      <c r="S10">
        <f>IF([@data_scadentei]&lt;[@data_factura],"SCADENTA INAINTEA FACTURII","")</f>
        <v/>
      </c>
      <c r="T10">
        <f>IF(NETWORKDAYS.INTL([@data_factura],[@data_factura],1,tbl_SarbatoriLegale[data])=0,"ZI NELUCRATOARE","")</f>
        <v/>
      </c>
      <c r="U10">
        <f>IF([@motiv_anomalie]="","OK","DE INVESTIGAT")</f>
        <v/>
      </c>
      <c r="V10">
        <f>TEXTJOIN("; ",TRUE,[@flag_oras],[@flag_tva],[@flag_scadenta],[@flag_zi])</f>
        <v/>
      </c>
    </row>
    <row r="11">
      <c r="A11" t="inlineStr">
        <is>
          <t>F-2025-00010</t>
        </is>
      </c>
      <c r="B11" s="12" t="n">
        <v>46132</v>
      </c>
      <c r="C11" t="inlineStr">
        <is>
          <t>SC METALPLAST INVEST SA</t>
        </is>
      </c>
      <c r="D11" t="inlineStr">
        <is>
          <t>Cluj</t>
        </is>
      </c>
      <c r="E11" t="inlineStr">
        <is>
          <t>PRD-004</t>
        </is>
      </c>
      <c r="F11" t="inlineStr">
        <is>
          <t>Licenta antivirus enterprise</t>
        </is>
      </c>
      <c r="G11" t="inlineStr">
        <is>
          <t>Licențe software</t>
        </is>
      </c>
      <c r="H11" t="n">
        <v>2</v>
      </c>
      <c r="I11" t="n">
        <v>903.53</v>
      </c>
      <c r="J11" t="n">
        <v>1807.06</v>
      </c>
      <c r="K11" s="13" t="n">
        <v>0.19</v>
      </c>
      <c r="L11" t="n">
        <v>343.34</v>
      </c>
      <c r="M11" t="n">
        <v>2150.4</v>
      </c>
      <c r="N11" t="inlineStr">
        <is>
          <t>RON</t>
        </is>
      </c>
      <c r="O11" t="inlineStr">
        <is>
          <t>Turda</t>
        </is>
      </c>
      <c r="P11" s="12" t="n">
        <v>46162</v>
      </c>
      <c r="Q11">
        <f>IF(COUNTIF(tbl_Localitati[oras_oficial],[@oras])=0,"ORAS NEALINIAT",IF(XLOOKUP([@oras],tbl_Localitati[oras_oficial],tbl_Localitati[judet],"?")&lt;&gt;[@judet],"JUDET NECORESPUNZATOR",""))</f>
        <v/>
      </c>
      <c r="R11">
        <f>IF(XLOOKUP([@categorie],tbl_RegulriTVA[categorie],tbl_RegulriTVA[cota_legala],-1)&lt;&gt;[@cota_tva],"TVA GRESIT","")</f>
        <v/>
      </c>
      <c r="S11">
        <f>IF([@data_scadentei]&lt;[@data_factura],"SCADENTA INAINTEA FACTURII","")</f>
        <v/>
      </c>
      <c r="T11">
        <f>IF(NETWORKDAYS.INTL([@data_factura],[@data_factura],1,tbl_SarbatoriLegale[data])=0,"ZI NELUCRATOARE","")</f>
        <v/>
      </c>
      <c r="U11">
        <f>IF([@motiv_anomalie]="","OK","DE INVESTIGAT")</f>
        <v/>
      </c>
      <c r="V11">
        <f>TEXTJOIN("; ",TRUE,[@flag_oras],[@flag_tva],[@flag_scadenta],[@flag_zi])</f>
        <v/>
      </c>
    </row>
    <row r="12">
      <c r="A12" t="inlineStr">
        <is>
          <t>F-2025-00011</t>
        </is>
      </c>
      <c r="B12" s="12" t="n">
        <v>46154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Manual proceduri interne</t>
        </is>
      </c>
      <c r="G12" t="inlineStr">
        <is>
          <t>Cărți și manuale</t>
        </is>
      </c>
      <c r="H12" t="n">
        <v>1</v>
      </c>
      <c r="I12" t="n">
        <v>2486.84</v>
      </c>
      <c r="J12" t="n">
        <v>2486.84</v>
      </c>
      <c r="K12" s="13" t="n">
        <v>0.05</v>
      </c>
      <c r="L12" t="n">
        <v>124.34</v>
      </c>
      <c r="M12" t="n">
        <v>2611.18</v>
      </c>
      <c r="N12" t="inlineStr">
        <is>
          <t>RON</t>
        </is>
      </c>
      <c r="O12" t="inlineStr">
        <is>
          <t>Sibiu</t>
        </is>
      </c>
      <c r="P12" s="12" t="n">
        <v>46169</v>
      </c>
      <c r="Q12">
        <f>IF(COUNTIF(tbl_Localitati[oras_oficial],[@oras])=0,"ORAS NEALINIAT",IF(XLOOKUP([@oras],tbl_Localitati[oras_oficial],tbl_Localitati[judet],"?")&lt;&gt;[@judet],"JUDET NECORESPUNZATOR",""))</f>
        <v/>
      </c>
      <c r="R12">
        <f>IF(XLOOKUP([@categorie],tbl_RegulriTVA[categorie],tbl_RegulriTVA[cota_legala],-1)&lt;&gt;[@cota_tva],"TVA GRESIT","")</f>
        <v/>
      </c>
      <c r="S12">
        <f>IF([@data_scadentei]&lt;[@data_factura],"SCADENTA INAINTEA FACTURII","")</f>
        <v/>
      </c>
      <c r="T12">
        <f>IF(NETWORKDAYS.INTL([@data_factura],[@data_factura],1,tbl_SarbatoriLegale[data])=0,"ZI NELUCRATOARE","")</f>
        <v/>
      </c>
      <c r="U12">
        <f>IF([@motiv_anomalie]="","OK","DE INVESTIGAT")</f>
        <v/>
      </c>
      <c r="V12">
        <f>TEXTJOIN("; ",TRUE,[@flag_oras],[@flag_tva],[@flag_scadenta],[@flag_zi])</f>
        <v/>
      </c>
    </row>
    <row r="13">
      <c r="A13" t="inlineStr">
        <is>
          <t>F-2025-00012</t>
        </is>
      </c>
      <c r="B13" s="12" t="n">
        <v>46063</v>
      </c>
      <c r="C13" t="inlineStr">
        <is>
          <t>SC METALPLAST INVEST SA</t>
        </is>
      </c>
      <c r="D13" t="inlineStr">
        <is>
          <t>Cluj</t>
        </is>
      </c>
      <c r="E13" t="inlineStr">
        <is>
          <t>PRD-006</t>
        </is>
      </c>
      <c r="F13" t="inlineStr">
        <is>
          <t>Videoproiector sala</t>
        </is>
      </c>
      <c r="G13" t="inlineStr">
        <is>
          <t>Echipamente birou</t>
        </is>
      </c>
      <c r="H13" t="n">
        <v>1</v>
      </c>
      <c r="I13" t="n">
        <v>738.6799999999999</v>
      </c>
      <c r="J13" t="n">
        <v>738.6799999999999</v>
      </c>
      <c r="K13" s="13" t="n">
        <v>0.09</v>
      </c>
      <c r="L13" t="n">
        <v>66.48</v>
      </c>
      <c r="M13" t="n">
        <v>805.16</v>
      </c>
      <c r="N13" t="inlineStr">
        <is>
          <t>RON</t>
        </is>
      </c>
      <c r="O13" t="inlineStr">
        <is>
          <t>Craioba</t>
        </is>
      </c>
      <c r="P13" s="12" t="n">
        <v>46093</v>
      </c>
      <c r="Q13">
        <f>IF(COUNTIF(tbl_Localitati[oras_oficial],[@oras])=0,"ORAS NEALINIAT",IF(XLOOKUP([@oras],tbl_Localitati[oras_oficial],tbl_Localitati[judet],"?")&lt;&gt;[@judet],"JUDET NECORESPUNZATOR",""))</f>
        <v/>
      </c>
      <c r="R13">
        <f>IF(XLOOKUP([@categorie],tbl_RegulriTVA[categorie],tbl_RegulriTVA[cota_legala],-1)&lt;&gt;[@cota_tva],"TVA GRESIT","")</f>
        <v/>
      </c>
      <c r="S13">
        <f>IF([@data_scadentei]&lt;[@data_factura],"SCADENTA INAINTEA FACTURII","")</f>
        <v/>
      </c>
      <c r="T13">
        <f>IF(NETWORKDAYS.INTL([@data_factura],[@data_factura],1,tbl_SarbatoriLegale[data])=0,"ZI NELUCRATOARE","")</f>
        <v/>
      </c>
      <c r="U13">
        <f>IF([@motiv_anomalie]="","OK","DE INVESTIGAT")</f>
        <v/>
      </c>
      <c r="V13">
        <f>TEXTJOIN("; ",TRUE,[@flag_oras],[@flag_tva],[@flag_scadenta],[@flag_zi])</f>
        <v/>
      </c>
    </row>
    <row r="14">
      <c r="A14" t="inlineStr">
        <is>
          <t>F-2025-00013</t>
        </is>
      </c>
      <c r="B14" s="12" t="n">
        <v>46126</v>
      </c>
      <c r="C14" t="inlineStr">
        <is>
          <t>SC PHANTOM LTD</t>
        </is>
      </c>
      <c r="D14" t="inlineStr">
        <is>
          <t>Iași</t>
        </is>
      </c>
      <c r="E14" t="inlineStr">
        <is>
          <t>PRD-011</t>
        </is>
      </c>
      <c r="F14" t="inlineStr">
        <is>
          <t>Training utilizatori</t>
        </is>
      </c>
      <c r="G14" t="inlineStr">
        <is>
          <t>Servicii consultanță</t>
        </is>
      </c>
      <c r="H14" t="n">
        <v>20</v>
      </c>
      <c r="I14" t="n">
        <v>45.74</v>
      </c>
      <c r="J14" t="n">
        <v>914.8</v>
      </c>
      <c r="K14" s="13" t="n">
        <v>0.19</v>
      </c>
      <c r="L14" t="n">
        <v>173.81</v>
      </c>
      <c r="M14" t="n">
        <v>1088.61</v>
      </c>
      <c r="N14" t="inlineStr">
        <is>
          <t>RON</t>
        </is>
      </c>
      <c r="O14" t="inlineStr">
        <is>
          <t>Iași</t>
        </is>
      </c>
      <c r="P14" s="12" t="n">
        <v>46141</v>
      </c>
      <c r="Q14">
        <f>IF(COUNTIF(tbl_Localitati[oras_oficial],[@oras])=0,"ORAS NEALINIAT",IF(XLOOKUP([@oras],tbl_Localitati[oras_oficial],tbl_Localitati[judet],"?")&lt;&gt;[@judet],"JUDET NECORESPUNZATOR",""))</f>
        <v/>
      </c>
      <c r="R14">
        <f>IF(XLOOKUP([@categorie],tbl_RegulriTVA[categorie],tbl_RegulriTVA[cota_legala],-1)&lt;&gt;[@cota_tva],"TVA GRESIT","")</f>
        <v/>
      </c>
      <c r="S14">
        <f>IF([@data_scadentei]&lt;[@data_factura],"SCADENTA INAINTEA FACTURII","")</f>
        <v/>
      </c>
      <c r="T14">
        <f>IF(NETWORKDAYS.INTL([@data_factura],[@data_factura],1,tbl_SarbatoriLegale[data])=0,"ZI NELUCRATOARE","")</f>
        <v/>
      </c>
      <c r="U14">
        <f>IF([@motiv_anomalie]="","OK","DE INVESTIGAT")</f>
        <v/>
      </c>
      <c r="V14">
        <f>TEXTJOIN("; ",TRUE,[@flag_oras],[@flag_tva],[@flag_scadenta],[@flag_zi])</f>
        <v/>
      </c>
    </row>
    <row r="15">
      <c r="A15" t="inlineStr">
        <is>
          <t>F-2025-00014</t>
        </is>
      </c>
      <c r="B15" s="12" t="n">
        <v>46072</v>
      </c>
      <c r="C15" t="inlineStr">
        <is>
          <t>SC RAPID LOGISTIC SA</t>
        </is>
      </c>
      <c r="D15" t="inlineStr">
        <is>
          <t>Prahova</t>
        </is>
      </c>
      <c r="E15" t="inlineStr">
        <is>
          <t>PRD-003</t>
        </is>
      </c>
      <c r="F15" t="inlineStr">
        <is>
          <t>Consultanta implementare IT</t>
        </is>
      </c>
      <c r="G15" t="inlineStr">
        <is>
          <t>Servicii consultanță</t>
        </is>
      </c>
      <c r="H15" t="n">
        <v>1</v>
      </c>
      <c r="I15" t="n">
        <v>4365.07</v>
      </c>
      <c r="J15" t="n">
        <v>4365.07</v>
      </c>
      <c r="K15" s="13" t="n">
        <v>0.19</v>
      </c>
      <c r="L15" t="n">
        <v>829.36</v>
      </c>
      <c r="M15" t="n">
        <v>5194.43</v>
      </c>
      <c r="N15" t="inlineStr">
        <is>
          <t>RON</t>
        </is>
      </c>
      <c r="O15" t="inlineStr">
        <is>
          <t>Ploiești</t>
        </is>
      </c>
      <c r="P15" s="12" t="n">
        <v>46102</v>
      </c>
      <c r="Q15">
        <f>IF(COUNTIF(tbl_Localitati[oras_oficial],[@oras])=0,"ORAS NEALINIAT",IF(XLOOKUP([@oras],tbl_Localitati[oras_oficial],tbl_Localitati[judet],"?")&lt;&gt;[@judet],"JUDET NECORESPUNZATOR",""))</f>
        <v/>
      </c>
      <c r="R15">
        <f>IF(XLOOKUP([@categorie],tbl_RegulriTVA[categorie],tbl_RegulriTVA[cota_legala],-1)&lt;&gt;[@cota_tva],"TVA GRESIT","")</f>
        <v/>
      </c>
      <c r="S15">
        <f>IF([@data_scadentei]&lt;[@data_factura],"SCADENTA INAINTEA FACTURII","")</f>
        <v/>
      </c>
      <c r="T15">
        <f>IF(NETWORKDAYS.INTL([@data_factura],[@data_factura],1,tbl_SarbatoriLegale[data])=0,"ZI NELUCRATOARE","")</f>
        <v/>
      </c>
      <c r="U15">
        <f>IF([@motiv_anomalie]="","OK","DE INVESTIGAT")</f>
        <v/>
      </c>
      <c r="V15">
        <f>TEXTJOIN("; ",TRUE,[@flag_oras],[@flag_tva],[@flag_scadenta],[@flag_zi])</f>
        <v/>
      </c>
    </row>
    <row r="16">
      <c r="A16" t="inlineStr">
        <is>
          <t>F-2025-00015</t>
        </is>
      </c>
      <c r="B16" s="12" t="n">
        <v>46136</v>
      </c>
      <c r="C16" t="inlineStr">
        <is>
          <t>SC NORDIS DISTRIBUTIE SRL</t>
        </is>
      </c>
      <c r="D16" t="inlineStr">
        <is>
          <t>Constanța</t>
        </is>
      </c>
      <c r="E16" t="inlineStr">
        <is>
          <t>PRD-005</t>
        </is>
      </c>
      <c r="F16" t="inlineStr">
        <is>
          <t>Suport tehnic anual</t>
        </is>
      </c>
      <c r="G16" t="inlineStr">
        <is>
          <t>Servicii consultanță</t>
        </is>
      </c>
      <c r="H16" t="n">
        <v>1</v>
      </c>
      <c r="I16" t="n">
        <v>240.11</v>
      </c>
      <c r="J16" t="n">
        <v>240.11</v>
      </c>
      <c r="K16" s="13" t="n">
        <v>0.19</v>
      </c>
      <c r="L16" t="n">
        <v>45.62</v>
      </c>
      <c r="M16" t="n">
        <v>285.73</v>
      </c>
      <c r="N16" t="inlineStr">
        <is>
          <t>RON</t>
        </is>
      </c>
      <c r="O16" t="inlineStr">
        <is>
          <t>Mangalia</t>
        </is>
      </c>
      <c r="P16" s="12" t="n">
        <v>46196</v>
      </c>
      <c r="Q16">
        <f>IF(COUNTIF(tbl_Localitati[oras_oficial],[@oras])=0,"ORAS NEALINIAT",IF(XLOOKUP([@oras],tbl_Localitati[oras_oficial],tbl_Localitati[judet],"?")&lt;&gt;[@judet],"JUDET NECORESPUNZATOR",""))</f>
        <v/>
      </c>
      <c r="R16">
        <f>IF(XLOOKUP([@categorie],tbl_RegulriTVA[categorie],tbl_RegulriTVA[cota_legala],-1)&lt;&gt;[@cota_tva],"TVA GRESIT","")</f>
        <v/>
      </c>
      <c r="S16">
        <f>IF([@data_scadentei]&lt;[@data_factura],"SCADENTA INAINTEA FACTURII","")</f>
        <v/>
      </c>
      <c r="T16">
        <f>IF(NETWORKDAYS.INTL([@data_factura],[@data_factura],1,tbl_SarbatoriLegale[data])=0,"ZI NELUCRATOARE","")</f>
        <v/>
      </c>
      <c r="U16">
        <f>IF([@motiv_anomalie]="","OK","DE INVESTIGAT")</f>
        <v/>
      </c>
      <c r="V16">
        <f>TEXTJOIN("; ",TRUE,[@flag_oras],[@flag_tva],[@flag_scadenta],[@flag_zi])</f>
        <v/>
      </c>
    </row>
    <row r="17">
      <c r="A17" t="inlineStr">
        <is>
          <t>F-2025-00016</t>
        </is>
      </c>
      <c r="B17" s="12" t="n">
        <v>46098</v>
      </c>
      <c r="C17" t="inlineStr">
        <is>
          <t>SC ELECTROBUILD SRL</t>
        </is>
      </c>
      <c r="D17" t="inlineStr">
        <is>
          <t>Bacău</t>
        </is>
      </c>
      <c r="E17" t="inlineStr">
        <is>
          <t>PRD-005</t>
        </is>
      </c>
      <c r="F17" t="inlineStr">
        <is>
          <t>Consultanta implementare IT</t>
        </is>
      </c>
      <c r="G17" t="inlineStr">
        <is>
          <t>Servicii consultanță</t>
        </is>
      </c>
      <c r="H17" t="n">
        <v>2</v>
      </c>
      <c r="I17" t="n">
        <v>258.24</v>
      </c>
      <c r="J17" t="n">
        <v>516.48</v>
      </c>
      <c r="K17" s="13" t="n">
        <v>0.19</v>
      </c>
      <c r="L17" t="n">
        <v>98.13</v>
      </c>
      <c r="M17" t="n">
        <v>614.61</v>
      </c>
      <c r="N17" t="inlineStr">
        <is>
          <t>RON</t>
        </is>
      </c>
      <c r="O17" t="inlineStr">
        <is>
          <t>Bacău</t>
        </is>
      </c>
      <c r="P17" s="12" t="n">
        <v>46158</v>
      </c>
      <c r="Q17">
        <f>IF(COUNTIF(tbl_Localitati[oras_oficial],[@oras])=0,"ORAS NEALINIAT",IF(XLOOKUP([@oras],tbl_Localitati[oras_oficial],tbl_Localitati[judet],"?")&lt;&gt;[@judet],"JUDET NECORESPUNZATOR",""))</f>
        <v/>
      </c>
      <c r="R17">
        <f>IF(XLOOKUP([@categorie],tbl_RegulriTVA[categorie],tbl_RegulriTVA[cota_legala],-1)&lt;&gt;[@cota_tva],"TVA GRESIT","")</f>
        <v/>
      </c>
      <c r="S17">
        <f>IF([@data_scadentei]&lt;[@data_factura],"SCADENTA INAINTEA FACTURII","")</f>
        <v/>
      </c>
      <c r="T17">
        <f>IF(NETWORKDAYS.INTL([@data_factura],[@data_factura],1,tbl_SarbatoriLegale[data])=0,"ZI NELUCRATOARE","")</f>
        <v/>
      </c>
      <c r="U17">
        <f>IF([@motiv_anomalie]="","OK","DE INVESTIGAT")</f>
        <v/>
      </c>
      <c r="V17">
        <f>TEXTJOIN("; ",TRUE,[@flag_oras],[@flag_tva],[@flag_scadenta],[@flag_zi])</f>
        <v/>
      </c>
    </row>
    <row r="18">
      <c r="A18" t="inlineStr">
        <is>
          <t>F-2025-00017</t>
        </is>
      </c>
      <c r="B18" s="12" t="n">
        <v>46272</v>
      </c>
      <c r="C18" t="inlineStr">
        <is>
          <t>SC NORDIS DISTRIBUTIE SRL</t>
        </is>
      </c>
      <c r="D18" t="inlineStr">
        <is>
          <t>Constanța</t>
        </is>
      </c>
      <c r="E18" t="inlineStr">
        <is>
          <t>PRD-005</t>
        </is>
      </c>
      <c r="F18" t="inlineStr">
        <is>
          <t>Monitor 27" 4K</t>
        </is>
      </c>
      <c r="G18" t="inlineStr">
        <is>
          <t>Hardware IT</t>
        </is>
      </c>
      <c r="H18" t="n">
        <v>5</v>
      </c>
      <c r="I18" t="n">
        <v>248.99</v>
      </c>
      <c r="J18" t="n">
        <v>1244.95</v>
      </c>
      <c r="K18" s="13" t="n">
        <v>0.19</v>
      </c>
      <c r="L18" t="n">
        <v>236.54</v>
      </c>
      <c r="M18" t="n">
        <v>1481.49</v>
      </c>
      <c r="N18" t="inlineStr">
        <is>
          <t>RON</t>
        </is>
      </c>
      <c r="O18" t="inlineStr">
        <is>
          <t>Mangalia</t>
        </is>
      </c>
      <c r="P18" s="12" t="n">
        <v>46302</v>
      </c>
      <c r="Q18">
        <f>IF(COUNTIF(tbl_Localitati[oras_oficial],[@oras])=0,"ORAS NEALINIAT",IF(XLOOKUP([@oras],tbl_Localitati[oras_oficial],tbl_Localitati[judet],"?")&lt;&gt;[@judet],"JUDET NECORESPUNZATOR",""))</f>
        <v/>
      </c>
      <c r="R18">
        <f>IF(XLOOKUP([@categorie],tbl_RegulriTVA[categorie],tbl_RegulriTVA[cota_legala],-1)&lt;&gt;[@cota_tva],"TVA GRESIT","")</f>
        <v/>
      </c>
      <c r="S18">
        <f>IF([@data_scadentei]&lt;[@data_factura],"SCADENTA INAINTEA FACTURII","")</f>
        <v/>
      </c>
      <c r="T18">
        <f>IF(NETWORKDAYS.INTL([@data_factura],[@data_factura],1,tbl_SarbatoriLegale[data])=0,"ZI NELUCRATOARE","")</f>
        <v/>
      </c>
      <c r="U18">
        <f>IF([@motiv_anomalie]="","OK","DE INVESTIGAT")</f>
        <v/>
      </c>
      <c r="V18">
        <f>TEXTJOIN("; ",TRUE,[@flag_oras],[@flag_tva],[@flag_scadenta],[@flag_zi])</f>
        <v/>
      </c>
    </row>
    <row r="19">
      <c r="A19" t="inlineStr">
        <is>
          <t>F-2025-00018</t>
        </is>
      </c>
      <c r="B19" s="12" t="n">
        <v>46339</v>
      </c>
      <c r="C19" t="inlineStr">
        <is>
          <t>SC DACTECH SOLUTIONS SRL</t>
        </is>
      </c>
      <c r="D19" t="inlineStr">
        <is>
          <t>Argeș</t>
        </is>
      </c>
      <c r="E19" t="inlineStr">
        <is>
          <t>PRD-006</t>
        </is>
      </c>
      <c r="F19" t="inlineStr">
        <is>
          <t>Laptop business 15"</t>
        </is>
      </c>
      <c r="G19" t="inlineStr">
        <is>
          <t>Hardware IT</t>
        </is>
      </c>
      <c r="H19" t="n">
        <v>5</v>
      </c>
      <c r="I19" t="n">
        <v>740.33</v>
      </c>
      <c r="J19" t="n">
        <v>3701.65</v>
      </c>
      <c r="K19" s="13" t="n">
        <v>0.05</v>
      </c>
      <c r="L19" t="n">
        <v>185.08</v>
      </c>
      <c r="M19" t="n">
        <v>3886.73</v>
      </c>
      <c r="N19" t="inlineStr">
        <is>
          <t>RON</t>
        </is>
      </c>
      <c r="O19" t="inlineStr">
        <is>
          <t>Pitești</t>
        </is>
      </c>
      <c r="P19" s="12" t="n">
        <v>46369</v>
      </c>
      <c r="Q19">
        <f>IF(COUNTIF(tbl_Localitati[oras_oficial],[@oras])=0,"ORAS NEALINIAT",IF(XLOOKUP([@oras],tbl_Localitati[oras_oficial],tbl_Localitati[judet],"?")&lt;&gt;[@judet],"JUDET NECORESPUNZATOR",""))</f>
        <v/>
      </c>
      <c r="R19">
        <f>IF(XLOOKUP([@categorie],tbl_RegulriTVA[categorie],tbl_RegulriTVA[cota_legala],-1)&lt;&gt;[@cota_tva],"TVA GRESIT","")</f>
        <v/>
      </c>
      <c r="S19">
        <f>IF([@data_scadentei]&lt;[@data_factura],"SCADENTA INAINTEA FACTURII","")</f>
        <v/>
      </c>
      <c r="T19">
        <f>IF(NETWORKDAYS.INTL([@data_factura],[@data_factura],1,tbl_SarbatoriLegale[data])=0,"ZI NELUCRATOARE","")</f>
        <v/>
      </c>
      <c r="U19">
        <f>IF([@motiv_anomalie]="","OK","DE INVESTIGAT")</f>
        <v/>
      </c>
      <c r="V19">
        <f>TEXTJOIN("; ",TRUE,[@flag_oras],[@flag_tva],[@flag_scadenta],[@flag_zi])</f>
        <v/>
      </c>
    </row>
    <row r="20">
      <c r="A20" t="inlineStr">
        <is>
          <t>F-2025-00019</t>
        </is>
      </c>
      <c r="B20" s="12" t="n">
        <v>46132</v>
      </c>
      <c r="C20" t="inlineStr">
        <is>
          <t>SC METALPLAST INVEST SA</t>
        </is>
      </c>
      <c r="D20" t="inlineStr">
        <is>
          <t>Cluj</t>
        </is>
      </c>
      <c r="E20" t="inlineStr">
        <is>
          <t>PRD-001</t>
        </is>
      </c>
      <c r="F20" t="inlineStr">
        <is>
          <t>Videoproiector sala</t>
        </is>
      </c>
      <c r="G20" t="inlineStr">
        <is>
          <t>Echipamente birou</t>
        </is>
      </c>
      <c r="H20" t="n">
        <v>1</v>
      </c>
      <c r="I20" t="n">
        <v>2306.32</v>
      </c>
      <c r="J20" t="n">
        <v>2306.32</v>
      </c>
      <c r="K20" s="13" t="n">
        <v>0.09</v>
      </c>
      <c r="L20" t="n">
        <v>207.57</v>
      </c>
      <c r="M20" t="n">
        <v>2513.89</v>
      </c>
      <c r="N20" t="inlineStr">
        <is>
          <t>RON</t>
        </is>
      </c>
      <c r="O20" t="inlineStr">
        <is>
          <t>Cluj Napoca</t>
        </is>
      </c>
      <c r="P20" s="12" t="n">
        <v>46162</v>
      </c>
      <c r="Q20">
        <f>IF(COUNTIF(tbl_Localitati[oras_oficial],[@oras])=0,"ORAS NEALINIAT",IF(XLOOKUP([@oras],tbl_Localitati[oras_oficial],tbl_Localitati[judet],"?")&lt;&gt;[@judet],"JUDET NECORESPUNZATOR",""))</f>
        <v/>
      </c>
      <c r="R20">
        <f>IF(XLOOKUP([@categorie],tbl_RegulriTVA[categorie],tbl_RegulriTVA[cota_legala],-1)&lt;&gt;[@cota_tva],"TVA GRESIT","")</f>
        <v/>
      </c>
      <c r="S20">
        <f>IF([@data_scadentei]&lt;[@data_factura],"SCADENTA INAINTEA FACTURII","")</f>
        <v/>
      </c>
      <c r="T20">
        <f>IF(NETWORKDAYS.INTL([@data_factura],[@data_factura],1,tbl_SarbatoriLegale[data])=0,"ZI NELUCRATOARE","")</f>
        <v/>
      </c>
      <c r="U20">
        <f>IF([@motiv_anomalie]="","OK","DE INVESTIGAT")</f>
        <v/>
      </c>
      <c r="V20">
        <f>TEXTJOIN("; ",TRUE,[@flag_oras],[@flag_tva],[@flag_scadenta],[@flag_zi])</f>
        <v/>
      </c>
    </row>
    <row r="21">
      <c r="A21" t="inlineStr">
        <is>
          <t>F-2025-00020</t>
        </is>
      </c>
      <c r="B21" s="12" t="n">
        <v>46164</v>
      </c>
      <c r="C21" t="inlineStr">
        <is>
          <t>SC PROVITA MEDICAL SRL</t>
        </is>
      </c>
      <c r="D21" t="inlineStr">
        <is>
          <t>Mureș</t>
        </is>
      </c>
      <c r="E21" t="inlineStr">
        <is>
          <t>PRD-011</t>
        </is>
      </c>
      <c r="F21" t="inlineStr">
        <is>
          <t>Statie de lucru desktop</t>
        </is>
      </c>
      <c r="G21" t="inlineStr">
        <is>
          <t>Hardware IT</t>
        </is>
      </c>
      <c r="H21" t="n">
        <v>5</v>
      </c>
      <c r="I21" t="n">
        <v>45.12</v>
      </c>
      <c r="J21" t="n">
        <v>225.6</v>
      </c>
      <c r="K21" s="13" t="n">
        <v>0.19</v>
      </c>
      <c r="L21" t="n">
        <v>42.86</v>
      </c>
      <c r="M21" t="n">
        <v>268.46</v>
      </c>
      <c r="N21" t="inlineStr">
        <is>
          <t>EUR</t>
        </is>
      </c>
      <c r="O21" t="inlineStr">
        <is>
          <t>Târgu Mureș</t>
        </is>
      </c>
      <c r="P21" s="12" t="n">
        <v>46194</v>
      </c>
      <c r="Q21">
        <f>IF(COUNTIF(tbl_Localitati[oras_oficial],[@oras])=0,"ORAS NEALINIAT",IF(XLOOKUP([@oras],tbl_Localitati[oras_oficial],tbl_Localitati[judet],"?")&lt;&gt;[@judet],"JUDET NECORESPUNZATOR",""))</f>
        <v/>
      </c>
      <c r="R21">
        <f>IF(XLOOKUP([@categorie],tbl_RegulriTVA[categorie],tbl_RegulriTVA[cota_legala],-1)&lt;&gt;[@cota_tva],"TVA GRESIT","")</f>
        <v/>
      </c>
      <c r="S21">
        <f>IF([@data_scadentei]&lt;[@data_factura],"SCADENTA INAINTEA FACTURII","")</f>
        <v/>
      </c>
      <c r="T21">
        <f>IF(NETWORKDAYS.INTL([@data_factura],[@data_factura],1,tbl_SarbatoriLegale[data])=0,"ZI NELUCRATOARE","")</f>
        <v/>
      </c>
      <c r="U21">
        <f>IF([@motiv_anomalie]="","OK","DE INVESTIGAT")</f>
        <v/>
      </c>
      <c r="V21">
        <f>TEXTJOIN("; ",TRUE,[@flag_oras],[@flag_tva],[@flag_scadenta],[@flag_zi])</f>
        <v/>
      </c>
    </row>
    <row r="22">
      <c r="A22" t="inlineStr">
        <is>
          <t>F-2025-00021</t>
        </is>
      </c>
      <c r="B22" s="12" t="n">
        <v>46127</v>
      </c>
      <c r="C22" t="inlineStr">
        <is>
          <t>SC AROMET TRADING SRL</t>
        </is>
      </c>
      <c r="D22" t="inlineStr">
        <is>
          <t>Alba</t>
        </is>
      </c>
      <c r="E22" t="inlineStr">
        <is>
          <t>PRD-003</t>
        </is>
      </c>
      <c r="F22" t="inlineStr">
        <is>
          <t>Cafea boabe 1kg</t>
        </is>
      </c>
      <c r="G22" t="inlineStr">
        <is>
          <t>Alimente</t>
        </is>
      </c>
      <c r="H22" t="n">
        <v>2</v>
      </c>
      <c r="I22" t="n">
        <v>4346.89</v>
      </c>
      <c r="J22" t="n">
        <v>8693.780000000001</v>
      </c>
      <c r="K22" s="13" t="n">
        <v>0.09</v>
      </c>
      <c r="L22" t="n">
        <v>782.4400000000001</v>
      </c>
      <c r="M22" t="n">
        <v>9476.219999999999</v>
      </c>
      <c r="N22" t="inlineStr">
        <is>
          <t>RON</t>
        </is>
      </c>
      <c r="O22" t="inlineStr">
        <is>
          <t>Alba Iulia</t>
        </is>
      </c>
      <c r="P22" s="12" t="n">
        <v>46187</v>
      </c>
      <c r="Q22">
        <f>IF(COUNTIF(tbl_Localitati[oras_oficial],[@oras])=0,"ORAS NEALINIAT",IF(XLOOKUP([@oras],tbl_Localitati[oras_oficial],tbl_Localitati[judet],"?")&lt;&gt;[@judet],"JUDET NECORESPUNZATOR",""))</f>
        <v/>
      </c>
      <c r="R22">
        <f>IF(XLOOKUP([@categorie],tbl_RegulriTVA[categorie],tbl_RegulriTVA[cota_legala],-1)&lt;&gt;[@cota_tva],"TVA GRESIT","")</f>
        <v/>
      </c>
      <c r="S22">
        <f>IF([@data_scadentei]&lt;[@data_factura],"SCADENTA INAINTEA FACTURII","")</f>
        <v/>
      </c>
      <c r="T22">
        <f>IF(NETWORKDAYS.INTL([@data_factura],[@data_factura],1,tbl_SarbatoriLegale[data])=0,"ZI NELUCRATOARE","")</f>
        <v/>
      </c>
      <c r="U22">
        <f>IF([@motiv_anomalie]="","OK","DE INVESTIGAT")</f>
        <v/>
      </c>
      <c r="V22">
        <f>TEXTJOIN("; ",TRUE,[@flag_oras],[@flag_tva],[@flag_scadenta],[@flag_zi])</f>
        <v/>
      </c>
    </row>
    <row r="23">
      <c r="A23" t="inlineStr">
        <is>
          <t>F-2025-00022</t>
        </is>
      </c>
      <c r="B23" s="12" t="n">
        <v>46261</v>
      </c>
      <c r="C23" t="inlineStr">
        <is>
          <t>SC FARMAVITAL DISTRIBUTIE SA</t>
        </is>
      </c>
      <c r="D23" t="inlineStr">
        <is>
          <t>Bihor</t>
        </is>
      </c>
      <c r="E23" t="inlineStr">
        <is>
          <t>PRD-006</t>
        </is>
      </c>
      <c r="F23" t="inlineStr">
        <is>
          <t>Audit infrastructura</t>
        </is>
      </c>
      <c r="G23" t="inlineStr">
        <is>
          <t>Servicii consultanță</t>
        </is>
      </c>
      <c r="H23" t="n">
        <v>25</v>
      </c>
      <c r="I23" t="n">
        <v>756.89</v>
      </c>
      <c r="J23" t="n">
        <v>18922.25</v>
      </c>
      <c r="K23" s="13" t="n">
        <v>0.19</v>
      </c>
      <c r="L23" t="n">
        <v>3595.23</v>
      </c>
      <c r="M23" t="n">
        <v>22517.48</v>
      </c>
      <c r="N23" t="inlineStr">
        <is>
          <t>RON</t>
        </is>
      </c>
      <c r="O23" t="inlineStr">
        <is>
          <t>Oradea</t>
        </is>
      </c>
      <c r="P23" s="12" t="n">
        <v>46291</v>
      </c>
      <c r="Q23">
        <f>IF(COUNTIF(tbl_Localitati[oras_oficial],[@oras])=0,"ORAS NEALINIAT",IF(XLOOKUP([@oras],tbl_Localitati[oras_oficial],tbl_Localitati[judet],"?")&lt;&gt;[@judet],"JUDET NECORESPUNZATOR",""))</f>
        <v/>
      </c>
      <c r="R23">
        <f>IF(XLOOKUP([@categorie],tbl_RegulriTVA[categorie],tbl_RegulriTVA[cota_legala],-1)&lt;&gt;[@cota_tva],"TVA GRESIT","")</f>
        <v/>
      </c>
      <c r="S23">
        <f>IF([@data_scadentei]&lt;[@data_factura],"SCADENTA INAINTEA FACTURII","")</f>
        <v/>
      </c>
      <c r="T23">
        <f>IF(NETWORKDAYS.INTL([@data_factura],[@data_factura],1,tbl_SarbatoriLegale[data])=0,"ZI NELUCRATOARE","")</f>
        <v/>
      </c>
      <c r="U23">
        <f>IF([@motiv_anomalie]="","OK","DE INVESTIGAT")</f>
        <v/>
      </c>
      <c r="V23">
        <f>TEXTJOIN("; ",TRUE,[@flag_oras],[@flag_tva],[@flag_scadenta],[@flag_zi])</f>
        <v/>
      </c>
    </row>
    <row r="24">
      <c r="A24" t="inlineStr">
        <is>
          <t>F-2025-00023</t>
        </is>
      </c>
      <c r="B24" s="12" t="n">
        <v>46199</v>
      </c>
      <c r="C24" t="inlineStr">
        <is>
          <t>SC METALPLAST INVEST SA</t>
        </is>
      </c>
      <c r="D24" t="inlineStr">
        <is>
          <t>Cluj</t>
        </is>
      </c>
      <c r="E24" t="inlineStr">
        <is>
          <t>PRD-001</t>
        </is>
      </c>
      <c r="F24" t="inlineStr">
        <is>
          <t>Monitor 27" 4K</t>
        </is>
      </c>
      <c r="G24" t="inlineStr">
        <is>
          <t>Hardware IT</t>
        </is>
      </c>
      <c r="H24" t="n">
        <v>2</v>
      </c>
      <c r="I24" t="n">
        <v>2482</v>
      </c>
      <c r="J24" t="n">
        <v>4964</v>
      </c>
      <c r="K24" s="13" t="n">
        <v>0.19</v>
      </c>
      <c r="L24" t="n">
        <v>943.16</v>
      </c>
      <c r="M24" t="n">
        <v>5907.16</v>
      </c>
      <c r="N24" t="inlineStr">
        <is>
          <t>RON</t>
        </is>
      </c>
      <c r="O24" t="inlineStr">
        <is>
          <t>Turda</t>
        </is>
      </c>
      <c r="P24" s="12" t="n">
        <v>46229</v>
      </c>
      <c r="Q24">
        <f>IF(COUNTIF(tbl_Localitati[oras_oficial],[@oras])=0,"ORAS NEALINIAT",IF(XLOOKUP([@oras],tbl_Localitati[oras_oficial],tbl_Localitati[judet],"?")&lt;&gt;[@judet],"JUDET NECORESPUNZATOR",""))</f>
        <v/>
      </c>
      <c r="R24">
        <f>IF(XLOOKUP([@categorie],tbl_RegulriTVA[categorie],tbl_RegulriTVA[cota_legala],-1)&lt;&gt;[@cota_tva],"TVA GRESIT","")</f>
        <v/>
      </c>
      <c r="S24">
        <f>IF([@data_scadentei]&lt;[@data_factura],"SCADENTA INAINTEA FACTURII","")</f>
        <v/>
      </c>
      <c r="T24">
        <f>IF(NETWORKDAYS.INTL([@data_factura],[@data_factura],1,tbl_SarbatoriLegale[data])=0,"ZI NELUCRATOARE","")</f>
        <v/>
      </c>
      <c r="U24">
        <f>IF([@motiv_anomalie]="","OK","DE INVESTIGAT")</f>
        <v/>
      </c>
      <c r="V24">
        <f>TEXTJOIN("; ",TRUE,[@flag_oras],[@flag_tva],[@flag_scadenta],[@flag_zi])</f>
        <v/>
      </c>
    </row>
    <row r="25">
      <c r="A25" t="inlineStr">
        <is>
          <t>F-2025-00024</t>
        </is>
      </c>
      <c r="B25" s="12" t="n">
        <v>46281</v>
      </c>
      <c r="C25" t="inlineStr">
        <is>
          <t>SC SOLARIS ENERGY SRL</t>
        </is>
      </c>
      <c r="D25" t="inlineStr">
        <is>
          <t>Prahova</t>
        </is>
      </c>
      <c r="E25" t="inlineStr">
        <is>
          <t>PRD-007</t>
        </is>
      </c>
      <c r="F25" t="inlineStr">
        <is>
          <t>Apa plata bax</t>
        </is>
      </c>
      <c r="G25" t="inlineStr">
        <is>
          <t>Alimente</t>
        </is>
      </c>
      <c r="H25" t="n">
        <v>25</v>
      </c>
      <c r="I25" t="n">
        <v>187.58</v>
      </c>
      <c r="J25" t="n">
        <v>4689.5</v>
      </c>
      <c r="K25" s="13" t="n">
        <v>0.09</v>
      </c>
      <c r="L25" t="n">
        <v>422.06</v>
      </c>
      <c r="M25" t="n">
        <v>5111.56</v>
      </c>
      <c r="N25" t="inlineStr">
        <is>
          <t>RON</t>
        </is>
      </c>
      <c r="O25" t="inlineStr">
        <is>
          <t>Câmpina</t>
        </is>
      </c>
      <c r="P25" s="12" t="n">
        <v>46326</v>
      </c>
      <c r="Q25">
        <f>IF(COUNTIF(tbl_Localitati[oras_oficial],[@oras])=0,"ORAS NEALINIAT",IF(XLOOKUP([@oras],tbl_Localitati[oras_oficial],tbl_Localitati[judet],"?")&lt;&gt;[@judet],"JUDET NECORESPUNZATOR",""))</f>
        <v/>
      </c>
      <c r="R25">
        <f>IF(XLOOKUP([@categorie],tbl_RegulriTVA[categorie],tbl_RegulriTVA[cota_legala],-1)&lt;&gt;[@cota_tva],"TVA GRESIT","")</f>
        <v/>
      </c>
      <c r="S25">
        <f>IF([@data_scadentei]&lt;[@data_factura],"SCADENTA INAINTEA FACTURII","")</f>
        <v/>
      </c>
      <c r="T25">
        <f>IF(NETWORKDAYS.INTL([@data_factura],[@data_factura],1,tbl_SarbatoriLegale[data])=0,"ZI NELUCRATOARE","")</f>
        <v/>
      </c>
      <c r="U25">
        <f>IF([@motiv_anomalie]="","OK","DE INVESTIGAT")</f>
        <v/>
      </c>
      <c r="V25">
        <f>TEXTJOIN("; ",TRUE,[@flag_oras],[@flag_tva],[@flag_scadenta],[@flag_zi])</f>
        <v/>
      </c>
    </row>
    <row r="26">
      <c r="A26" t="inlineStr">
        <is>
          <t>F-2025-00025</t>
        </is>
      </c>
      <c r="B26" s="12" t="n">
        <v>46149</v>
      </c>
      <c r="C26" t="inlineStr">
        <is>
          <t>SC RAPID LOGISTIC SA</t>
        </is>
      </c>
      <c r="D26" t="inlineStr">
        <is>
          <t>Prahova</t>
        </is>
      </c>
      <c r="E26" t="inlineStr">
        <is>
          <t>PRD-008</t>
        </is>
      </c>
      <c r="F26" t="inlineStr">
        <is>
          <t>Dezinfectant maini 5L</t>
        </is>
      </c>
      <c r="G26" t="inlineStr">
        <is>
          <t>Produse farmaceutice</t>
        </is>
      </c>
      <c r="H26" t="n">
        <v>5</v>
      </c>
      <c r="I26" t="n">
        <v>447.71</v>
      </c>
      <c r="J26" t="n">
        <v>2238.55</v>
      </c>
      <c r="K26" s="13" t="n">
        <v>0.09</v>
      </c>
      <c r="L26" t="n">
        <v>201.47</v>
      </c>
      <c r="M26" t="n">
        <v>2440.02</v>
      </c>
      <c r="N26" t="inlineStr">
        <is>
          <t>RON</t>
        </is>
      </c>
      <c r="O26" t="inlineStr">
        <is>
          <t>Ploiești</t>
        </is>
      </c>
      <c r="P26" s="12" t="n">
        <v>46164</v>
      </c>
      <c r="Q26">
        <f>IF(COUNTIF(tbl_Localitati[oras_oficial],[@oras])=0,"ORAS NEALINIAT",IF(XLOOKUP([@oras],tbl_Localitati[oras_oficial],tbl_Localitati[judet],"?")&lt;&gt;[@judet],"JUDET NECORESPUNZATOR",""))</f>
        <v/>
      </c>
      <c r="R26">
        <f>IF(XLOOKUP([@categorie],tbl_RegulriTVA[categorie],tbl_RegulriTVA[cota_legala],-1)&lt;&gt;[@cota_tva],"TVA GRESIT","")</f>
        <v/>
      </c>
      <c r="S26">
        <f>IF([@data_scadentei]&lt;[@data_factura],"SCADENTA INAINTEA FACTURII","")</f>
        <v/>
      </c>
      <c r="T26">
        <f>IF(NETWORKDAYS.INTL([@data_factura],[@data_factura],1,tbl_SarbatoriLegale[data])=0,"ZI NELUCRATOARE","")</f>
        <v/>
      </c>
      <c r="U26">
        <f>IF([@motiv_anomalie]="","OK","DE INVESTIGAT")</f>
        <v/>
      </c>
      <c r="V26">
        <f>TEXTJOIN("; ",TRUE,[@flag_oras],[@flag_tva],[@flag_scadenta],[@flag_zi])</f>
        <v/>
      </c>
    </row>
    <row r="27">
      <c r="A27" t="inlineStr">
        <is>
          <t>F-2025-00026</t>
        </is>
      </c>
      <c r="B27" s="12" t="n">
        <v>46323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Server rack 1U</t>
        </is>
      </c>
      <c r="G27" t="inlineStr">
        <is>
          <t>Hardware IT</t>
        </is>
      </c>
      <c r="H27" t="n">
        <v>3</v>
      </c>
      <c r="I27" t="n">
        <v>261.15</v>
      </c>
      <c r="J27" t="n">
        <v>783.45</v>
      </c>
      <c r="K27" s="13" t="n">
        <v>0.19</v>
      </c>
      <c r="L27" t="n">
        <v>148.86</v>
      </c>
      <c r="M27" t="n">
        <v>932.3099999999999</v>
      </c>
      <c r="N27" t="inlineStr">
        <is>
          <t>RON</t>
        </is>
      </c>
      <c r="O27" t="inlineStr">
        <is>
          <t>Sibiu</t>
        </is>
      </c>
      <c r="P27" s="12" t="n">
        <v>46353</v>
      </c>
      <c r="Q27">
        <f>IF(COUNTIF(tbl_Localitati[oras_oficial],[@oras])=0,"ORAS NEALINIAT",IF(XLOOKUP([@oras],tbl_Localitati[oras_oficial],tbl_Localitati[judet],"?")&lt;&gt;[@judet],"JUDET NECORESPUNZATOR",""))</f>
        <v/>
      </c>
      <c r="R27">
        <f>IF(XLOOKUP([@categorie],tbl_RegulriTVA[categorie],tbl_RegulriTVA[cota_legala],-1)&lt;&gt;[@cota_tva],"TVA GRESIT","")</f>
        <v/>
      </c>
      <c r="S27">
        <f>IF([@data_scadentei]&lt;[@data_factura],"SCADENTA INAINTEA FACTURII","")</f>
        <v/>
      </c>
      <c r="T27">
        <f>IF(NETWORKDAYS.INTL([@data_factura],[@data_factura],1,tbl_SarbatoriLegale[data])=0,"ZI NELUCRATOARE","")</f>
        <v/>
      </c>
      <c r="U27">
        <f>IF([@motiv_anomalie]="","OK","DE INVESTIGAT")</f>
        <v/>
      </c>
      <c r="V27">
        <f>TEXTJOIN("; ",TRUE,[@flag_oras],[@flag_tva],[@flag_scadenta],[@flag_zi])</f>
        <v/>
      </c>
    </row>
    <row r="28">
      <c r="A28" t="inlineStr">
        <is>
          <t>F-2025-00027</t>
        </is>
      </c>
      <c r="B28" s="12" t="n">
        <v>46051</v>
      </c>
      <c r="C28" t="inlineStr">
        <is>
          <t>SC NORDIS DISTRIBUTIE SRL</t>
        </is>
      </c>
      <c r="D28" t="inlineStr">
        <is>
          <t>Constanța</t>
        </is>
      </c>
      <c r="E28" t="inlineStr">
        <is>
          <t>PRD-003</t>
        </is>
      </c>
      <c r="F28" t="inlineStr">
        <is>
          <t>Licenta ERP contabilitate</t>
        </is>
      </c>
      <c r="G28" t="inlineStr">
        <is>
          <t>Licențe software</t>
        </is>
      </c>
      <c r="H28" t="n">
        <v>1</v>
      </c>
      <c r="I28" t="n">
        <v>4244.47</v>
      </c>
      <c r="J28" t="n">
        <v>4244.47</v>
      </c>
      <c r="K28" s="13" t="n">
        <v>0.19</v>
      </c>
      <c r="L28" t="n">
        <v>806.45</v>
      </c>
      <c r="M28" t="n">
        <v>5050.92</v>
      </c>
      <c r="N28" t="inlineStr">
        <is>
          <t>RON</t>
        </is>
      </c>
      <c r="O28" t="inlineStr">
        <is>
          <t>Mangalia</t>
        </is>
      </c>
      <c r="P28" s="12" t="n">
        <v>46081</v>
      </c>
      <c r="Q28">
        <f>IF(COUNTIF(tbl_Localitati[oras_oficial],[@oras])=0,"ORAS NEALINIAT",IF(XLOOKUP([@oras],tbl_Localitati[oras_oficial],tbl_Localitati[judet],"?")&lt;&gt;[@judet],"JUDET NECORESPUNZATOR",""))</f>
        <v/>
      </c>
      <c r="R28">
        <f>IF(XLOOKUP([@categorie],tbl_RegulriTVA[categorie],tbl_RegulriTVA[cota_legala],-1)&lt;&gt;[@cota_tva],"TVA GRESIT","")</f>
        <v/>
      </c>
      <c r="S28">
        <f>IF([@data_scadentei]&lt;[@data_factura],"SCADENTA INAINTEA FACTURII","")</f>
        <v/>
      </c>
      <c r="T28">
        <f>IF(NETWORKDAYS.INTL([@data_factura],[@data_factura],1,tbl_SarbatoriLegale[data])=0,"ZI NELUCRATOARE","")</f>
        <v/>
      </c>
      <c r="U28">
        <f>IF([@motiv_anomalie]="","OK","DE INVESTIGAT")</f>
        <v/>
      </c>
      <c r="V28">
        <f>TEXTJOIN("; ",TRUE,[@flag_oras],[@flag_tva],[@flag_scadenta],[@flag_zi])</f>
        <v/>
      </c>
    </row>
    <row r="29">
      <c r="A29" t="inlineStr">
        <is>
          <t>F-2025-00028</t>
        </is>
      </c>
      <c r="B29" s="12" t="n">
        <v>46268</v>
      </c>
      <c r="C29" t="inlineStr">
        <is>
          <t>SC INTEGROMED SA</t>
        </is>
      </c>
      <c r="D29" t="inlineStr">
        <is>
          <t>Cluj</t>
        </is>
      </c>
      <c r="E29" t="inlineStr">
        <is>
          <t>PRD-003</t>
        </is>
      </c>
      <c r="F29" t="inlineStr">
        <is>
          <t>Server rack 1U</t>
        </is>
      </c>
      <c r="G29" t="inlineStr">
        <is>
          <t>Hardware IT</t>
        </is>
      </c>
      <c r="H29" t="n">
        <v>1</v>
      </c>
      <c r="I29" t="n">
        <v>4240.39</v>
      </c>
      <c r="J29" t="n">
        <v>4240.39</v>
      </c>
      <c r="K29" s="13" t="n">
        <v>0.19</v>
      </c>
      <c r="L29" t="n">
        <v>805.67</v>
      </c>
      <c r="M29" t="n">
        <v>5046.06</v>
      </c>
      <c r="N29" t="inlineStr">
        <is>
          <t>RON</t>
        </is>
      </c>
      <c r="O29" t="inlineStr">
        <is>
          <t>Cluj-Napoca</t>
        </is>
      </c>
      <c r="P29" s="12" t="n">
        <v>46298</v>
      </c>
      <c r="Q29">
        <f>IF(COUNTIF(tbl_Localitati[oras_oficial],[@oras])=0,"ORAS NEALINIAT",IF(XLOOKUP([@oras],tbl_Localitati[oras_oficial],tbl_Localitati[judet],"?")&lt;&gt;[@judet],"JUDET NECORESPUNZATOR",""))</f>
        <v/>
      </c>
      <c r="R29">
        <f>IF(XLOOKUP([@categorie],tbl_RegulriTVA[categorie],tbl_RegulriTVA[cota_legala],-1)&lt;&gt;[@cota_tva],"TVA GRESIT","")</f>
        <v/>
      </c>
      <c r="S29">
        <f>IF([@data_scadentei]&lt;[@data_factura],"SCADENTA INAINTEA FACTURII","")</f>
        <v/>
      </c>
      <c r="T29">
        <f>IF(NETWORKDAYS.INTL([@data_factura],[@data_factura],1,tbl_SarbatoriLegale[data])=0,"ZI NELUCRATOARE","")</f>
        <v/>
      </c>
      <c r="U29">
        <f>IF([@motiv_anomalie]="","OK","DE INVESTIGAT")</f>
        <v/>
      </c>
      <c r="V29">
        <f>TEXTJOIN("; ",TRUE,[@flag_oras],[@flag_tva],[@flag_scadenta],[@flag_zi])</f>
        <v/>
      </c>
    </row>
    <row r="30">
      <c r="A30" t="inlineStr">
        <is>
          <t>F-2025-00029</t>
        </is>
      </c>
      <c r="B30" s="12" t="n">
        <v>46198</v>
      </c>
      <c r="C30" t="inlineStr">
        <is>
          <t>SC OMEGA SOFT SRL</t>
        </is>
      </c>
      <c r="D30" t="inlineStr">
        <is>
          <t>Dolj</t>
        </is>
      </c>
      <c r="E30" t="inlineStr">
        <is>
          <t>PRD-003</t>
        </is>
      </c>
      <c r="F30" t="inlineStr">
        <is>
          <t>Pachet protocol sedinte</t>
        </is>
      </c>
      <c r="G30" t="inlineStr">
        <is>
          <t>Alimente</t>
        </is>
      </c>
      <c r="H30" t="n">
        <v>1</v>
      </c>
      <c r="I30" t="n">
        <v>4090.74</v>
      </c>
      <c r="J30" t="n">
        <v>4090.74</v>
      </c>
      <c r="K30" s="13" t="n">
        <v>0.09</v>
      </c>
      <c r="L30" t="n">
        <v>368.17</v>
      </c>
      <c r="M30" t="n">
        <v>4458.91</v>
      </c>
      <c r="N30" t="inlineStr">
        <is>
          <t>RON</t>
        </is>
      </c>
      <c r="O30" t="inlineStr">
        <is>
          <t>Craiova</t>
        </is>
      </c>
      <c r="P30" s="12" t="n">
        <v>46228</v>
      </c>
      <c r="Q30">
        <f>IF(COUNTIF(tbl_Localitati[oras_oficial],[@oras])=0,"ORAS NEALINIAT",IF(XLOOKUP([@oras],tbl_Localitati[oras_oficial],tbl_Localitati[judet],"?")&lt;&gt;[@judet],"JUDET NECORESPUNZATOR",""))</f>
        <v/>
      </c>
      <c r="R30">
        <f>IF(XLOOKUP([@categorie],tbl_RegulriTVA[categorie],tbl_RegulriTVA[cota_legala],-1)&lt;&gt;[@cota_tva],"TVA GRESIT","")</f>
        <v/>
      </c>
      <c r="S30">
        <f>IF([@data_scadentei]&lt;[@data_factura],"SCADENTA INAINTEA FACTURII","")</f>
        <v/>
      </c>
      <c r="T30">
        <f>IF(NETWORKDAYS.INTL([@data_factura],[@data_factura],1,tbl_SarbatoriLegale[data])=0,"ZI NELUCRATOARE","")</f>
        <v/>
      </c>
      <c r="U30">
        <f>IF([@motiv_anomalie]="","OK","DE INVESTIGAT")</f>
        <v/>
      </c>
      <c r="V30">
        <f>TEXTJOIN("; ",TRUE,[@flag_oras],[@flag_tva],[@flag_scadenta],[@flag_zi])</f>
        <v/>
      </c>
    </row>
    <row r="31">
      <c r="A31" t="inlineStr">
        <is>
          <t>F-2025-00030</t>
        </is>
      </c>
      <c r="B31" s="12" t="n">
        <v>46118</v>
      </c>
      <c r="C31" t="inlineStr">
        <is>
          <t>SC NOMINAL VOID SRL</t>
        </is>
      </c>
      <c r="D31" t="inlineStr">
        <is>
          <t>Constanța</t>
        </is>
      </c>
      <c r="E31" t="inlineStr">
        <is>
          <t>PRD-006</t>
        </is>
      </c>
      <c r="F31" t="inlineStr">
        <is>
          <t>Switch gigabit 24p</t>
        </is>
      </c>
      <c r="G31" t="inlineStr">
        <is>
          <t>Hardware IT</t>
        </is>
      </c>
      <c r="H31" t="n">
        <v>10</v>
      </c>
      <c r="I31" t="n">
        <v>780.63</v>
      </c>
      <c r="J31" t="n">
        <v>7806.3</v>
      </c>
      <c r="K31" s="13" t="n">
        <v>0.19</v>
      </c>
      <c r="L31" t="n">
        <v>1483.2</v>
      </c>
      <c r="M31" t="n">
        <v>9289.5</v>
      </c>
      <c r="N31" t="inlineStr">
        <is>
          <t>RON</t>
        </is>
      </c>
      <c r="O31" t="inlineStr">
        <is>
          <t>Constanța</t>
        </is>
      </c>
      <c r="P31" s="12" t="n">
        <v>46178</v>
      </c>
      <c r="Q31">
        <f>IF(COUNTIF(tbl_Localitati[oras_oficial],[@oras])=0,"ORAS NEALINIAT",IF(XLOOKUP([@oras],tbl_Localitati[oras_oficial],tbl_Localitati[judet],"?")&lt;&gt;[@judet],"JUDET NECORESPUNZATOR",""))</f>
        <v/>
      </c>
      <c r="R31">
        <f>IF(XLOOKUP([@categorie],tbl_RegulriTVA[categorie],tbl_RegulriTVA[cota_legala],-1)&lt;&gt;[@cota_tva],"TVA GRESIT","")</f>
        <v/>
      </c>
      <c r="S31">
        <f>IF([@data_scadentei]&lt;[@data_factura],"SCADENTA INAINTEA FACTURII","")</f>
        <v/>
      </c>
      <c r="T31">
        <f>IF(NETWORKDAYS.INTL([@data_factura],[@data_factura],1,tbl_SarbatoriLegale[data])=0,"ZI NELUCRATOARE","")</f>
        <v/>
      </c>
      <c r="U31">
        <f>IF([@motiv_anomalie]="","OK","DE INVESTIGAT")</f>
        <v/>
      </c>
      <c r="V31">
        <f>TEXTJOIN("; ",TRUE,[@flag_oras],[@flag_tva],[@flag_scadenta],[@flag_zi])</f>
        <v/>
      </c>
    </row>
    <row r="32">
      <c r="A32" t="inlineStr">
        <is>
          <t>F-2025-00031</t>
        </is>
      </c>
      <c r="B32" s="12" t="n">
        <v>46026</v>
      </c>
      <c r="C32" t="inlineStr">
        <is>
          <t>SC DACTECH SOLUTIONS SRL</t>
        </is>
      </c>
      <c r="D32" t="inlineStr">
        <is>
          <t>Argeș</t>
        </is>
      </c>
      <c r="E32" t="inlineStr">
        <is>
          <t>PRD-002</t>
        </is>
      </c>
      <c r="F32" t="inlineStr">
        <is>
          <t>Training utilizatori</t>
        </is>
      </c>
      <c r="G32" t="inlineStr">
        <is>
          <t>Servicii consultanță</t>
        </is>
      </c>
      <c r="H32" t="n">
        <v>1</v>
      </c>
      <c r="I32" t="n">
        <v>1141.89</v>
      </c>
      <c r="J32" t="n">
        <v>1141.89</v>
      </c>
      <c r="K32" s="13" t="n">
        <v>0.19</v>
      </c>
      <c r="L32" t="n">
        <v>216.96</v>
      </c>
      <c r="M32" t="n">
        <v>1358.85</v>
      </c>
      <c r="N32" t="inlineStr">
        <is>
          <t>RON</t>
        </is>
      </c>
      <c r="O32" t="inlineStr">
        <is>
          <t>Pitești</t>
        </is>
      </c>
      <c r="P32" s="12" t="n">
        <v>46056</v>
      </c>
      <c r="Q32">
        <f>IF(COUNTIF(tbl_Localitati[oras_oficial],[@oras])=0,"ORAS NEALINIAT",IF(XLOOKUP([@oras],tbl_Localitati[oras_oficial],tbl_Localitati[judet],"?")&lt;&gt;[@judet],"JUDET NECORESPUNZATOR",""))</f>
        <v/>
      </c>
      <c r="R32">
        <f>IF(XLOOKUP([@categorie],tbl_RegulriTVA[categorie],tbl_RegulriTVA[cota_legala],-1)&lt;&gt;[@cota_tva],"TVA GRESIT","")</f>
        <v/>
      </c>
      <c r="S32">
        <f>IF([@data_scadentei]&lt;[@data_factura],"SCADENTA INAINTEA FACTURII","")</f>
        <v/>
      </c>
      <c r="T32">
        <f>IF(NETWORKDAYS.INTL([@data_factura],[@data_factura],1,tbl_SarbatoriLegale[data])=0,"ZI NELUCRATOARE","")</f>
        <v/>
      </c>
      <c r="U32">
        <f>IF([@motiv_anomalie]="","OK","DE INVESTIGAT")</f>
        <v/>
      </c>
      <c r="V32">
        <f>TEXTJOIN("; ",TRUE,[@flag_oras],[@flag_tva],[@flag_scadenta],[@flag_zi])</f>
        <v/>
      </c>
    </row>
    <row r="33">
      <c r="A33" t="inlineStr">
        <is>
          <t>F-2025-00032</t>
        </is>
      </c>
      <c r="B33" s="12" t="n">
        <v>46177</v>
      </c>
      <c r="C33" t="inlineStr">
        <is>
          <t>SC ZENITH AUTO SRL</t>
        </is>
      </c>
      <c r="D33" t="inlineStr">
        <is>
          <t>București</t>
        </is>
      </c>
      <c r="E33" t="inlineStr">
        <is>
          <t>PRD-006</t>
        </is>
      </c>
      <c r="F33" t="inlineStr">
        <is>
          <t>Audit infrastructura</t>
        </is>
      </c>
      <c r="G33" t="inlineStr">
        <is>
          <t>Servicii consultanță</t>
        </is>
      </c>
      <c r="H33" t="n">
        <v>25</v>
      </c>
      <c r="I33" t="n">
        <v>777.3</v>
      </c>
      <c r="J33" t="n">
        <v>19432.5</v>
      </c>
      <c r="K33" s="13" t="n">
        <v>0.09</v>
      </c>
      <c r="L33" t="n">
        <v>1748.92</v>
      </c>
      <c r="M33" t="n">
        <v>21181.42</v>
      </c>
      <c r="N33" t="inlineStr">
        <is>
          <t>RON</t>
        </is>
      </c>
      <c r="O33" t="inlineStr">
        <is>
          <t>București</t>
        </is>
      </c>
      <c r="P33" s="12" t="n">
        <v>46207</v>
      </c>
      <c r="Q33">
        <f>IF(COUNTIF(tbl_Localitati[oras_oficial],[@oras])=0,"ORAS NEALINIAT",IF(XLOOKUP([@oras],tbl_Localitati[oras_oficial],tbl_Localitati[judet],"?")&lt;&gt;[@judet],"JUDET NECORESPUNZATOR",""))</f>
        <v/>
      </c>
      <c r="R33">
        <f>IF(XLOOKUP([@categorie],tbl_RegulriTVA[categorie],tbl_RegulriTVA[cota_legala],-1)&lt;&gt;[@cota_tva],"TVA GRESIT","")</f>
        <v/>
      </c>
      <c r="S33">
        <f>IF([@data_scadentei]&lt;[@data_factura],"SCADENTA INAINTEA FACTURII","")</f>
        <v/>
      </c>
      <c r="T33">
        <f>IF(NETWORKDAYS.INTL([@data_factura],[@data_factura],1,tbl_SarbatoriLegale[data])=0,"ZI NELUCRATOARE","")</f>
        <v/>
      </c>
      <c r="U33">
        <f>IF([@motiv_anomalie]="","OK","DE INVESTIGAT")</f>
        <v/>
      </c>
      <c r="V33">
        <f>TEXTJOIN("; ",TRUE,[@flag_oras],[@flag_tva],[@flag_scadenta],[@flag_zi])</f>
        <v/>
      </c>
    </row>
    <row r="34">
      <c r="A34" t="inlineStr">
        <is>
          <t>F-2025-00033</t>
        </is>
      </c>
      <c r="B34" s="12" t="n">
        <v>46217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Laptop business 15"</t>
        </is>
      </c>
      <c r="G34" t="inlineStr">
        <is>
          <t>Hardware IT</t>
        </is>
      </c>
      <c r="H34" t="n">
        <v>10</v>
      </c>
      <c r="I34" t="n">
        <v>26.79</v>
      </c>
      <c r="J34" t="n">
        <v>267.9</v>
      </c>
      <c r="K34" s="13" t="n">
        <v>0.19</v>
      </c>
      <c r="L34" t="n">
        <v>50.9</v>
      </c>
      <c r="M34" t="n">
        <v>318.8</v>
      </c>
      <c r="N34" t="inlineStr">
        <is>
          <t>RON</t>
        </is>
      </c>
      <c r="O34" t="inlineStr">
        <is>
          <t>Sibiu</t>
        </is>
      </c>
      <c r="P34" s="12" t="n">
        <v>46247</v>
      </c>
      <c r="Q34">
        <f>IF(COUNTIF(tbl_Localitati[oras_oficial],[@oras])=0,"ORAS NEALINIAT",IF(XLOOKUP([@oras],tbl_Localitati[oras_oficial],tbl_Localitati[judet],"?")&lt;&gt;[@judet],"JUDET NECORESPUNZATOR",""))</f>
        <v/>
      </c>
      <c r="R34">
        <f>IF(XLOOKUP([@categorie],tbl_RegulriTVA[categorie],tbl_RegulriTVA[cota_legala],-1)&lt;&gt;[@cota_tva],"TVA GRESIT","")</f>
        <v/>
      </c>
      <c r="S34">
        <f>IF([@data_scadentei]&lt;[@data_factura],"SCADENTA INAINTEA FACTURII","")</f>
        <v/>
      </c>
      <c r="T34">
        <f>IF(NETWORKDAYS.INTL([@data_factura],[@data_factura],1,tbl_SarbatoriLegale[data])=0,"ZI NELUCRATOARE","")</f>
        <v/>
      </c>
      <c r="U34">
        <f>IF([@motiv_anomalie]="","OK","DE INVESTIGAT")</f>
        <v/>
      </c>
      <c r="V34">
        <f>TEXTJOIN("; ",TRUE,[@flag_oras],[@flag_tva],[@flag_scadenta],[@flag_zi])</f>
        <v/>
      </c>
    </row>
    <row r="35">
      <c r="A35" t="inlineStr">
        <is>
          <t>F-2025-00034</t>
        </is>
      </c>
      <c r="B35" s="12" t="n">
        <v>46045</v>
      </c>
      <c r="C35" t="inlineStr">
        <is>
          <t>SC RAPID LOGISTIC SA</t>
        </is>
      </c>
      <c r="D35" t="inlineStr">
        <is>
          <t>Prahova</t>
        </is>
      </c>
      <c r="E35" t="inlineStr">
        <is>
          <t>PRD-006</t>
        </is>
      </c>
      <c r="F35" t="inlineStr">
        <is>
          <t>Carte tehnica IT</t>
        </is>
      </c>
      <c r="G35" t="inlineStr">
        <is>
          <t>Cărți și manuale</t>
        </is>
      </c>
      <c r="H35" t="n">
        <v>10</v>
      </c>
      <c r="I35" t="n">
        <v>744.63</v>
      </c>
      <c r="J35" t="n">
        <v>7446.3</v>
      </c>
      <c r="K35" s="13" t="n">
        <v>0.05</v>
      </c>
      <c r="L35" t="n">
        <v>372.32</v>
      </c>
      <c r="M35" t="n">
        <v>7818.62</v>
      </c>
      <c r="N35" t="inlineStr">
        <is>
          <t>RON</t>
        </is>
      </c>
      <c r="O35" t="inlineStr">
        <is>
          <t>Ploiești</t>
        </is>
      </c>
      <c r="P35" s="12" t="n">
        <v>46060</v>
      </c>
      <c r="Q35">
        <f>IF(COUNTIF(tbl_Localitati[oras_oficial],[@oras])=0,"ORAS NEALINIAT",IF(XLOOKUP([@oras],tbl_Localitati[oras_oficial],tbl_Localitati[judet],"?")&lt;&gt;[@judet],"JUDET NECORESPUNZATOR",""))</f>
        <v/>
      </c>
      <c r="R35">
        <f>IF(XLOOKUP([@categorie],tbl_RegulriTVA[categorie],tbl_RegulriTVA[cota_legala],-1)&lt;&gt;[@cota_tva],"TVA GRESIT","")</f>
        <v/>
      </c>
      <c r="S35">
        <f>IF([@data_scadentei]&lt;[@data_factura],"SCADENTA INAINTEA FACTURII","")</f>
        <v/>
      </c>
      <c r="T35">
        <f>IF(NETWORKDAYS.INTL([@data_factura],[@data_factura],1,tbl_SarbatoriLegale[data])=0,"ZI NELUCRATOARE","")</f>
        <v/>
      </c>
      <c r="U35">
        <f>IF([@motiv_anomalie]="","OK","DE INVESTIGAT")</f>
        <v/>
      </c>
      <c r="V35">
        <f>TEXTJOIN("; ",TRUE,[@flag_oras],[@flag_tva],[@flag_scadenta],[@flag_zi])</f>
        <v/>
      </c>
    </row>
    <row r="36">
      <c r="A36" t="inlineStr">
        <is>
          <t>F-2025-00035</t>
        </is>
      </c>
      <c r="B36" s="12" t="n">
        <v>46085</v>
      </c>
      <c r="C36" t="inlineStr">
        <is>
          <t>SC DACTECH SOLUTIONS SRL</t>
        </is>
      </c>
      <c r="D36" t="inlineStr">
        <is>
          <t>Argeș</t>
        </is>
      </c>
      <c r="E36" t="inlineStr">
        <is>
          <t>PRD-008</t>
        </is>
      </c>
      <c r="F36" t="inlineStr">
        <is>
          <t>Ceai cutie 100buc</t>
        </is>
      </c>
      <c r="G36" t="inlineStr">
        <is>
          <t>Alimente</t>
        </is>
      </c>
      <c r="H36" t="n">
        <v>5</v>
      </c>
      <c r="I36" t="n">
        <v>440.04</v>
      </c>
      <c r="J36" t="n">
        <v>2200.2</v>
      </c>
      <c r="K36" s="13" t="n">
        <v>0.09</v>
      </c>
      <c r="L36" t="n">
        <v>198.02</v>
      </c>
      <c r="M36" t="n">
        <v>2398.22</v>
      </c>
      <c r="N36" t="inlineStr">
        <is>
          <t>RON</t>
        </is>
      </c>
      <c r="O36" t="inlineStr">
        <is>
          <t>Pitești</t>
        </is>
      </c>
      <c r="P36" s="12" t="n">
        <v>46145</v>
      </c>
      <c r="Q36">
        <f>IF(COUNTIF(tbl_Localitati[oras_oficial],[@oras])=0,"ORAS NEALINIAT",IF(XLOOKUP([@oras],tbl_Localitati[oras_oficial],tbl_Localitati[judet],"?")&lt;&gt;[@judet],"JUDET NECORESPUNZATOR",""))</f>
        <v/>
      </c>
      <c r="R36">
        <f>IF(XLOOKUP([@categorie],tbl_RegulriTVA[categorie],tbl_RegulriTVA[cota_legala],-1)&lt;&gt;[@cota_tva],"TVA GRESIT","")</f>
        <v/>
      </c>
      <c r="S36">
        <f>IF([@data_scadentei]&lt;[@data_factura],"SCADENTA INAINTEA FACTURII","")</f>
        <v/>
      </c>
      <c r="T36">
        <f>IF(NETWORKDAYS.INTL([@data_factura],[@data_factura],1,tbl_SarbatoriLegale[data])=0,"ZI NELUCRATOARE","")</f>
        <v/>
      </c>
      <c r="U36">
        <f>IF([@motiv_anomalie]="","OK","DE INVESTIGAT")</f>
        <v/>
      </c>
      <c r="V36">
        <f>TEXTJOIN("; ",TRUE,[@flag_oras],[@flag_tva],[@flag_scadenta],[@flag_zi])</f>
        <v/>
      </c>
    </row>
    <row r="37">
      <c r="A37" t="inlineStr">
        <is>
          <t>F-2025-00036</t>
        </is>
      </c>
      <c r="B37" s="12" t="n">
        <v>46051</v>
      </c>
      <c r="C37" t="inlineStr">
        <is>
          <t>SC DACTECH SOLUTIONS SRL</t>
        </is>
      </c>
      <c r="D37" t="inlineStr">
        <is>
          <t>Argeș</t>
        </is>
      </c>
      <c r="E37" t="inlineStr">
        <is>
          <t>PRD-001</t>
        </is>
      </c>
      <c r="F37" t="inlineStr">
        <is>
          <t>Training utilizatori</t>
        </is>
      </c>
      <c r="G37" t="inlineStr">
        <is>
          <t>Servicii consultanță</t>
        </is>
      </c>
      <c r="H37" t="n">
        <v>1</v>
      </c>
      <c r="I37" t="n">
        <v>2310.29</v>
      </c>
      <c r="J37" t="n">
        <v>2310.29</v>
      </c>
      <c r="K37" s="13" t="n">
        <v>0.19</v>
      </c>
      <c r="L37" t="n">
        <v>438.96</v>
      </c>
      <c r="M37" t="n">
        <v>2749.25</v>
      </c>
      <c r="N37" t="inlineStr">
        <is>
          <t>RON</t>
        </is>
      </c>
      <c r="O37" t="inlineStr">
        <is>
          <t>Pitești</t>
        </is>
      </c>
      <c r="P37" s="12" t="n">
        <v>46081</v>
      </c>
      <c r="Q37">
        <f>IF(COUNTIF(tbl_Localitati[oras_oficial],[@oras])=0,"ORAS NEALINIAT",IF(XLOOKUP([@oras],tbl_Localitati[oras_oficial],tbl_Localitati[judet],"?")&lt;&gt;[@judet],"JUDET NECORESPUNZATOR",""))</f>
        <v/>
      </c>
      <c r="R37">
        <f>IF(XLOOKUP([@categorie],tbl_RegulriTVA[categorie],tbl_RegulriTVA[cota_legala],-1)&lt;&gt;[@cota_tva],"TVA GRESIT","")</f>
        <v/>
      </c>
      <c r="S37">
        <f>IF([@data_scadentei]&lt;[@data_factura],"SCADENTA INAINTEA FACTURII","")</f>
        <v/>
      </c>
      <c r="T37">
        <f>IF(NETWORKDAYS.INTL([@data_factura],[@data_factura],1,tbl_SarbatoriLegale[data])=0,"ZI NELUCRATOARE","")</f>
        <v/>
      </c>
      <c r="U37">
        <f>IF([@motiv_anomalie]="","OK","DE INVESTIGAT")</f>
        <v/>
      </c>
      <c r="V37">
        <f>TEXTJOIN("; ",TRUE,[@flag_oras],[@flag_tva],[@flag_scadenta],[@flag_zi])</f>
        <v/>
      </c>
    </row>
    <row r="38">
      <c r="A38" t="inlineStr">
        <is>
          <t>F-2025-00037</t>
        </is>
      </c>
      <c r="B38" s="12" t="n">
        <v>46202</v>
      </c>
      <c r="C38" t="inlineStr">
        <is>
          <t>SC RAPID LOGISTIC SA</t>
        </is>
      </c>
      <c r="D38" t="inlineStr">
        <is>
          <t>Prahova</t>
        </is>
      </c>
      <c r="E38" t="inlineStr">
        <is>
          <t>PRD-008</t>
        </is>
      </c>
      <c r="F38" t="inlineStr">
        <is>
          <t>Suport tehnic anual</t>
        </is>
      </c>
      <c r="G38" t="inlineStr">
        <is>
          <t>Servicii consultanță</t>
        </is>
      </c>
      <c r="H38" t="n">
        <v>1</v>
      </c>
      <c r="I38" t="n">
        <v>456.07</v>
      </c>
      <c r="J38" t="n">
        <v>456.07</v>
      </c>
      <c r="K38" s="13" t="n">
        <v>0.19</v>
      </c>
      <c r="L38" t="n">
        <v>86.65000000000001</v>
      </c>
      <c r="M38" t="n">
        <v>542.72</v>
      </c>
      <c r="N38" t="inlineStr">
        <is>
          <t>RON</t>
        </is>
      </c>
      <c r="O38" t="inlineStr">
        <is>
          <t>Ploiești</t>
        </is>
      </c>
      <c r="P38" s="12" t="n">
        <v>46247</v>
      </c>
      <c r="Q38">
        <f>IF(COUNTIF(tbl_Localitati[oras_oficial],[@oras])=0,"ORAS NEALINIAT",IF(XLOOKUP([@oras],tbl_Localitati[oras_oficial],tbl_Localitati[judet],"?")&lt;&gt;[@judet],"JUDET NECORESPUNZATOR",""))</f>
        <v/>
      </c>
      <c r="R38">
        <f>IF(XLOOKUP([@categorie],tbl_RegulriTVA[categorie],tbl_RegulriTVA[cota_legala],-1)&lt;&gt;[@cota_tva],"TVA GRESIT","")</f>
        <v/>
      </c>
      <c r="S38">
        <f>IF([@data_scadentei]&lt;[@data_factura],"SCADENTA INAINTEA FACTURII","")</f>
        <v/>
      </c>
      <c r="T38">
        <f>IF(NETWORKDAYS.INTL([@data_factura],[@data_factura],1,tbl_SarbatoriLegale[data])=0,"ZI NELUCRATOARE","")</f>
        <v/>
      </c>
      <c r="U38">
        <f>IF([@motiv_anomalie]="","OK","DE INVESTIGAT")</f>
        <v/>
      </c>
      <c r="V38">
        <f>TEXTJOIN("; ",TRUE,[@flag_oras],[@flag_tva],[@flag_scadenta],[@flag_zi])</f>
        <v/>
      </c>
    </row>
    <row r="39">
      <c r="A39" t="inlineStr">
        <is>
          <t>F-2025-00038</t>
        </is>
      </c>
      <c r="B39" s="12" t="n">
        <v>46343</v>
      </c>
      <c r="C39" t="inlineStr">
        <is>
          <t>SC NORDIS DISTRIBUTIE SRL</t>
        </is>
      </c>
      <c r="D39" t="inlineStr">
        <is>
          <t>Constanța</t>
        </is>
      </c>
      <c r="E39" t="inlineStr">
        <is>
          <t>PRD-010</t>
        </is>
      </c>
      <c r="F39" t="inlineStr">
        <is>
          <t>Consultanta implementare IT</t>
        </is>
      </c>
      <c r="G39" t="inlineStr">
        <is>
          <t>Servicii consultanță</t>
        </is>
      </c>
      <c r="H39" t="n">
        <v>5</v>
      </c>
      <c r="I39" t="n">
        <v>360.78</v>
      </c>
      <c r="J39" t="n">
        <v>1803.9</v>
      </c>
      <c r="K39" s="13" t="n">
        <v>0.19</v>
      </c>
      <c r="L39" t="n">
        <v>342.74</v>
      </c>
      <c r="M39" t="n">
        <v>2146.64</v>
      </c>
      <c r="N39" t="inlineStr">
        <is>
          <t>RON</t>
        </is>
      </c>
      <c r="O39" t="inlineStr">
        <is>
          <t>Mangalia</t>
        </is>
      </c>
      <c r="P39" s="12" t="n">
        <v>46358</v>
      </c>
      <c r="Q39">
        <f>IF(COUNTIF(tbl_Localitati[oras_oficial],[@oras])=0,"ORAS NEALINIAT",IF(XLOOKUP([@oras],tbl_Localitati[oras_oficial],tbl_Localitati[judet],"?")&lt;&gt;[@judet],"JUDET NECORESPUNZATOR",""))</f>
        <v/>
      </c>
      <c r="R39">
        <f>IF(XLOOKUP([@categorie],tbl_RegulriTVA[categorie],tbl_RegulriTVA[cota_legala],-1)&lt;&gt;[@cota_tva],"TVA GRESIT","")</f>
        <v/>
      </c>
      <c r="S39">
        <f>IF([@data_scadentei]&lt;[@data_factura],"SCADENTA INAINTEA FACTURII","")</f>
        <v/>
      </c>
      <c r="T39">
        <f>IF(NETWORKDAYS.INTL([@data_factura],[@data_factura],1,tbl_SarbatoriLegale[data])=0,"ZI NELUCRATOARE","")</f>
        <v/>
      </c>
      <c r="U39">
        <f>IF([@motiv_anomalie]="","OK","DE INVESTIGAT")</f>
        <v/>
      </c>
      <c r="V39">
        <f>TEXTJOIN("; ",TRUE,[@flag_oras],[@flag_tva],[@flag_scadenta],[@flag_zi])</f>
        <v/>
      </c>
    </row>
    <row r="40">
      <c r="A40" t="inlineStr">
        <is>
          <t>F-2025-00039</t>
        </is>
      </c>
      <c r="B40" s="12" t="n">
        <v>46351</v>
      </c>
      <c r="C40" t="inlineStr">
        <is>
          <t>SC AROMET TRADING SRL</t>
        </is>
      </c>
      <c r="D40" t="inlineStr">
        <is>
          <t>Alba</t>
        </is>
      </c>
      <c r="E40" t="inlineStr">
        <is>
          <t>PRD-011</t>
        </is>
      </c>
      <c r="F40" t="inlineStr">
        <is>
          <t>Masti protectie cutie</t>
        </is>
      </c>
      <c r="G40" t="inlineStr">
        <is>
          <t>Produse farmaceutice</t>
        </is>
      </c>
      <c r="H40" t="n">
        <v>10</v>
      </c>
      <c r="I40" t="n">
        <v>43.24</v>
      </c>
      <c r="J40" t="n">
        <v>432.4</v>
      </c>
      <c r="K40" s="13" t="n">
        <v>0.09</v>
      </c>
      <c r="L40" t="n">
        <v>38.92</v>
      </c>
      <c r="M40" t="n">
        <v>471.32</v>
      </c>
      <c r="N40" t="inlineStr">
        <is>
          <t>RON</t>
        </is>
      </c>
      <c r="O40" t="inlineStr">
        <is>
          <t>Alba Iulia</t>
        </is>
      </c>
      <c r="P40" s="12" t="n">
        <v>46396</v>
      </c>
      <c r="Q40">
        <f>IF(COUNTIF(tbl_Localitati[oras_oficial],[@oras])=0,"ORAS NEALINIAT",IF(XLOOKUP([@oras],tbl_Localitati[oras_oficial],tbl_Localitati[judet],"?")&lt;&gt;[@judet],"JUDET NECORESPUNZATOR",""))</f>
        <v/>
      </c>
      <c r="R40">
        <f>IF(XLOOKUP([@categorie],tbl_RegulriTVA[categorie],tbl_RegulriTVA[cota_legala],-1)&lt;&gt;[@cota_tva],"TVA GRESIT","")</f>
        <v/>
      </c>
      <c r="S40">
        <f>IF([@data_scadentei]&lt;[@data_factura],"SCADENTA INAINTEA FACTURII","")</f>
        <v/>
      </c>
      <c r="T40">
        <f>IF(NETWORKDAYS.INTL([@data_factura],[@data_factura],1,tbl_SarbatoriLegale[data])=0,"ZI NELUCRATOARE","")</f>
        <v/>
      </c>
      <c r="U40">
        <f>IF([@motiv_anomalie]="","OK","DE INVESTIGAT")</f>
        <v/>
      </c>
      <c r="V40">
        <f>TEXTJOIN("; ",TRUE,[@flag_oras],[@flag_tva],[@flag_scadenta],[@flag_zi])</f>
        <v/>
      </c>
    </row>
    <row r="41">
      <c r="A41" t="inlineStr">
        <is>
          <t>F-2025-00040</t>
        </is>
      </c>
      <c r="B41" s="12" t="n">
        <v>46265</v>
      </c>
      <c r="C41" t="inlineStr">
        <is>
          <t>SC OMEGA SOFT SRL</t>
        </is>
      </c>
      <c r="D41" t="inlineStr">
        <is>
          <t>Dolj</t>
        </is>
      </c>
      <c r="E41" t="inlineStr">
        <is>
          <t>PRD-010</t>
        </is>
      </c>
      <c r="F41" t="inlineStr">
        <is>
          <t>Manual proceduri interne</t>
        </is>
      </c>
      <c r="G41" t="inlineStr">
        <is>
          <t>Cărți și manuale</t>
        </is>
      </c>
      <c r="H41" t="n">
        <v>50</v>
      </c>
      <c r="I41" t="n">
        <v>336.29</v>
      </c>
      <c r="J41" t="n">
        <v>16814.5</v>
      </c>
      <c r="K41" s="13" t="n">
        <v>0.05</v>
      </c>
      <c r="L41" t="n">
        <v>840.73</v>
      </c>
      <c r="M41" t="n">
        <v>17655.23</v>
      </c>
      <c r="N41" t="inlineStr">
        <is>
          <t>RON</t>
        </is>
      </c>
      <c r="O41" t="inlineStr">
        <is>
          <t>Craiova</t>
        </is>
      </c>
      <c r="P41" s="12" t="n">
        <v>46295</v>
      </c>
      <c r="Q41">
        <f>IF(COUNTIF(tbl_Localitati[oras_oficial],[@oras])=0,"ORAS NEALINIAT",IF(XLOOKUP([@oras],tbl_Localitati[oras_oficial],tbl_Localitati[judet],"?")&lt;&gt;[@judet],"JUDET NECORESPUNZATOR",""))</f>
        <v/>
      </c>
      <c r="R41">
        <f>IF(XLOOKUP([@categorie],tbl_RegulriTVA[categorie],tbl_RegulriTVA[cota_legala],-1)&lt;&gt;[@cota_tva],"TVA GRESIT","")</f>
        <v/>
      </c>
      <c r="S41">
        <f>IF([@data_scadentei]&lt;[@data_factura],"SCADENTA INAINTEA FACTURII","")</f>
        <v/>
      </c>
      <c r="T41">
        <f>IF(NETWORKDAYS.INTL([@data_factura],[@data_factura],1,tbl_SarbatoriLegale[data])=0,"ZI NELUCRATOARE","")</f>
        <v/>
      </c>
      <c r="U41">
        <f>IF([@motiv_anomalie]="","OK","DE INVESTIGAT")</f>
        <v/>
      </c>
      <c r="V41">
        <f>TEXTJOIN("; ",TRUE,[@flag_oras],[@flag_tva],[@flag_scadenta],[@flag_zi])</f>
        <v/>
      </c>
    </row>
    <row r="42">
      <c r="A42" t="inlineStr">
        <is>
          <t>F-2025-00041</t>
        </is>
      </c>
      <c r="B42" s="12" t="n">
        <v>46190</v>
      </c>
      <c r="C42" t="inlineStr">
        <is>
          <t>SC NORDIS DISTRIBUTIE SRL</t>
        </is>
      </c>
      <c r="D42" t="inlineStr">
        <is>
          <t>Constanța</t>
        </is>
      </c>
      <c r="E42" t="inlineStr">
        <is>
          <t>PRD-005</t>
        </is>
      </c>
      <c r="F42" t="inlineStr">
        <is>
          <t>Abonament suita cloud</t>
        </is>
      </c>
      <c r="G42" t="inlineStr">
        <is>
          <t>Licențe software</t>
        </is>
      </c>
      <c r="H42" t="n">
        <v>10</v>
      </c>
      <c r="I42" t="n">
        <v>259.4</v>
      </c>
      <c r="J42" t="n">
        <v>2594</v>
      </c>
      <c r="K42" s="13" t="n">
        <v>0.19</v>
      </c>
      <c r="L42" t="n">
        <v>492.86</v>
      </c>
      <c r="M42" t="n">
        <v>3086.86</v>
      </c>
      <c r="N42" t="inlineStr">
        <is>
          <t>RON</t>
        </is>
      </c>
      <c r="O42" t="inlineStr">
        <is>
          <t>Mangalia</t>
        </is>
      </c>
      <c r="P42" s="12" t="n">
        <v>46220</v>
      </c>
      <c r="Q42">
        <f>IF(COUNTIF(tbl_Localitati[oras_oficial],[@oras])=0,"ORAS NEALINIAT",IF(XLOOKUP([@oras],tbl_Localitati[oras_oficial],tbl_Localitati[judet],"?")&lt;&gt;[@judet],"JUDET NECORESPUNZATOR",""))</f>
        <v/>
      </c>
      <c r="R42">
        <f>IF(XLOOKUP([@categorie],tbl_RegulriTVA[categorie],tbl_RegulriTVA[cota_legala],-1)&lt;&gt;[@cota_tva],"TVA GRESIT","")</f>
        <v/>
      </c>
      <c r="S42">
        <f>IF([@data_scadentei]&lt;[@data_factura],"SCADENTA INAINTEA FACTURII","")</f>
        <v/>
      </c>
      <c r="T42">
        <f>IF(NETWORKDAYS.INTL([@data_factura],[@data_factura],1,tbl_SarbatoriLegale[data])=0,"ZI NELUCRATOARE","")</f>
        <v/>
      </c>
      <c r="U42">
        <f>IF([@motiv_anomalie]="","OK","DE INVESTIGAT")</f>
        <v/>
      </c>
      <c r="V42">
        <f>TEXTJOIN("; ",TRUE,[@flag_oras],[@flag_tva],[@flag_scadenta],[@flag_zi])</f>
        <v/>
      </c>
    </row>
    <row r="43">
      <c r="A43" t="inlineStr">
        <is>
          <t>F-2025-00042</t>
        </is>
      </c>
      <c r="B43" s="12" t="n">
        <v>46379</v>
      </c>
      <c r="C43" t="inlineStr">
        <is>
          <t>SC AROMET TRADING SRL</t>
        </is>
      </c>
      <c r="D43" t="inlineStr">
        <is>
          <t>Alba</t>
        </is>
      </c>
      <c r="E43" t="inlineStr">
        <is>
          <t>PRD-010</t>
        </is>
      </c>
      <c r="F43" t="inlineStr">
        <is>
          <t>Monitor 27" 4K</t>
        </is>
      </c>
      <c r="G43" t="inlineStr">
        <is>
          <t>Hardware IT</t>
        </is>
      </c>
      <c r="H43" t="n">
        <v>20</v>
      </c>
      <c r="I43" t="n">
        <v>353.91</v>
      </c>
      <c r="J43" t="n">
        <v>7078.2</v>
      </c>
      <c r="K43" s="13" t="n">
        <v>0.19</v>
      </c>
      <c r="L43" t="n">
        <v>1344.86</v>
      </c>
      <c r="M43" t="n">
        <v>8423.059999999999</v>
      </c>
      <c r="N43" t="inlineStr">
        <is>
          <t>RON</t>
        </is>
      </c>
      <c r="O43" t="inlineStr">
        <is>
          <t>Alba Iulia</t>
        </is>
      </c>
      <c r="P43" s="12" t="n">
        <v>46439</v>
      </c>
      <c r="Q43">
        <f>IF(COUNTIF(tbl_Localitati[oras_oficial],[@oras])=0,"ORAS NEALINIAT",IF(XLOOKUP([@oras],tbl_Localitati[oras_oficial],tbl_Localitati[judet],"?")&lt;&gt;[@judet],"JUDET NECORESPUNZATOR",""))</f>
        <v/>
      </c>
      <c r="R43">
        <f>IF(XLOOKUP([@categorie],tbl_RegulriTVA[categorie],tbl_RegulriTVA[cota_legala],-1)&lt;&gt;[@cota_tva],"TVA GRESIT","")</f>
        <v/>
      </c>
      <c r="S43">
        <f>IF([@data_scadentei]&lt;[@data_factura],"SCADENTA INAINTEA FACTURII","")</f>
        <v/>
      </c>
      <c r="T43">
        <f>IF(NETWORKDAYS.INTL([@data_factura],[@data_factura],1,tbl_SarbatoriLegale[data])=0,"ZI NELUCRATOARE","")</f>
        <v/>
      </c>
      <c r="U43">
        <f>IF([@motiv_anomalie]="","OK","DE INVESTIGAT")</f>
        <v/>
      </c>
      <c r="V43">
        <f>TEXTJOIN("; ",TRUE,[@flag_oras],[@flag_tva],[@flag_scadenta],[@flag_zi])</f>
        <v/>
      </c>
    </row>
    <row r="44">
      <c r="A44" t="inlineStr">
        <is>
          <t>F-2025-00043</t>
        </is>
      </c>
      <c r="B44" s="12" t="n">
        <v>46308</v>
      </c>
      <c r="C44" t="inlineStr">
        <is>
          <t>SC DACTECH SOLUTIONS SRL</t>
        </is>
      </c>
      <c r="D44" t="inlineStr">
        <is>
          <t>Argeș</t>
        </is>
      </c>
      <c r="E44" t="inlineStr">
        <is>
          <t>PRD-009</t>
        </is>
      </c>
      <c r="F44" t="inlineStr">
        <is>
          <t>Multifunctionala laser</t>
        </is>
      </c>
      <c r="G44" t="inlineStr">
        <is>
          <t>Echipamente birou</t>
        </is>
      </c>
      <c r="H44" t="n">
        <v>20</v>
      </c>
      <c r="I44" t="n">
        <v>27.5</v>
      </c>
      <c r="J44" t="n">
        <v>550</v>
      </c>
      <c r="K44" s="13" t="n">
        <v>0.19</v>
      </c>
      <c r="L44" t="n">
        <v>104.5</v>
      </c>
      <c r="M44" t="n">
        <v>654.5</v>
      </c>
      <c r="N44" t="inlineStr">
        <is>
          <t>RON</t>
        </is>
      </c>
      <c r="O44" t="inlineStr">
        <is>
          <t>Pitești</t>
        </is>
      </c>
      <c r="P44" s="12" t="n">
        <v>46338</v>
      </c>
      <c r="Q44">
        <f>IF(COUNTIF(tbl_Localitati[oras_oficial],[@oras])=0,"ORAS NEALINIAT",IF(XLOOKUP([@oras],tbl_Localitati[oras_oficial],tbl_Localitati[judet],"?")&lt;&gt;[@judet],"JUDET NECORESPUNZATOR",""))</f>
        <v/>
      </c>
      <c r="R44">
        <f>IF(XLOOKUP([@categorie],tbl_RegulriTVA[categorie],tbl_RegulriTVA[cota_legala],-1)&lt;&gt;[@cota_tva],"TVA GRESIT","")</f>
        <v/>
      </c>
      <c r="S44">
        <f>IF([@data_scadentei]&lt;[@data_factura],"SCADENTA INAINTEA FACTURII","")</f>
        <v/>
      </c>
      <c r="T44">
        <f>IF(NETWORKDAYS.INTL([@data_factura],[@data_factura],1,tbl_SarbatoriLegale[data])=0,"ZI NELUCRATOARE","")</f>
        <v/>
      </c>
      <c r="U44">
        <f>IF([@motiv_anomalie]="","OK","DE INVESTIGAT")</f>
        <v/>
      </c>
      <c r="V44">
        <f>TEXTJOIN("; ",TRUE,[@flag_oras],[@flag_tva],[@flag_scadenta],[@flag_zi])</f>
        <v/>
      </c>
    </row>
    <row r="45">
      <c r="A45" t="inlineStr">
        <is>
          <t>F-2025-00044</t>
        </is>
      </c>
      <c r="B45" s="12" t="n">
        <v>46139</v>
      </c>
      <c r="C45" t="inlineStr">
        <is>
          <t>SC UNIFOOD DISTRIBUTION SA</t>
        </is>
      </c>
      <c r="D45" t="inlineStr">
        <is>
          <t>Sibiu</t>
        </is>
      </c>
      <c r="E45" t="inlineStr">
        <is>
          <t>PRD-012</t>
        </is>
      </c>
      <c r="F45" t="inlineStr">
        <is>
          <t>Apa plata bax</t>
        </is>
      </c>
      <c r="G45" t="inlineStr">
        <is>
          <t>Alimente</t>
        </is>
      </c>
      <c r="H45" t="n">
        <v>1</v>
      </c>
      <c r="I45" t="n">
        <v>182.18</v>
      </c>
      <c r="J45" t="n">
        <v>182.18</v>
      </c>
      <c r="K45" s="13" t="n">
        <v>0.09</v>
      </c>
      <c r="L45" t="n">
        <v>16.4</v>
      </c>
      <c r="M45" t="n">
        <v>198.58</v>
      </c>
      <c r="N45" t="inlineStr">
        <is>
          <t>RON</t>
        </is>
      </c>
      <c r="O45" t="inlineStr">
        <is>
          <t>Mediaș</t>
        </is>
      </c>
      <c r="P45" s="12" t="n">
        <v>46199</v>
      </c>
      <c r="Q45">
        <f>IF(COUNTIF(tbl_Localitati[oras_oficial],[@oras])=0,"ORAS NEALINIAT",IF(XLOOKUP([@oras],tbl_Localitati[oras_oficial],tbl_Localitati[judet],"?")&lt;&gt;[@judet],"JUDET NECORESPUNZATOR",""))</f>
        <v/>
      </c>
      <c r="R45">
        <f>IF(XLOOKUP([@categorie],tbl_RegulriTVA[categorie],tbl_RegulriTVA[cota_legala],-1)&lt;&gt;[@cota_tva],"TVA GRESIT","")</f>
        <v/>
      </c>
      <c r="S45">
        <f>IF([@data_scadentei]&lt;[@data_factura],"SCADENTA INAINTEA FACTURII","")</f>
        <v/>
      </c>
      <c r="T45">
        <f>IF(NETWORKDAYS.INTL([@data_factura],[@data_factura],1,tbl_SarbatoriLegale[data])=0,"ZI NELUCRATOARE","")</f>
        <v/>
      </c>
      <c r="U45">
        <f>IF([@motiv_anomalie]="","OK","DE INVESTIGAT")</f>
        <v/>
      </c>
      <c r="V45">
        <f>TEXTJOIN("; ",TRUE,[@flag_oras],[@flag_tva],[@flag_scadenta],[@flag_zi])</f>
        <v/>
      </c>
    </row>
    <row r="46">
      <c r="A46" t="inlineStr">
        <is>
          <t>F-2025-00045</t>
        </is>
      </c>
      <c r="B46" s="12" t="n">
        <v>46167</v>
      </c>
      <c r="C46" t="inlineStr">
        <is>
          <t>SC PROVITA MEDICAL SRL</t>
        </is>
      </c>
      <c r="D46" t="inlineStr">
        <is>
          <t>Mureș</t>
        </is>
      </c>
      <c r="E46" t="inlineStr">
        <is>
          <t>PRD-011</t>
        </is>
      </c>
      <c r="F46" t="inlineStr">
        <is>
          <t>Switch gigabit 24p</t>
        </is>
      </c>
      <c r="G46" t="inlineStr">
        <is>
          <t>Hardware IT</t>
        </is>
      </c>
      <c r="H46" t="n">
        <v>20</v>
      </c>
      <c r="I46" t="n">
        <v>44.97</v>
      </c>
      <c r="J46" t="n">
        <v>899.4</v>
      </c>
      <c r="K46" s="13" t="n">
        <v>0.19</v>
      </c>
      <c r="L46" t="n">
        <v>170.89</v>
      </c>
      <c r="M46" t="n">
        <v>1070.29</v>
      </c>
      <c r="N46" t="inlineStr">
        <is>
          <t>RON</t>
        </is>
      </c>
      <c r="O46" t="inlineStr">
        <is>
          <t>Târgu Mureș</t>
        </is>
      </c>
      <c r="P46" s="12" t="n">
        <v>46197</v>
      </c>
      <c r="Q46">
        <f>IF(COUNTIF(tbl_Localitati[oras_oficial],[@oras])=0,"ORAS NEALINIAT",IF(XLOOKUP([@oras],tbl_Localitati[oras_oficial],tbl_Localitati[judet],"?")&lt;&gt;[@judet],"JUDET NECORESPUNZATOR",""))</f>
        <v/>
      </c>
      <c r="R46">
        <f>IF(XLOOKUP([@categorie],tbl_RegulriTVA[categorie],tbl_RegulriTVA[cota_legala],-1)&lt;&gt;[@cota_tva],"TVA GRESIT","")</f>
        <v/>
      </c>
      <c r="S46">
        <f>IF([@data_scadentei]&lt;[@data_factura],"SCADENTA INAINTEA FACTURII","")</f>
        <v/>
      </c>
      <c r="T46">
        <f>IF(NETWORKDAYS.INTL([@data_factura],[@data_factura],1,tbl_SarbatoriLegale[data])=0,"ZI NELUCRATOARE","")</f>
        <v/>
      </c>
      <c r="U46">
        <f>IF([@motiv_anomalie]="","OK","DE INVESTIGAT")</f>
        <v/>
      </c>
      <c r="V46">
        <f>TEXTJOIN("; ",TRUE,[@flag_oras],[@flag_tva],[@flag_scadenta],[@flag_zi])</f>
        <v/>
      </c>
    </row>
    <row r="47">
      <c r="A47" t="inlineStr">
        <is>
          <t>F-2025-00046</t>
        </is>
      </c>
      <c r="B47" s="12" t="n">
        <v>46367</v>
      </c>
      <c r="C47" t="inlineStr">
        <is>
          <t>SC FARMAVITAL DISTRIBUTIE SA</t>
        </is>
      </c>
      <c r="D47" t="inlineStr">
        <is>
          <t>Bihor</t>
        </is>
      </c>
      <c r="E47" t="inlineStr">
        <is>
          <t>PRD-009</t>
        </is>
      </c>
      <c r="F47" t="inlineStr">
        <is>
          <t>Manual proceduri interne</t>
        </is>
      </c>
      <c r="G47" t="inlineStr">
        <is>
          <t>Cărți și manuale</t>
        </is>
      </c>
      <c r="H47" t="n">
        <v>10</v>
      </c>
      <c r="I47" t="n">
        <v>26.88</v>
      </c>
      <c r="J47" t="n">
        <v>268.8</v>
      </c>
      <c r="K47" s="13" t="n">
        <v>0.05</v>
      </c>
      <c r="L47" t="n">
        <v>13.44</v>
      </c>
      <c r="M47" t="n">
        <v>282.24</v>
      </c>
      <c r="N47" t="inlineStr">
        <is>
          <t>RON</t>
        </is>
      </c>
      <c r="O47" t="inlineStr">
        <is>
          <t>Oradea</t>
        </is>
      </c>
      <c r="P47" s="12" t="n">
        <v>46412</v>
      </c>
      <c r="Q47">
        <f>IF(COUNTIF(tbl_Localitati[oras_oficial],[@oras])=0,"ORAS NEALINIAT",IF(XLOOKUP([@oras],tbl_Localitati[oras_oficial],tbl_Localitati[judet],"?")&lt;&gt;[@judet],"JUDET NECORESPUNZATOR",""))</f>
        <v/>
      </c>
      <c r="R47">
        <f>IF(XLOOKUP([@categorie],tbl_RegulriTVA[categorie],tbl_RegulriTVA[cota_legala],-1)&lt;&gt;[@cota_tva],"TVA GRESIT","")</f>
        <v/>
      </c>
      <c r="S47">
        <f>IF([@data_scadentei]&lt;[@data_factura],"SCADENTA INAINTEA FACTURII","")</f>
        <v/>
      </c>
      <c r="T47">
        <f>IF(NETWORKDAYS.INTL([@data_factura],[@data_factura],1,tbl_SarbatoriLegale[data])=0,"ZI NELUCRATOARE","")</f>
        <v/>
      </c>
      <c r="U47">
        <f>IF([@motiv_anomalie]="","OK","DE INVESTIGAT")</f>
        <v/>
      </c>
      <c r="V47">
        <f>TEXTJOIN("; ",TRUE,[@flag_oras],[@flag_tva],[@flag_scadenta],[@flag_zi])</f>
        <v/>
      </c>
    </row>
    <row r="48">
      <c r="A48" t="inlineStr">
        <is>
          <t>F-2025-00047</t>
        </is>
      </c>
      <c r="B48" s="12" t="n">
        <v>46148</v>
      </c>
      <c r="C48" t="inlineStr">
        <is>
          <t>SC AROMET TRADING SRL</t>
        </is>
      </c>
      <c r="D48" t="inlineStr">
        <is>
          <t>Alba</t>
        </is>
      </c>
      <c r="E48" t="inlineStr">
        <is>
          <t>PRD-007</t>
        </is>
      </c>
      <c r="F48" t="inlineStr">
        <is>
          <t>Consultanta implementare IT</t>
        </is>
      </c>
      <c r="G48" t="inlineStr">
        <is>
          <t>Servicii consultanță</t>
        </is>
      </c>
      <c r="H48" t="n">
        <v>5</v>
      </c>
      <c r="I48" t="n">
        <v>186.35</v>
      </c>
      <c r="J48" t="n">
        <v>931.75</v>
      </c>
      <c r="K48" s="13" t="n">
        <v>0.19</v>
      </c>
      <c r="L48" t="n">
        <v>177.03</v>
      </c>
      <c r="M48" t="n">
        <v>1108.78</v>
      </c>
      <c r="N48" t="inlineStr">
        <is>
          <t>EUR</t>
        </is>
      </c>
      <c r="O48" t="inlineStr">
        <is>
          <t>Alba Iulia</t>
        </is>
      </c>
      <c r="P48" s="12" t="n">
        <v>46178</v>
      </c>
      <c r="Q48">
        <f>IF(COUNTIF(tbl_Localitati[oras_oficial],[@oras])=0,"ORAS NEALINIAT",IF(XLOOKUP([@oras],tbl_Localitati[oras_oficial],tbl_Localitati[judet],"?")&lt;&gt;[@judet],"JUDET NECORESPUNZATOR",""))</f>
        <v/>
      </c>
      <c r="R48">
        <f>IF(XLOOKUP([@categorie],tbl_RegulriTVA[categorie],tbl_RegulriTVA[cota_legala],-1)&lt;&gt;[@cota_tva],"TVA GRESIT","")</f>
        <v/>
      </c>
      <c r="S48">
        <f>IF([@data_scadentei]&lt;[@data_factura],"SCADENTA INAINTEA FACTURII","")</f>
        <v/>
      </c>
      <c r="T48">
        <f>IF(NETWORKDAYS.INTL([@data_factura],[@data_factura],1,tbl_SarbatoriLegale[data])=0,"ZI NELUCRATOARE","")</f>
        <v/>
      </c>
      <c r="U48">
        <f>IF([@motiv_anomalie]="","OK","DE INVESTIGAT")</f>
        <v/>
      </c>
      <c r="V48">
        <f>TEXTJOIN("; ",TRUE,[@flag_oras],[@flag_tva],[@flag_scadenta],[@flag_zi])</f>
        <v/>
      </c>
    </row>
    <row r="49">
      <c r="A49" t="inlineStr">
        <is>
          <t>F-2025-00048</t>
        </is>
      </c>
      <c r="B49" s="12" t="n">
        <v>46370</v>
      </c>
      <c r="C49" t="inlineStr">
        <is>
          <t>SC NORDIS DISTRIBUTIE SRL</t>
        </is>
      </c>
      <c r="D49" t="inlineStr">
        <is>
          <t>Constanța</t>
        </is>
      </c>
      <c r="E49" t="inlineStr">
        <is>
          <t>PRD-012</t>
        </is>
      </c>
      <c r="F49" t="inlineStr">
        <is>
          <t>Monitor 27" 4K</t>
        </is>
      </c>
      <c r="G49" t="inlineStr">
        <is>
          <t>Hardware IT</t>
        </is>
      </c>
      <c r="H49" t="n">
        <v>1</v>
      </c>
      <c r="I49" t="n">
        <v>187.19</v>
      </c>
      <c r="J49" t="n">
        <v>187.19</v>
      </c>
      <c r="K49" s="13" t="n">
        <v>0.19</v>
      </c>
      <c r="L49" t="n">
        <v>35.57</v>
      </c>
      <c r="M49" t="n">
        <v>222.76</v>
      </c>
      <c r="N49" t="inlineStr">
        <is>
          <t>RON</t>
        </is>
      </c>
      <c r="O49" t="inlineStr">
        <is>
          <t>Mangalia</t>
        </is>
      </c>
      <c r="P49" s="12" t="n">
        <v>46400</v>
      </c>
      <c r="Q49">
        <f>IF(COUNTIF(tbl_Localitati[oras_oficial],[@oras])=0,"ORAS NEALINIAT",IF(XLOOKUP([@oras],tbl_Localitati[oras_oficial],tbl_Localitati[judet],"?")&lt;&gt;[@judet],"JUDET NECORESPUNZATOR",""))</f>
        <v/>
      </c>
      <c r="R49">
        <f>IF(XLOOKUP([@categorie],tbl_RegulriTVA[categorie],tbl_RegulriTVA[cota_legala],-1)&lt;&gt;[@cota_tva],"TVA GRESIT","")</f>
        <v/>
      </c>
      <c r="S49">
        <f>IF([@data_scadentei]&lt;[@data_factura],"SCADENTA INAINTEA FACTURII","")</f>
        <v/>
      </c>
      <c r="T49">
        <f>IF(NETWORKDAYS.INTL([@data_factura],[@data_factura],1,tbl_SarbatoriLegale[data])=0,"ZI NELUCRATOARE","")</f>
        <v/>
      </c>
      <c r="U49">
        <f>IF([@motiv_anomalie]="","OK","DE INVESTIGAT")</f>
        <v/>
      </c>
      <c r="V49">
        <f>TEXTJOIN("; ",TRUE,[@flag_oras],[@flag_tva],[@flag_scadenta],[@flag_zi])</f>
        <v/>
      </c>
    </row>
    <row r="50">
      <c r="A50" t="inlineStr">
        <is>
          <t>F-2025-00049</t>
        </is>
      </c>
      <c r="B50" s="12" t="n">
        <v>46049</v>
      </c>
      <c r="C50" t="inlineStr">
        <is>
          <t>SC AROMET TRADING SRL</t>
        </is>
      </c>
      <c r="D50" t="inlineStr">
        <is>
          <t>Alba</t>
        </is>
      </c>
      <c r="E50" t="inlineStr">
        <is>
          <t>PRD-009</t>
        </is>
      </c>
      <c r="F50" t="inlineStr">
        <is>
          <t>Licenta Office 365 anuala</t>
        </is>
      </c>
      <c r="G50" t="inlineStr">
        <is>
          <t>Licențe software</t>
        </is>
      </c>
      <c r="H50" t="n">
        <v>50</v>
      </c>
      <c r="I50" t="n">
        <v>28.91</v>
      </c>
      <c r="J50" t="n">
        <v>1445.5</v>
      </c>
      <c r="K50" s="13" t="n">
        <v>0.19</v>
      </c>
      <c r="L50" t="n">
        <v>274.64</v>
      </c>
      <c r="M50" t="n">
        <v>1720.14</v>
      </c>
      <c r="N50" t="inlineStr">
        <is>
          <t>RON</t>
        </is>
      </c>
      <c r="O50" t="inlineStr">
        <is>
          <t>Alba Iulia</t>
        </is>
      </c>
      <c r="P50" s="12" t="n">
        <v>46079</v>
      </c>
      <c r="Q50">
        <f>IF(COUNTIF(tbl_Localitati[oras_oficial],[@oras])=0,"ORAS NEALINIAT",IF(XLOOKUP([@oras],tbl_Localitati[oras_oficial],tbl_Localitati[judet],"?")&lt;&gt;[@judet],"JUDET NECORESPUNZATOR",""))</f>
        <v/>
      </c>
      <c r="R50">
        <f>IF(XLOOKUP([@categorie],tbl_RegulriTVA[categorie],tbl_RegulriTVA[cota_legala],-1)&lt;&gt;[@cota_tva],"TVA GRESIT","")</f>
        <v/>
      </c>
      <c r="S50">
        <f>IF([@data_scadentei]&lt;[@data_factura],"SCADENTA INAINTEA FACTURII","")</f>
        <v/>
      </c>
      <c r="T50">
        <f>IF(NETWORKDAYS.INTL([@data_factura],[@data_factura],1,tbl_SarbatoriLegale[data])=0,"ZI NELUCRATOARE","")</f>
        <v/>
      </c>
      <c r="U50">
        <f>IF([@motiv_anomalie]="","OK","DE INVESTIGAT")</f>
        <v/>
      </c>
      <c r="V50">
        <f>TEXTJOIN("; ",TRUE,[@flag_oras],[@flag_tva],[@flag_scadenta],[@flag_zi])</f>
        <v/>
      </c>
    </row>
    <row r="51">
      <c r="A51" t="inlineStr">
        <is>
          <t>F-2025-00050</t>
        </is>
      </c>
      <c r="B51" s="12" t="n">
        <v>46296</v>
      </c>
      <c r="C51" t="inlineStr">
        <is>
          <t>SC UNIFOOD DISTRIBUTION SA</t>
        </is>
      </c>
      <c r="D51" t="inlineStr">
        <is>
          <t>Sibiu</t>
        </is>
      </c>
      <c r="E51" t="inlineStr">
        <is>
          <t>PRD-010</t>
        </is>
      </c>
      <c r="F51" t="inlineStr">
        <is>
          <t>Laptop business 15"</t>
        </is>
      </c>
      <c r="G51" t="inlineStr">
        <is>
          <t>Hardware IT</t>
        </is>
      </c>
      <c r="H51" t="n">
        <v>10</v>
      </c>
      <c r="I51" t="n">
        <v>350.91</v>
      </c>
      <c r="J51" t="n">
        <v>3509.1</v>
      </c>
      <c r="K51" s="13" t="n">
        <v>0.19</v>
      </c>
      <c r="L51" t="n">
        <v>666.73</v>
      </c>
      <c r="M51" t="n">
        <v>4175.83</v>
      </c>
      <c r="N51" t="inlineStr">
        <is>
          <t>RON</t>
        </is>
      </c>
      <c r="O51" t="inlineStr">
        <is>
          <t>Mediaș</t>
        </is>
      </c>
      <c r="P51" s="12" t="n">
        <v>46326</v>
      </c>
      <c r="Q51">
        <f>IF(COUNTIF(tbl_Localitati[oras_oficial],[@oras])=0,"ORAS NEALINIAT",IF(XLOOKUP([@oras],tbl_Localitati[oras_oficial],tbl_Localitati[judet],"?")&lt;&gt;[@judet],"JUDET NECORESPUNZATOR",""))</f>
        <v/>
      </c>
      <c r="R51">
        <f>IF(XLOOKUP([@categorie],tbl_RegulriTVA[categorie],tbl_RegulriTVA[cota_legala],-1)&lt;&gt;[@cota_tva],"TVA GRESIT","")</f>
        <v/>
      </c>
      <c r="S51">
        <f>IF([@data_scadentei]&lt;[@data_factura],"SCADENTA INAINTEA FACTURII","")</f>
        <v/>
      </c>
      <c r="T51">
        <f>IF(NETWORKDAYS.INTL([@data_factura],[@data_factura],1,tbl_SarbatoriLegale[data])=0,"ZI NELUCRATOARE","")</f>
        <v/>
      </c>
      <c r="U51">
        <f>IF([@motiv_anomalie]="","OK","DE INVESTIGAT")</f>
        <v/>
      </c>
      <c r="V51">
        <f>TEXTJOIN("; ",TRUE,[@flag_oras],[@flag_tva],[@flag_scadenta],[@flag_zi])</f>
        <v/>
      </c>
    </row>
    <row r="52">
      <c r="A52" t="inlineStr">
        <is>
          <t>F-2025-00051</t>
        </is>
      </c>
      <c r="B52" s="12" t="n">
        <v>46225</v>
      </c>
      <c r="C52" t="inlineStr">
        <is>
          <t>SC SOLARIS ENERGY SRL</t>
        </is>
      </c>
      <c r="D52" t="inlineStr">
        <is>
          <t>Prahova</t>
        </is>
      </c>
      <c r="E52" t="inlineStr">
        <is>
          <t>PRD-006</t>
        </is>
      </c>
      <c r="F52" t="inlineStr">
        <is>
          <t>Carte tehnica IT</t>
        </is>
      </c>
      <c r="G52" t="inlineStr">
        <is>
          <t>Cărți și manuale</t>
        </is>
      </c>
      <c r="H52" t="n">
        <v>10</v>
      </c>
      <c r="I52" t="n">
        <v>752.28</v>
      </c>
      <c r="J52" t="n">
        <v>7522.8</v>
      </c>
      <c r="K52" s="13" t="n">
        <v>0.05</v>
      </c>
      <c r="L52" t="n">
        <v>376.14</v>
      </c>
      <c r="M52" t="n">
        <v>7898.94</v>
      </c>
      <c r="N52" t="inlineStr">
        <is>
          <t>RON</t>
        </is>
      </c>
      <c r="O52" t="inlineStr">
        <is>
          <t>Câmpina</t>
        </is>
      </c>
      <c r="P52" s="12" t="n">
        <v>46255</v>
      </c>
      <c r="Q52">
        <f>IF(COUNTIF(tbl_Localitati[oras_oficial],[@oras])=0,"ORAS NEALINIAT",IF(XLOOKUP([@oras],tbl_Localitati[oras_oficial],tbl_Localitati[judet],"?")&lt;&gt;[@judet],"JUDET NECORESPUNZATOR",""))</f>
        <v/>
      </c>
      <c r="R52">
        <f>IF(XLOOKUP([@categorie],tbl_RegulriTVA[categorie],tbl_RegulriTVA[cota_legala],-1)&lt;&gt;[@cota_tva],"TVA GRESIT","")</f>
        <v/>
      </c>
      <c r="S52">
        <f>IF([@data_scadentei]&lt;[@data_factura],"SCADENTA INAINTEA FACTURII","")</f>
        <v/>
      </c>
      <c r="T52">
        <f>IF(NETWORKDAYS.INTL([@data_factura],[@data_factura],1,tbl_SarbatoriLegale[data])=0,"ZI NELUCRATOARE","")</f>
        <v/>
      </c>
      <c r="U52">
        <f>IF([@motiv_anomalie]="","OK","DE INVESTIGAT")</f>
        <v/>
      </c>
      <c r="V52">
        <f>TEXTJOIN("; ",TRUE,[@flag_oras],[@flag_tva],[@flag_scadenta],[@flag_zi])</f>
        <v/>
      </c>
    </row>
    <row r="53">
      <c r="A53" t="inlineStr">
        <is>
          <t>F-2025-00052</t>
        </is>
      </c>
      <c r="B53" s="12" t="n">
        <v>46204</v>
      </c>
      <c r="C53" t="inlineStr">
        <is>
          <t>SC PROVITA MEDICAL SRL</t>
        </is>
      </c>
      <c r="D53" t="inlineStr">
        <is>
          <t>Mureș</t>
        </is>
      </c>
      <c r="E53" t="inlineStr">
        <is>
          <t>PRD-005</t>
        </is>
      </c>
      <c r="F53" t="inlineStr">
        <is>
          <t>Apa plata bax</t>
        </is>
      </c>
      <c r="G53" t="inlineStr">
        <is>
          <t>Alimente</t>
        </is>
      </c>
      <c r="H53" t="n">
        <v>10</v>
      </c>
      <c r="I53" t="n">
        <v>250.91</v>
      </c>
      <c r="J53" t="n">
        <v>2509.1</v>
      </c>
      <c r="K53" s="13" t="n">
        <v>0.09</v>
      </c>
      <c r="L53" t="n">
        <v>225.82</v>
      </c>
      <c r="M53" t="n">
        <v>2734.92</v>
      </c>
      <c r="N53" t="inlineStr">
        <is>
          <t>RON</t>
        </is>
      </c>
      <c r="O53" t="inlineStr">
        <is>
          <t>Târgu Mureș</t>
        </is>
      </c>
      <c r="P53" s="12" t="n">
        <v>46249</v>
      </c>
      <c r="Q53">
        <f>IF(COUNTIF(tbl_Localitati[oras_oficial],[@oras])=0,"ORAS NEALINIAT",IF(XLOOKUP([@oras],tbl_Localitati[oras_oficial],tbl_Localitati[judet],"?")&lt;&gt;[@judet],"JUDET NECORESPUNZATOR",""))</f>
        <v/>
      </c>
      <c r="R53">
        <f>IF(XLOOKUP([@categorie],tbl_RegulriTVA[categorie],tbl_RegulriTVA[cota_legala],-1)&lt;&gt;[@cota_tva],"TVA GRESIT","")</f>
        <v/>
      </c>
      <c r="S53">
        <f>IF([@data_scadentei]&lt;[@data_factura],"SCADENTA INAINTEA FACTURII","")</f>
        <v/>
      </c>
      <c r="T53">
        <f>IF(NETWORKDAYS.INTL([@data_factura],[@data_factura],1,tbl_SarbatoriLegale[data])=0,"ZI NELUCRATOARE","")</f>
        <v/>
      </c>
      <c r="U53">
        <f>IF([@motiv_anomalie]="","OK","DE INVESTIGAT")</f>
        <v/>
      </c>
      <c r="V53">
        <f>TEXTJOIN("; ",TRUE,[@flag_oras],[@flag_tva],[@flag_scadenta],[@flag_zi])</f>
        <v/>
      </c>
    </row>
    <row r="54">
      <c r="A54" t="inlineStr">
        <is>
          <t>F-2025-00053</t>
        </is>
      </c>
      <c r="B54" s="12" t="n">
        <v>46224</v>
      </c>
      <c r="C54" t="inlineStr">
        <is>
          <t>SC RAPID LOGISTIC SA</t>
        </is>
      </c>
      <c r="D54" t="inlineStr">
        <is>
          <t>Prahova</t>
        </is>
      </c>
      <c r="E54" t="inlineStr">
        <is>
          <t>PRD-001</t>
        </is>
      </c>
      <c r="F54" t="inlineStr">
        <is>
          <t>Abonament suita cloud</t>
        </is>
      </c>
      <c r="G54" t="inlineStr">
        <is>
          <t>Licențe software</t>
        </is>
      </c>
      <c r="H54" t="n">
        <v>1</v>
      </c>
      <c r="I54" t="n">
        <v>2459.4</v>
      </c>
      <c r="J54" t="n">
        <v>2459.4</v>
      </c>
      <c r="K54" s="13" t="n">
        <v>0.19</v>
      </c>
      <c r="L54" t="n">
        <v>467.29</v>
      </c>
      <c r="M54" t="n">
        <v>2926.69</v>
      </c>
      <c r="N54" t="inlineStr">
        <is>
          <t>RON</t>
        </is>
      </c>
      <c r="O54" t="inlineStr">
        <is>
          <t>Bv</t>
        </is>
      </c>
      <c r="P54" s="12" t="n">
        <v>46269</v>
      </c>
      <c r="Q54">
        <f>IF(COUNTIF(tbl_Localitati[oras_oficial],[@oras])=0,"ORAS NEALINIAT",IF(XLOOKUP([@oras],tbl_Localitati[oras_oficial],tbl_Localitati[judet],"?")&lt;&gt;[@judet],"JUDET NECORESPUNZATOR",""))</f>
        <v/>
      </c>
      <c r="R54">
        <f>IF(XLOOKUP([@categorie],tbl_RegulriTVA[categorie],tbl_RegulriTVA[cota_legala],-1)&lt;&gt;[@cota_tva],"TVA GRESIT","")</f>
        <v/>
      </c>
      <c r="S54">
        <f>IF([@data_scadentei]&lt;[@data_factura],"SCADENTA INAINTEA FACTURII","")</f>
        <v/>
      </c>
      <c r="T54">
        <f>IF(NETWORKDAYS.INTL([@data_factura],[@data_factura],1,tbl_SarbatoriLegale[data])=0,"ZI NELUCRATOARE","")</f>
        <v/>
      </c>
      <c r="U54">
        <f>IF([@motiv_anomalie]="","OK","DE INVESTIGAT")</f>
        <v/>
      </c>
      <c r="V54">
        <f>TEXTJOIN("; ",TRUE,[@flag_oras],[@flag_tva],[@flag_scadenta],[@flag_zi])</f>
        <v/>
      </c>
    </row>
    <row r="55">
      <c r="A55" t="inlineStr">
        <is>
          <t>F-2025-00054</t>
        </is>
      </c>
      <c r="B55" s="12" t="n">
        <v>46370</v>
      </c>
      <c r="C55" t="inlineStr">
        <is>
          <t>SC AROMET TRADING SRL</t>
        </is>
      </c>
      <c r="D55" t="inlineStr">
        <is>
          <t>Alba</t>
        </is>
      </c>
      <c r="E55" t="inlineStr">
        <is>
          <t>PRD-005</t>
        </is>
      </c>
      <c r="F55" t="inlineStr">
        <is>
          <t>Statie de lucru desktop</t>
        </is>
      </c>
      <c r="G55" t="inlineStr">
        <is>
          <t>Hardware IT</t>
        </is>
      </c>
      <c r="H55" t="n">
        <v>1</v>
      </c>
      <c r="I55" t="n">
        <v>240.59</v>
      </c>
      <c r="J55" t="n">
        <v>240.59</v>
      </c>
      <c r="K55" s="13" t="n">
        <v>0.19</v>
      </c>
      <c r="L55" t="n">
        <v>45.71</v>
      </c>
      <c r="M55" t="n">
        <v>286.3</v>
      </c>
      <c r="N55" t="inlineStr">
        <is>
          <t>RON</t>
        </is>
      </c>
      <c r="O55" t="inlineStr">
        <is>
          <t>Alba Iulia</t>
        </is>
      </c>
      <c r="P55" s="12" t="n">
        <v>46415</v>
      </c>
      <c r="Q55">
        <f>IF(COUNTIF(tbl_Localitati[oras_oficial],[@oras])=0,"ORAS NEALINIAT",IF(XLOOKUP([@oras],tbl_Localitati[oras_oficial],tbl_Localitati[judet],"?")&lt;&gt;[@judet],"JUDET NECORESPUNZATOR",""))</f>
        <v/>
      </c>
      <c r="R55">
        <f>IF(XLOOKUP([@categorie],tbl_RegulriTVA[categorie],tbl_RegulriTVA[cota_legala],-1)&lt;&gt;[@cota_tva],"TVA GRESIT","")</f>
        <v/>
      </c>
      <c r="S55">
        <f>IF([@data_scadentei]&lt;[@data_factura],"SCADENTA INAINTEA FACTURII","")</f>
        <v/>
      </c>
      <c r="T55">
        <f>IF(NETWORKDAYS.INTL([@data_factura],[@data_factura],1,tbl_SarbatoriLegale[data])=0,"ZI NELUCRATOARE","")</f>
        <v/>
      </c>
      <c r="U55">
        <f>IF([@motiv_anomalie]="","OK","DE INVESTIGAT")</f>
        <v/>
      </c>
      <c r="V55">
        <f>TEXTJOIN("; ",TRUE,[@flag_oras],[@flag_tva],[@flag_scadenta],[@flag_zi])</f>
        <v/>
      </c>
    </row>
    <row r="56">
      <c r="A56" t="inlineStr">
        <is>
          <t>F-2025-00055</t>
        </is>
      </c>
      <c r="B56" s="12" t="n">
        <v>46142</v>
      </c>
      <c r="C56" t="inlineStr">
        <is>
          <t>SC PROVITA MEDICAL SRL</t>
        </is>
      </c>
      <c r="D56" t="inlineStr">
        <is>
          <t>Mureș</t>
        </is>
      </c>
      <c r="E56" t="inlineStr">
        <is>
          <t>PRD-011</t>
        </is>
      </c>
      <c r="F56" t="inlineStr">
        <is>
          <t>Masti protectie cutie</t>
        </is>
      </c>
      <c r="G56" t="inlineStr">
        <is>
          <t>Produse farmaceutice</t>
        </is>
      </c>
      <c r="H56" t="n">
        <v>20</v>
      </c>
      <c r="I56" t="n">
        <v>44.1</v>
      </c>
      <c r="J56" t="n">
        <v>882</v>
      </c>
      <c r="K56" s="13" t="n">
        <v>0.09</v>
      </c>
      <c r="L56" t="n">
        <v>79.38</v>
      </c>
      <c r="M56" t="n">
        <v>961.38</v>
      </c>
      <c r="N56" t="inlineStr">
        <is>
          <t>RON</t>
        </is>
      </c>
      <c r="O56" t="inlineStr">
        <is>
          <t>Târgu Mureș</t>
        </is>
      </c>
      <c r="P56" s="12" t="n">
        <v>46172</v>
      </c>
      <c r="Q56">
        <f>IF(COUNTIF(tbl_Localitati[oras_oficial],[@oras])=0,"ORAS NEALINIAT",IF(XLOOKUP([@oras],tbl_Localitati[oras_oficial],tbl_Localitati[judet],"?")&lt;&gt;[@judet],"JUDET NECORESPUNZATOR",""))</f>
        <v/>
      </c>
      <c r="R56">
        <f>IF(XLOOKUP([@categorie],tbl_RegulriTVA[categorie],tbl_RegulriTVA[cota_legala],-1)&lt;&gt;[@cota_tva],"TVA GRESIT","")</f>
        <v/>
      </c>
      <c r="S56">
        <f>IF([@data_scadentei]&lt;[@data_factura],"SCADENTA INAINTEA FACTURII","")</f>
        <v/>
      </c>
      <c r="T56">
        <f>IF(NETWORKDAYS.INTL([@data_factura],[@data_factura],1,tbl_SarbatoriLegale[data])=0,"ZI NELUCRATOARE","")</f>
        <v/>
      </c>
      <c r="U56">
        <f>IF([@motiv_anomalie]="","OK","DE INVESTIGAT")</f>
        <v/>
      </c>
      <c r="V56">
        <f>TEXTJOIN("; ",TRUE,[@flag_oras],[@flag_tva],[@flag_scadenta],[@flag_zi])</f>
        <v/>
      </c>
    </row>
    <row r="57">
      <c r="A57" t="inlineStr">
        <is>
          <t>F-2025-00056</t>
        </is>
      </c>
      <c r="B57" s="12" t="n">
        <v>46359</v>
      </c>
      <c r="C57" t="inlineStr">
        <is>
          <t>SC PROVITA MEDICAL SRL</t>
        </is>
      </c>
      <c r="D57" t="inlineStr">
        <is>
          <t>Mureș</t>
        </is>
      </c>
      <c r="E57" t="inlineStr">
        <is>
          <t>PRD-009</t>
        </is>
      </c>
      <c r="F57" t="inlineStr">
        <is>
          <t>Telefon IP birou</t>
        </is>
      </c>
      <c r="G57" t="inlineStr">
        <is>
          <t>Echipamente birou</t>
        </is>
      </c>
      <c r="H57" t="n">
        <v>5</v>
      </c>
      <c r="I57" t="n">
        <v>27.74</v>
      </c>
      <c r="J57" t="n">
        <v>138.7</v>
      </c>
      <c r="K57" s="13" t="n">
        <v>0.19</v>
      </c>
      <c r="L57" t="n">
        <v>26.35</v>
      </c>
      <c r="M57" t="n">
        <v>165.05</v>
      </c>
      <c r="N57" t="inlineStr">
        <is>
          <t>RON</t>
        </is>
      </c>
      <c r="O57" t="inlineStr">
        <is>
          <t>Târgu Mureș</t>
        </is>
      </c>
      <c r="P57" s="12" t="n">
        <v>46404</v>
      </c>
      <c r="Q57">
        <f>IF(COUNTIF(tbl_Localitati[oras_oficial],[@oras])=0,"ORAS NEALINIAT",IF(XLOOKUP([@oras],tbl_Localitati[oras_oficial],tbl_Localitati[judet],"?")&lt;&gt;[@judet],"JUDET NECORESPUNZATOR",""))</f>
        <v/>
      </c>
      <c r="R57">
        <f>IF(XLOOKUP([@categorie],tbl_RegulriTVA[categorie],tbl_RegulriTVA[cota_legala],-1)&lt;&gt;[@cota_tva],"TVA GRESIT","")</f>
        <v/>
      </c>
      <c r="S57">
        <f>IF([@data_scadentei]&lt;[@data_factura],"SCADENTA INAINTEA FACTURII","")</f>
        <v/>
      </c>
      <c r="T57">
        <f>IF(NETWORKDAYS.INTL([@data_factura],[@data_factura],1,tbl_SarbatoriLegale[data])=0,"ZI NELUCRATOARE","")</f>
        <v/>
      </c>
      <c r="U57">
        <f>IF([@motiv_anomalie]="","OK","DE INVESTIGAT")</f>
        <v/>
      </c>
      <c r="V57">
        <f>TEXTJOIN("; ",TRUE,[@flag_oras],[@flag_tva],[@flag_scadenta],[@flag_zi])</f>
        <v/>
      </c>
    </row>
    <row r="58">
      <c r="A58" t="inlineStr">
        <is>
          <t>F-2025-00057</t>
        </is>
      </c>
      <c r="B58" s="12" t="n">
        <v>46118</v>
      </c>
      <c r="C58" t="inlineStr">
        <is>
          <t>SC INTEGROMED SA</t>
        </is>
      </c>
      <c r="D58" t="inlineStr">
        <is>
          <t>Cluj</t>
        </is>
      </c>
      <c r="E58" t="inlineStr">
        <is>
          <t>PRD-009</t>
        </is>
      </c>
      <c r="F58" t="inlineStr">
        <is>
          <t>Laptop business 15"</t>
        </is>
      </c>
      <c r="G58" t="inlineStr">
        <is>
          <t>Hardware IT</t>
        </is>
      </c>
      <c r="H58" t="n">
        <v>5</v>
      </c>
      <c r="I58" t="n">
        <v>28.53</v>
      </c>
      <c r="J58" t="n">
        <v>142.65</v>
      </c>
      <c r="K58" s="13" t="n">
        <v>0.19</v>
      </c>
      <c r="L58" t="n">
        <v>27.1</v>
      </c>
      <c r="M58" t="n">
        <v>169.75</v>
      </c>
      <c r="N58" t="inlineStr">
        <is>
          <t>RON</t>
        </is>
      </c>
      <c r="O58" t="inlineStr">
        <is>
          <t>Cluj-Napoca</t>
        </is>
      </c>
      <c r="P58" s="12" t="n">
        <v>46148</v>
      </c>
      <c r="Q58">
        <f>IF(COUNTIF(tbl_Localitati[oras_oficial],[@oras])=0,"ORAS NEALINIAT",IF(XLOOKUP([@oras],tbl_Localitati[oras_oficial],tbl_Localitati[judet],"?")&lt;&gt;[@judet],"JUDET NECORESPUNZATOR",""))</f>
        <v/>
      </c>
      <c r="R58">
        <f>IF(XLOOKUP([@categorie],tbl_RegulriTVA[categorie],tbl_RegulriTVA[cota_legala],-1)&lt;&gt;[@cota_tva],"TVA GRESIT","")</f>
        <v/>
      </c>
      <c r="S58">
        <f>IF([@data_scadentei]&lt;[@data_factura],"SCADENTA INAINTEA FACTURII","")</f>
        <v/>
      </c>
      <c r="T58">
        <f>IF(NETWORKDAYS.INTL([@data_factura],[@data_factura],1,tbl_SarbatoriLegale[data])=0,"ZI NELUCRATOARE","")</f>
        <v/>
      </c>
      <c r="U58">
        <f>IF([@motiv_anomalie]="","OK","DE INVESTIGAT")</f>
        <v/>
      </c>
      <c r="V58">
        <f>TEXTJOIN("; ",TRUE,[@flag_oras],[@flag_tva],[@flag_scadenta],[@flag_zi])</f>
        <v/>
      </c>
    </row>
    <row r="59">
      <c r="A59" t="inlineStr">
        <is>
          <t>F-2025-00058</t>
        </is>
      </c>
      <c r="B59" s="12" t="n">
        <v>46036</v>
      </c>
      <c r="C59" t="inlineStr">
        <is>
          <t>SC PROVITA MEDICAL SRL</t>
        </is>
      </c>
      <c r="D59" t="inlineStr">
        <is>
          <t>Mureș</t>
        </is>
      </c>
      <c r="E59" t="inlineStr">
        <is>
          <t>PRD-010</t>
        </is>
      </c>
      <c r="F59" t="inlineStr">
        <is>
          <t>Licenta antivirus enterprise</t>
        </is>
      </c>
      <c r="G59" t="inlineStr">
        <is>
          <t>Licențe software</t>
        </is>
      </c>
      <c r="H59" t="n">
        <v>50</v>
      </c>
      <c r="I59" t="n">
        <v>362.58</v>
      </c>
      <c r="J59" t="n">
        <v>18129</v>
      </c>
      <c r="K59" s="13" t="n">
        <v>0.19</v>
      </c>
      <c r="L59" t="n">
        <v>3444.51</v>
      </c>
      <c r="M59" t="n">
        <v>21573.51</v>
      </c>
      <c r="N59" t="inlineStr">
        <is>
          <t>RON</t>
        </is>
      </c>
      <c r="O59" t="inlineStr">
        <is>
          <t>Târgu Mureș</t>
        </is>
      </c>
      <c r="P59" s="12" t="n">
        <v>46081</v>
      </c>
      <c r="Q59">
        <f>IF(COUNTIF(tbl_Localitati[oras_oficial],[@oras])=0,"ORAS NEALINIAT",IF(XLOOKUP([@oras],tbl_Localitati[oras_oficial],tbl_Localitati[judet],"?")&lt;&gt;[@judet],"JUDET NECORESPUNZATOR",""))</f>
        <v/>
      </c>
      <c r="R59">
        <f>IF(XLOOKUP([@categorie],tbl_RegulriTVA[categorie],tbl_RegulriTVA[cota_legala],-1)&lt;&gt;[@cota_tva],"TVA GRESIT","")</f>
        <v/>
      </c>
      <c r="S59">
        <f>IF([@data_scadentei]&lt;[@data_factura],"SCADENTA INAINTEA FACTURII","")</f>
        <v/>
      </c>
      <c r="T59">
        <f>IF(NETWORKDAYS.INTL([@data_factura],[@data_factura],1,tbl_SarbatoriLegale[data])=0,"ZI NELUCRATOARE","")</f>
        <v/>
      </c>
      <c r="U59">
        <f>IF([@motiv_anomalie]="","OK","DE INVESTIGAT")</f>
        <v/>
      </c>
      <c r="V59">
        <f>TEXTJOIN("; ",TRUE,[@flag_oras],[@flag_tva],[@flag_scadenta],[@flag_zi])</f>
        <v/>
      </c>
    </row>
    <row r="60">
      <c r="A60" t="inlineStr">
        <is>
          <t>F-2025-00059</t>
        </is>
      </c>
      <c r="B60" s="12" t="n">
        <v>46107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Consultanta implementare IT</t>
        </is>
      </c>
      <c r="G60" t="inlineStr">
        <is>
          <t>Servicii consultanță</t>
        </is>
      </c>
      <c r="H60" t="n">
        <v>1</v>
      </c>
      <c r="I60" t="n">
        <v>2366.15</v>
      </c>
      <c r="J60" t="n">
        <v>2366.15</v>
      </c>
      <c r="K60" s="13" t="n">
        <v>0.19</v>
      </c>
      <c r="L60" t="n">
        <v>449.57</v>
      </c>
      <c r="M60" t="n">
        <v>2815.72</v>
      </c>
      <c r="N60" t="inlineStr">
        <is>
          <t>RON</t>
        </is>
      </c>
      <c r="O60" t="inlineStr">
        <is>
          <t>Sibiu</t>
        </is>
      </c>
      <c r="P60" s="12" t="n">
        <v>46122</v>
      </c>
      <c r="Q60">
        <f>IF(COUNTIF(tbl_Localitati[oras_oficial],[@oras])=0,"ORAS NEALINIAT",IF(XLOOKUP([@oras],tbl_Localitati[oras_oficial],tbl_Localitati[judet],"?")&lt;&gt;[@judet],"JUDET NECORESPUNZATOR",""))</f>
        <v/>
      </c>
      <c r="R60">
        <f>IF(XLOOKUP([@categorie],tbl_RegulriTVA[categorie],tbl_RegulriTVA[cota_legala],-1)&lt;&gt;[@cota_tva],"TVA GRESIT","")</f>
        <v/>
      </c>
      <c r="S60">
        <f>IF([@data_scadentei]&lt;[@data_factura],"SCADENTA INAINTEA FACTURII","")</f>
        <v/>
      </c>
      <c r="T60">
        <f>IF(NETWORKDAYS.INTL([@data_factura],[@data_factura],1,tbl_SarbatoriLegale[data])=0,"ZI NELUCRATOARE","")</f>
        <v/>
      </c>
      <c r="U60">
        <f>IF([@motiv_anomalie]="","OK","DE INVESTIGAT")</f>
        <v/>
      </c>
      <c r="V60">
        <f>TEXTJOIN("; ",TRUE,[@flag_oras],[@flag_tva],[@flag_scadenta],[@flag_zi])</f>
        <v/>
      </c>
    </row>
    <row r="61">
      <c r="A61" t="inlineStr">
        <is>
          <t>F-2025-00060</t>
        </is>
      </c>
      <c r="B61" s="12" t="n">
        <v>46260</v>
      </c>
      <c r="C61" t="inlineStr">
        <is>
          <t>SC OMEGA SOFT SRL</t>
        </is>
      </c>
      <c r="D61" t="inlineStr">
        <is>
          <t>Dolj</t>
        </is>
      </c>
      <c r="E61" t="inlineStr">
        <is>
          <t>PRD-005</t>
        </is>
      </c>
      <c r="F61" t="inlineStr">
        <is>
          <t>Dezinfectant maini 5L</t>
        </is>
      </c>
      <c r="G61" t="inlineStr">
        <is>
          <t>Produse farmaceutice</t>
        </is>
      </c>
      <c r="H61" t="n">
        <v>2</v>
      </c>
      <c r="I61" t="n">
        <v>249.2</v>
      </c>
      <c r="J61" t="n">
        <v>498.4</v>
      </c>
      <c r="K61" s="13" t="n">
        <v>0.09</v>
      </c>
      <c r="L61" t="n">
        <v>44.86</v>
      </c>
      <c r="M61" t="n">
        <v>543.26</v>
      </c>
      <c r="N61" t="inlineStr">
        <is>
          <t>RON</t>
        </is>
      </c>
      <c r="O61" t="inlineStr">
        <is>
          <t>Craiova</t>
        </is>
      </c>
      <c r="P61" s="12" t="n">
        <v>46275</v>
      </c>
      <c r="Q61">
        <f>IF(COUNTIF(tbl_Localitati[oras_oficial],[@oras])=0,"ORAS NEALINIAT",IF(XLOOKUP([@oras],tbl_Localitati[oras_oficial],tbl_Localitati[judet],"?")&lt;&gt;[@judet],"JUDET NECORESPUNZATOR",""))</f>
        <v/>
      </c>
      <c r="R61">
        <f>IF(XLOOKUP([@categorie],tbl_RegulriTVA[categorie],tbl_RegulriTVA[cota_legala],-1)&lt;&gt;[@cota_tva],"TVA GRESIT","")</f>
        <v/>
      </c>
      <c r="S61">
        <f>IF([@data_scadentei]&lt;[@data_factura],"SCADENTA INAINTEA FACTURII","")</f>
        <v/>
      </c>
      <c r="T61">
        <f>IF(NETWORKDAYS.INTL([@data_factura],[@data_factura],1,tbl_SarbatoriLegale[data])=0,"ZI NELUCRATOARE","")</f>
        <v/>
      </c>
      <c r="U61">
        <f>IF([@motiv_anomalie]="","OK","DE INVESTIGAT")</f>
        <v/>
      </c>
      <c r="V61">
        <f>TEXTJOIN("; ",TRUE,[@flag_oras],[@flag_tva],[@flag_scadenta],[@flag_zi])</f>
        <v/>
      </c>
    </row>
    <row r="62">
      <c r="A62" t="inlineStr">
        <is>
          <t>F-2025-00061</t>
        </is>
      </c>
      <c r="B62" s="12" t="n">
        <v>46360</v>
      </c>
      <c r="C62" t="inlineStr">
        <is>
          <t>SC INTEGROMED SA</t>
        </is>
      </c>
      <c r="D62" t="inlineStr">
        <is>
          <t>Cluj</t>
        </is>
      </c>
      <c r="E62" t="inlineStr">
        <is>
          <t>PRD-010</t>
        </is>
      </c>
      <c r="F62" t="inlineStr">
        <is>
          <t>Monitor 27" 4K</t>
        </is>
      </c>
      <c r="G62" t="inlineStr">
        <is>
          <t>Hardware IT</t>
        </is>
      </c>
      <c r="H62" t="n">
        <v>5</v>
      </c>
      <c r="I62" t="n">
        <v>355.37</v>
      </c>
      <c r="J62" t="n">
        <v>1776.85</v>
      </c>
      <c r="K62" s="13" t="n">
        <v>0.19</v>
      </c>
      <c r="L62" t="n">
        <v>337.6</v>
      </c>
      <c r="M62" t="n">
        <v>2114.45</v>
      </c>
      <c r="N62" t="inlineStr">
        <is>
          <t>RON</t>
        </is>
      </c>
      <c r="O62" t="inlineStr">
        <is>
          <t>Cluj-Napoca</t>
        </is>
      </c>
      <c r="P62" s="12" t="n">
        <v>46375</v>
      </c>
      <c r="Q62">
        <f>IF(COUNTIF(tbl_Localitati[oras_oficial],[@oras])=0,"ORAS NEALINIAT",IF(XLOOKUP([@oras],tbl_Localitati[oras_oficial],tbl_Localitati[judet],"?")&lt;&gt;[@judet],"JUDET NECORESPUNZATOR",""))</f>
        <v/>
      </c>
      <c r="R62">
        <f>IF(XLOOKUP([@categorie],tbl_RegulriTVA[categorie],tbl_RegulriTVA[cota_legala],-1)&lt;&gt;[@cota_tva],"TVA GRESIT","")</f>
        <v/>
      </c>
      <c r="S62">
        <f>IF([@data_scadentei]&lt;[@data_factura],"SCADENTA INAINTEA FACTURII","")</f>
        <v/>
      </c>
      <c r="T62">
        <f>IF(NETWORKDAYS.INTL([@data_factura],[@data_factura],1,tbl_SarbatoriLegale[data])=0,"ZI NELUCRATOARE","")</f>
        <v/>
      </c>
      <c r="U62">
        <f>IF([@motiv_anomalie]="","OK","DE INVESTIGAT")</f>
        <v/>
      </c>
      <c r="V62">
        <f>TEXTJOIN("; ",TRUE,[@flag_oras],[@flag_tva],[@flag_scadenta],[@flag_zi])</f>
        <v/>
      </c>
    </row>
    <row r="63">
      <c r="A63" t="inlineStr">
        <is>
          <t>F-2025-00062</t>
        </is>
      </c>
      <c r="B63" s="12" t="n">
        <v>46218</v>
      </c>
      <c r="C63" t="inlineStr">
        <is>
          <t>SC METALPLAST INVEST SA</t>
        </is>
      </c>
      <c r="D63" t="inlineStr">
        <is>
          <t>Cluj</t>
        </is>
      </c>
      <c r="E63" t="inlineStr">
        <is>
          <t>PRD-009</t>
        </is>
      </c>
      <c r="F63" t="inlineStr">
        <is>
          <t>Monitor 27" 4K</t>
        </is>
      </c>
      <c r="G63" t="inlineStr">
        <is>
          <t>Hardware IT</t>
        </is>
      </c>
      <c r="H63" t="n">
        <v>50</v>
      </c>
      <c r="I63" t="n">
        <v>29.11</v>
      </c>
      <c r="J63" t="n">
        <v>1455.5</v>
      </c>
      <c r="K63" s="13" t="n">
        <v>0.19</v>
      </c>
      <c r="L63" t="n">
        <v>276.55</v>
      </c>
      <c r="M63" t="n">
        <v>1732.05</v>
      </c>
      <c r="N63" t="inlineStr">
        <is>
          <t>RON</t>
        </is>
      </c>
      <c r="O63" t="inlineStr">
        <is>
          <t>Turda</t>
        </is>
      </c>
      <c r="P63" s="12" t="n">
        <v>46248</v>
      </c>
      <c r="Q63">
        <f>IF(COUNTIF(tbl_Localitati[oras_oficial],[@oras])=0,"ORAS NEALINIAT",IF(XLOOKUP([@oras],tbl_Localitati[oras_oficial],tbl_Localitati[judet],"?")&lt;&gt;[@judet],"JUDET NECORESPUNZATOR",""))</f>
        <v/>
      </c>
      <c r="R63">
        <f>IF(XLOOKUP([@categorie],tbl_RegulriTVA[categorie],tbl_RegulriTVA[cota_legala],-1)&lt;&gt;[@cota_tva],"TVA GRESIT","")</f>
        <v/>
      </c>
      <c r="S63">
        <f>IF([@data_scadentei]&lt;[@data_factura],"SCADENTA INAINTEA FACTURII","")</f>
        <v/>
      </c>
      <c r="T63">
        <f>IF(NETWORKDAYS.INTL([@data_factura],[@data_factura],1,tbl_SarbatoriLegale[data])=0,"ZI NELUCRATOARE","")</f>
        <v/>
      </c>
      <c r="U63">
        <f>IF([@motiv_anomalie]="","OK","DE INVESTIGAT")</f>
        <v/>
      </c>
      <c r="V63">
        <f>TEXTJOIN("; ",TRUE,[@flag_oras],[@flag_tva],[@flag_scadenta],[@flag_zi])</f>
        <v/>
      </c>
    </row>
    <row r="64">
      <c r="A64" t="inlineStr">
        <is>
          <t>F-2025-00063</t>
        </is>
      </c>
      <c r="B64" s="12" t="n">
        <v>46209</v>
      </c>
      <c r="C64" t="inlineStr">
        <is>
          <t>SC AROMET TRADING SRL</t>
        </is>
      </c>
      <c r="D64" t="inlineStr">
        <is>
          <t>Alba</t>
        </is>
      </c>
      <c r="E64" t="inlineStr">
        <is>
          <t>PRD-005</t>
        </is>
      </c>
      <c r="F64" t="inlineStr">
        <is>
          <t>Apa plata bax</t>
        </is>
      </c>
      <c r="G64" t="inlineStr">
        <is>
          <t>Alimente</t>
        </is>
      </c>
      <c r="H64" t="n">
        <v>1</v>
      </c>
      <c r="I64" t="n">
        <v>246.98</v>
      </c>
      <c r="J64" t="n">
        <v>246.98</v>
      </c>
      <c r="K64" s="13" t="n">
        <v>0.09</v>
      </c>
      <c r="L64" t="n">
        <v>22.23</v>
      </c>
      <c r="M64" t="n">
        <v>269.21</v>
      </c>
      <c r="N64" t="inlineStr">
        <is>
          <t>RON</t>
        </is>
      </c>
      <c r="O64" t="inlineStr">
        <is>
          <t>Alba Iulia</t>
        </is>
      </c>
      <c r="P64" s="12" t="n">
        <v>46239</v>
      </c>
      <c r="Q64">
        <f>IF(COUNTIF(tbl_Localitati[oras_oficial],[@oras])=0,"ORAS NEALINIAT",IF(XLOOKUP([@oras],tbl_Localitati[oras_oficial],tbl_Localitati[judet],"?")&lt;&gt;[@judet],"JUDET NECORESPUNZATOR",""))</f>
        <v/>
      </c>
      <c r="R64">
        <f>IF(XLOOKUP([@categorie],tbl_RegulriTVA[categorie],tbl_RegulriTVA[cota_legala],-1)&lt;&gt;[@cota_tva],"TVA GRESIT","")</f>
        <v/>
      </c>
      <c r="S64">
        <f>IF([@data_scadentei]&lt;[@data_factura],"SCADENTA INAINTEA FACTURII","")</f>
        <v/>
      </c>
      <c r="T64">
        <f>IF(NETWORKDAYS.INTL([@data_factura],[@data_factura],1,tbl_SarbatoriLegale[data])=0,"ZI NELUCRATOARE","")</f>
        <v/>
      </c>
      <c r="U64">
        <f>IF([@motiv_anomalie]="","OK","DE INVESTIGAT")</f>
        <v/>
      </c>
      <c r="V64">
        <f>TEXTJOIN("; ",TRUE,[@flag_oras],[@flag_tva],[@flag_scadenta],[@flag_zi])</f>
        <v/>
      </c>
    </row>
    <row r="65">
      <c r="A65" t="inlineStr">
        <is>
          <t>F-2025-00064</t>
        </is>
      </c>
      <c r="B65" s="12" t="n">
        <v>46372</v>
      </c>
      <c r="C65" t="inlineStr">
        <is>
          <t>SC NORDIS DISTRIBUTIE SRL</t>
        </is>
      </c>
      <c r="D65" t="inlineStr">
        <is>
          <t>Constanța</t>
        </is>
      </c>
      <c r="E65" t="inlineStr">
        <is>
          <t>PRD-007</t>
        </is>
      </c>
      <c r="F65" t="inlineStr">
        <is>
          <t>Termometru digital</t>
        </is>
      </c>
      <c r="G65" t="inlineStr">
        <is>
          <t>Produse farmaceutice</t>
        </is>
      </c>
      <c r="H65" t="n">
        <v>1</v>
      </c>
      <c r="I65" t="n">
        <v>175.17</v>
      </c>
      <c r="J65" t="n">
        <v>175.17</v>
      </c>
      <c r="K65" s="13" t="n">
        <v>0.09</v>
      </c>
      <c r="L65" t="n">
        <v>15.77</v>
      </c>
      <c r="M65" t="n">
        <v>190.94</v>
      </c>
      <c r="N65" t="inlineStr">
        <is>
          <t>RON</t>
        </is>
      </c>
      <c r="O65" t="inlineStr">
        <is>
          <t>Mangalia</t>
        </is>
      </c>
      <c r="P65" s="12" t="n">
        <v>46417</v>
      </c>
      <c r="Q65">
        <f>IF(COUNTIF(tbl_Localitati[oras_oficial],[@oras])=0,"ORAS NEALINIAT",IF(XLOOKUP([@oras],tbl_Localitati[oras_oficial],tbl_Localitati[judet],"?")&lt;&gt;[@judet],"JUDET NECORESPUNZATOR",""))</f>
        <v/>
      </c>
      <c r="R65">
        <f>IF(XLOOKUP([@categorie],tbl_RegulriTVA[categorie],tbl_RegulriTVA[cota_legala],-1)&lt;&gt;[@cota_tva],"TVA GRESIT","")</f>
        <v/>
      </c>
      <c r="S65">
        <f>IF([@data_scadentei]&lt;[@data_factura],"SCADENTA INAINTEA FACTURII","")</f>
        <v/>
      </c>
      <c r="T65">
        <f>IF(NETWORKDAYS.INTL([@data_factura],[@data_factura],1,tbl_SarbatoriLegale[data])=0,"ZI NELUCRATOARE","")</f>
        <v/>
      </c>
      <c r="U65">
        <f>IF([@motiv_anomalie]="","OK","DE INVESTIGAT")</f>
        <v/>
      </c>
      <c r="V65">
        <f>TEXTJOIN("; ",TRUE,[@flag_oras],[@flag_tva],[@flag_scadenta],[@flag_zi])</f>
        <v/>
      </c>
    </row>
    <row r="66">
      <c r="A66" t="inlineStr">
        <is>
          <t>F-2025-00065</t>
        </is>
      </c>
      <c r="B66" s="12" t="n">
        <v>46315</v>
      </c>
      <c r="C66" t="inlineStr">
        <is>
          <t>SC RAPID LOGISTIC SA</t>
        </is>
      </c>
      <c r="D66" t="inlineStr">
        <is>
          <t>Prahova</t>
        </is>
      </c>
      <c r="E66" t="inlineStr">
        <is>
          <t>PRD-007</t>
        </is>
      </c>
      <c r="F66" t="inlineStr">
        <is>
          <t>Abonament suita cloud</t>
        </is>
      </c>
      <c r="G66" t="inlineStr">
        <is>
          <t>Licențe software</t>
        </is>
      </c>
      <c r="H66" t="n">
        <v>1</v>
      </c>
      <c r="I66" t="n">
        <v>175.12</v>
      </c>
      <c r="J66" t="n">
        <v>175.12</v>
      </c>
      <c r="K66" s="13" t="n">
        <v>0.19</v>
      </c>
      <c r="L66" t="n">
        <v>33.27</v>
      </c>
      <c r="M66" t="n">
        <v>208.39</v>
      </c>
      <c r="N66" t="inlineStr">
        <is>
          <t>RON</t>
        </is>
      </c>
      <c r="O66" t="inlineStr">
        <is>
          <t>Ploiești</t>
        </is>
      </c>
      <c r="P66" s="12" t="n">
        <v>46345</v>
      </c>
      <c r="Q66">
        <f>IF(COUNTIF(tbl_Localitati[oras_oficial],[@oras])=0,"ORAS NEALINIAT",IF(XLOOKUP([@oras],tbl_Localitati[oras_oficial],tbl_Localitati[judet],"?")&lt;&gt;[@judet],"JUDET NECORESPUNZATOR",""))</f>
        <v/>
      </c>
      <c r="R66">
        <f>IF(XLOOKUP([@categorie],tbl_RegulriTVA[categorie],tbl_RegulriTVA[cota_legala],-1)&lt;&gt;[@cota_tva],"TVA GRESIT","")</f>
        <v/>
      </c>
      <c r="S66">
        <f>IF([@data_scadentei]&lt;[@data_factura],"SCADENTA INAINTEA FACTURII","")</f>
        <v/>
      </c>
      <c r="T66">
        <f>IF(NETWORKDAYS.INTL([@data_factura],[@data_factura],1,tbl_SarbatoriLegale[data])=0,"ZI NELUCRATOARE","")</f>
        <v/>
      </c>
      <c r="U66">
        <f>IF([@motiv_anomalie]="","OK","DE INVESTIGAT")</f>
        <v/>
      </c>
      <c r="V66">
        <f>TEXTJOIN("; ",TRUE,[@flag_oras],[@flag_tva],[@flag_scadenta],[@flag_zi])</f>
        <v/>
      </c>
    </row>
    <row r="67">
      <c r="A67" t="inlineStr">
        <is>
          <t>F-2025-00066</t>
        </is>
      </c>
      <c r="B67" s="12" t="n">
        <v>46063</v>
      </c>
      <c r="C67" t="inlineStr">
        <is>
          <t>SC INTEGROMED SA</t>
        </is>
      </c>
      <c r="D67" t="inlineStr">
        <is>
          <t>Cluj</t>
        </is>
      </c>
      <c r="E67" t="inlineStr">
        <is>
          <t>PRD-009</t>
        </is>
      </c>
      <c r="F67" t="inlineStr">
        <is>
          <t>Server rack 1U</t>
        </is>
      </c>
      <c r="G67" t="inlineStr">
        <is>
          <t>Hardware IT</t>
        </is>
      </c>
      <c r="H67" t="n">
        <v>10</v>
      </c>
      <c r="I67" t="n">
        <v>26.61</v>
      </c>
      <c r="J67" t="n">
        <v>266.1</v>
      </c>
      <c r="K67" s="13" t="n">
        <v>0.19</v>
      </c>
      <c r="L67" t="n">
        <v>50.56</v>
      </c>
      <c r="M67" t="n">
        <v>316.66</v>
      </c>
      <c r="N67" t="inlineStr">
        <is>
          <t>RON</t>
        </is>
      </c>
      <c r="O67" t="inlineStr">
        <is>
          <t>Cluj-Napoca</t>
        </is>
      </c>
      <c r="P67" s="12" t="n">
        <v>46078</v>
      </c>
      <c r="Q67">
        <f>IF(COUNTIF(tbl_Localitati[oras_oficial],[@oras])=0,"ORAS NEALINIAT",IF(XLOOKUP([@oras],tbl_Localitati[oras_oficial],tbl_Localitati[judet],"?")&lt;&gt;[@judet],"JUDET NECORESPUNZATOR",""))</f>
        <v/>
      </c>
      <c r="R67">
        <f>IF(XLOOKUP([@categorie],tbl_RegulriTVA[categorie],tbl_RegulriTVA[cota_legala],-1)&lt;&gt;[@cota_tva],"TVA GRESIT","")</f>
        <v/>
      </c>
      <c r="S67">
        <f>IF([@data_scadentei]&lt;[@data_factura],"SCADENTA INAINTEA FACTURII","")</f>
        <v/>
      </c>
      <c r="T67">
        <f>IF(NETWORKDAYS.INTL([@data_factura],[@data_factura],1,tbl_SarbatoriLegale[data])=0,"ZI NELUCRATOARE","")</f>
        <v/>
      </c>
      <c r="U67">
        <f>IF([@motiv_anomalie]="","OK","DE INVESTIGAT")</f>
        <v/>
      </c>
      <c r="V67">
        <f>TEXTJOIN("; ",TRUE,[@flag_oras],[@flag_tva],[@flag_scadenta],[@flag_zi])</f>
        <v/>
      </c>
    </row>
    <row r="68">
      <c r="A68" t="inlineStr">
        <is>
          <t>F-2025-00067</t>
        </is>
      </c>
      <c r="B68" s="12" t="n">
        <v>46185</v>
      </c>
      <c r="C68" t="inlineStr">
        <is>
          <t>SC UNIFOOD DISTRIBUTION SA</t>
        </is>
      </c>
      <c r="D68" t="inlineStr">
        <is>
          <t>Sibiu</t>
        </is>
      </c>
      <c r="E68" t="inlineStr">
        <is>
          <t>PRD-011</t>
        </is>
      </c>
      <c r="F68" t="inlineStr">
        <is>
          <t>Abonament suita cloud</t>
        </is>
      </c>
      <c r="G68" t="inlineStr">
        <is>
          <t>Licențe software</t>
        </is>
      </c>
      <c r="H68" t="n">
        <v>5</v>
      </c>
      <c r="I68" t="n">
        <v>46.27</v>
      </c>
      <c r="J68" t="n">
        <v>231.35</v>
      </c>
      <c r="K68" s="13" t="n">
        <v>0.19</v>
      </c>
      <c r="L68" t="n">
        <v>43.96</v>
      </c>
      <c r="M68" t="n">
        <v>275.31</v>
      </c>
      <c r="N68" t="inlineStr">
        <is>
          <t>RON</t>
        </is>
      </c>
      <c r="O68" t="inlineStr">
        <is>
          <t>Mediaș</t>
        </is>
      </c>
      <c r="P68" s="12" t="n">
        <v>46215</v>
      </c>
      <c r="Q68">
        <f>IF(COUNTIF(tbl_Localitati[oras_oficial],[@oras])=0,"ORAS NEALINIAT",IF(XLOOKUP([@oras],tbl_Localitati[oras_oficial],tbl_Localitati[judet],"?")&lt;&gt;[@judet],"JUDET NECORESPUNZATOR",""))</f>
        <v/>
      </c>
      <c r="R68">
        <f>IF(XLOOKUP([@categorie],tbl_RegulriTVA[categorie],tbl_RegulriTVA[cota_legala],-1)&lt;&gt;[@cota_tva],"TVA GRESIT","")</f>
        <v/>
      </c>
      <c r="S68">
        <f>IF([@data_scadentei]&lt;[@data_factura],"SCADENTA INAINTEA FACTURII","")</f>
        <v/>
      </c>
      <c r="T68">
        <f>IF(NETWORKDAYS.INTL([@data_factura],[@data_factura],1,tbl_SarbatoriLegale[data])=0,"ZI NELUCRATOARE","")</f>
        <v/>
      </c>
      <c r="U68">
        <f>IF([@motiv_anomalie]="","OK","DE INVESTIGAT")</f>
        <v/>
      </c>
      <c r="V68">
        <f>TEXTJOIN("; ",TRUE,[@flag_oras],[@flag_tva],[@flag_scadenta],[@flag_zi])</f>
        <v/>
      </c>
    </row>
    <row r="69">
      <c r="A69" t="inlineStr">
        <is>
          <t>F-2025-00068</t>
        </is>
      </c>
      <c r="B69" s="12" t="n">
        <v>46048</v>
      </c>
      <c r="C69" t="inlineStr">
        <is>
          <t>SC AROMET TRADING SRL</t>
        </is>
      </c>
      <c r="D69" t="inlineStr">
        <is>
          <t>Alba</t>
        </is>
      </c>
      <c r="E69" t="inlineStr">
        <is>
          <t>PRD-006</t>
        </is>
      </c>
      <c r="F69" t="inlineStr">
        <is>
          <t>Trusa prim ajutor</t>
        </is>
      </c>
      <c r="G69" t="inlineStr">
        <is>
          <t>Produse farmaceutice</t>
        </is>
      </c>
      <c r="H69" t="n">
        <v>10</v>
      </c>
      <c r="I69" t="n">
        <v>771.9400000000001</v>
      </c>
      <c r="J69" t="n">
        <v>7719.4</v>
      </c>
      <c r="K69" s="13" t="n">
        <v>0.09</v>
      </c>
      <c r="L69" t="n">
        <v>694.75</v>
      </c>
      <c r="M69" t="n">
        <v>8414.15</v>
      </c>
      <c r="N69" t="inlineStr">
        <is>
          <t>RON</t>
        </is>
      </c>
      <c r="O69" t="inlineStr">
        <is>
          <t>Alba Iulia</t>
        </is>
      </c>
      <c r="P69" s="12" t="n">
        <v>46108</v>
      </c>
      <c r="Q69">
        <f>IF(COUNTIF(tbl_Localitati[oras_oficial],[@oras])=0,"ORAS NEALINIAT",IF(XLOOKUP([@oras],tbl_Localitati[oras_oficial],tbl_Localitati[judet],"?")&lt;&gt;[@judet],"JUDET NECORESPUNZATOR",""))</f>
        <v/>
      </c>
      <c r="R69">
        <f>IF(XLOOKUP([@categorie],tbl_RegulriTVA[categorie],tbl_RegulriTVA[cota_legala],-1)&lt;&gt;[@cota_tva],"TVA GRESIT","")</f>
        <v/>
      </c>
      <c r="S69">
        <f>IF([@data_scadentei]&lt;[@data_factura],"SCADENTA INAINTEA FACTURII","")</f>
        <v/>
      </c>
      <c r="T69">
        <f>IF(NETWORKDAYS.INTL([@data_factura],[@data_factura],1,tbl_SarbatoriLegale[data])=0,"ZI NELUCRATOARE","")</f>
        <v/>
      </c>
      <c r="U69">
        <f>IF([@motiv_anomalie]="","OK","DE INVESTIGAT")</f>
        <v/>
      </c>
      <c r="V69">
        <f>TEXTJOIN("; ",TRUE,[@flag_oras],[@flag_tva],[@flag_scadenta],[@flag_zi])</f>
        <v/>
      </c>
    </row>
    <row r="70">
      <c r="A70" t="inlineStr">
        <is>
          <t>F-2025-00069</t>
        </is>
      </c>
      <c r="B70" s="12" t="n">
        <v>46178</v>
      </c>
      <c r="C70" t="inlineStr">
        <is>
          <t>SC INTEGROMED SA</t>
        </is>
      </c>
      <c r="D70" t="inlineStr">
        <is>
          <t>Cluj</t>
        </is>
      </c>
      <c r="E70" t="inlineStr">
        <is>
          <t>PRD-012</t>
        </is>
      </c>
      <c r="F70" t="inlineStr">
        <is>
          <t>Monitor 27" 4K</t>
        </is>
      </c>
      <c r="G70" t="inlineStr">
        <is>
          <t>Hardware IT</t>
        </is>
      </c>
      <c r="H70" t="n">
        <v>2</v>
      </c>
      <c r="I70" t="n">
        <v>181.03</v>
      </c>
      <c r="J70" t="n">
        <v>362.06</v>
      </c>
      <c r="K70" s="13" t="n">
        <v>0.19</v>
      </c>
      <c r="L70" t="n">
        <v>68.79000000000001</v>
      </c>
      <c r="M70" t="n">
        <v>430.85</v>
      </c>
      <c r="N70" t="inlineStr">
        <is>
          <t>RON</t>
        </is>
      </c>
      <c r="O70" t="inlineStr">
        <is>
          <t>Cluj-Napoca</t>
        </is>
      </c>
      <c r="P70" s="12" t="n">
        <v>46238</v>
      </c>
      <c r="Q70">
        <f>IF(COUNTIF(tbl_Localitati[oras_oficial],[@oras])=0,"ORAS NEALINIAT",IF(XLOOKUP([@oras],tbl_Localitati[oras_oficial],tbl_Localitati[judet],"?")&lt;&gt;[@judet],"JUDET NECORESPUNZATOR",""))</f>
        <v/>
      </c>
      <c r="R70">
        <f>IF(XLOOKUP([@categorie],tbl_RegulriTVA[categorie],tbl_RegulriTVA[cota_legala],-1)&lt;&gt;[@cota_tva],"TVA GRESIT","")</f>
        <v/>
      </c>
      <c r="S70">
        <f>IF([@data_scadentei]&lt;[@data_factura],"SCADENTA INAINTEA FACTURII","")</f>
        <v/>
      </c>
      <c r="T70">
        <f>IF(NETWORKDAYS.INTL([@data_factura],[@data_factura],1,tbl_SarbatoriLegale[data])=0,"ZI NELUCRATOARE","")</f>
        <v/>
      </c>
      <c r="U70">
        <f>IF([@motiv_anomalie]="","OK","DE INVESTIGAT")</f>
        <v/>
      </c>
      <c r="V70">
        <f>TEXTJOIN("; ",TRUE,[@flag_oras],[@flag_tva],[@flag_scadenta],[@flag_zi])</f>
        <v/>
      </c>
    </row>
    <row r="71">
      <c r="A71" t="inlineStr">
        <is>
          <t>F-2025-00070</t>
        </is>
      </c>
      <c r="B71" s="12" t="n">
        <v>46118</v>
      </c>
      <c r="C71" t="inlineStr">
        <is>
          <t>SC VECTOR CONSULT SRL</t>
        </is>
      </c>
      <c r="D71" t="inlineStr">
        <is>
          <t>Timiș</t>
        </is>
      </c>
      <c r="E71" t="inlineStr">
        <is>
          <t>PRD-005</t>
        </is>
      </c>
      <c r="F71" t="inlineStr">
        <is>
          <t>Statie de lucru desktop</t>
        </is>
      </c>
      <c r="G71" t="inlineStr">
        <is>
          <t>Hardware IT</t>
        </is>
      </c>
      <c r="H71" t="n">
        <v>1</v>
      </c>
      <c r="I71" t="n">
        <v>239.1</v>
      </c>
      <c r="J71" t="n">
        <v>239.1</v>
      </c>
      <c r="K71" s="13" t="n">
        <v>0.19</v>
      </c>
      <c r="L71" t="n">
        <v>45.43</v>
      </c>
      <c r="M71" t="n">
        <v>284.53</v>
      </c>
      <c r="N71" t="inlineStr">
        <is>
          <t>RON</t>
        </is>
      </c>
      <c r="O71" t="inlineStr">
        <is>
          <t>Timișoara</t>
        </is>
      </c>
      <c r="P71" s="12" t="n">
        <v>46148</v>
      </c>
      <c r="Q71">
        <f>IF(COUNTIF(tbl_Localitati[oras_oficial],[@oras])=0,"ORAS NEALINIAT",IF(XLOOKUP([@oras],tbl_Localitati[oras_oficial],tbl_Localitati[judet],"?")&lt;&gt;[@judet],"JUDET NECORESPUNZATOR",""))</f>
        <v/>
      </c>
      <c r="R71">
        <f>IF(XLOOKUP([@categorie],tbl_RegulriTVA[categorie],tbl_RegulriTVA[cota_legala],-1)&lt;&gt;[@cota_tva],"TVA GRESIT","")</f>
        <v/>
      </c>
      <c r="S71">
        <f>IF([@data_scadentei]&lt;[@data_factura],"SCADENTA INAINTEA FACTURII","")</f>
        <v/>
      </c>
      <c r="T71">
        <f>IF(NETWORKDAYS.INTL([@data_factura],[@data_factura],1,tbl_SarbatoriLegale[data])=0,"ZI NELUCRATOARE","")</f>
        <v/>
      </c>
      <c r="U71">
        <f>IF([@motiv_anomalie]="","OK","DE INVESTIGAT")</f>
        <v/>
      </c>
      <c r="V71">
        <f>TEXTJOIN("; ",TRUE,[@flag_oras],[@flag_tva],[@flag_scadenta],[@flag_zi])</f>
        <v/>
      </c>
    </row>
    <row r="72">
      <c r="A72" t="inlineStr">
        <is>
          <t>F-2025-00071</t>
        </is>
      </c>
      <c r="B72" s="12" t="n">
        <v>46195</v>
      </c>
      <c r="C72" t="inlineStr">
        <is>
          <t>SC DACTECH SOLUTIONS SRL</t>
        </is>
      </c>
      <c r="D72" t="inlineStr">
        <is>
          <t>București</t>
        </is>
      </c>
      <c r="E72" t="inlineStr">
        <is>
          <t>PRD-009</t>
        </is>
      </c>
      <c r="F72" t="inlineStr">
        <is>
          <t>Training utilizatori</t>
        </is>
      </c>
      <c r="G72" t="inlineStr">
        <is>
          <t>Servicii consultanță</t>
        </is>
      </c>
      <c r="H72" t="n">
        <v>5</v>
      </c>
      <c r="I72" t="n">
        <v>27.88</v>
      </c>
      <c r="J72" t="n">
        <v>139.4</v>
      </c>
      <c r="K72" s="13" t="n">
        <v>0.19</v>
      </c>
      <c r="L72" t="n">
        <v>26.49</v>
      </c>
      <c r="M72" t="n">
        <v>165.89</v>
      </c>
      <c r="N72" t="inlineStr">
        <is>
          <t>USD</t>
        </is>
      </c>
      <c r="O72" t="inlineStr">
        <is>
          <t>Pitești</t>
        </is>
      </c>
      <c r="P72" s="12" t="n">
        <v>46225</v>
      </c>
      <c r="Q72">
        <f>IF(COUNTIF(tbl_Localitati[oras_oficial],[@oras])=0,"ORAS NEALINIAT",IF(XLOOKUP([@oras],tbl_Localitati[oras_oficial],tbl_Localitati[judet],"?")&lt;&gt;[@judet],"JUDET NECORESPUNZATOR",""))</f>
        <v/>
      </c>
      <c r="R72">
        <f>IF(XLOOKUP([@categorie],tbl_RegulriTVA[categorie],tbl_RegulriTVA[cota_legala],-1)&lt;&gt;[@cota_tva],"TVA GRESIT","")</f>
        <v/>
      </c>
      <c r="S72">
        <f>IF([@data_scadentei]&lt;[@data_factura],"SCADENTA INAINTEA FACTURII","")</f>
        <v/>
      </c>
      <c r="T72">
        <f>IF(NETWORKDAYS.INTL([@data_factura],[@data_factura],1,tbl_SarbatoriLegale[data])=0,"ZI NELUCRATOARE","")</f>
        <v/>
      </c>
      <c r="U72">
        <f>IF([@motiv_anomalie]="","OK","DE INVESTIGAT")</f>
        <v/>
      </c>
      <c r="V72">
        <f>TEXTJOIN("; ",TRUE,[@flag_oras],[@flag_tva],[@flag_scadenta],[@flag_zi])</f>
        <v/>
      </c>
    </row>
    <row r="73">
      <c r="A73" t="inlineStr">
        <is>
          <t>F-2025-00072</t>
        </is>
      </c>
      <c r="B73" s="12" t="n">
        <v>46132</v>
      </c>
      <c r="C73" t="inlineStr">
        <is>
          <t>SC AROMET TRADING SRL</t>
        </is>
      </c>
      <c r="D73" t="inlineStr">
        <is>
          <t>Alba</t>
        </is>
      </c>
      <c r="E73" t="inlineStr">
        <is>
          <t>PRD-003</t>
        </is>
      </c>
      <c r="F73" t="inlineStr">
        <is>
          <t>Statie de lucru desktop</t>
        </is>
      </c>
      <c r="G73" t="inlineStr">
        <is>
          <t>Hardware IT</t>
        </is>
      </c>
      <c r="H73" t="n">
        <v>1</v>
      </c>
      <c r="I73" t="n">
        <v>4322.32</v>
      </c>
      <c r="J73" t="n">
        <v>4322.32</v>
      </c>
      <c r="K73" s="13" t="n">
        <v>0.19</v>
      </c>
      <c r="L73" t="n">
        <v>821.24</v>
      </c>
      <c r="M73" t="n">
        <v>5143.56</v>
      </c>
      <c r="N73" t="inlineStr">
        <is>
          <t>RON</t>
        </is>
      </c>
      <c r="O73" t="inlineStr">
        <is>
          <t>Alba Iulia</t>
        </is>
      </c>
      <c r="P73" s="12" t="n">
        <v>46162</v>
      </c>
      <c r="Q73">
        <f>IF(COUNTIF(tbl_Localitati[oras_oficial],[@oras])=0,"ORAS NEALINIAT",IF(XLOOKUP([@oras],tbl_Localitati[oras_oficial],tbl_Localitati[judet],"?")&lt;&gt;[@judet],"JUDET NECORESPUNZATOR",""))</f>
        <v/>
      </c>
      <c r="R73">
        <f>IF(XLOOKUP([@categorie],tbl_RegulriTVA[categorie],tbl_RegulriTVA[cota_legala],-1)&lt;&gt;[@cota_tva],"TVA GRESIT","")</f>
        <v/>
      </c>
      <c r="S73">
        <f>IF([@data_scadentei]&lt;[@data_factura],"SCADENTA INAINTEA FACTURII","")</f>
        <v/>
      </c>
      <c r="T73">
        <f>IF(NETWORKDAYS.INTL([@data_factura],[@data_factura],1,tbl_SarbatoriLegale[data])=0,"ZI NELUCRATOARE","")</f>
        <v/>
      </c>
      <c r="U73">
        <f>IF([@motiv_anomalie]="","OK","DE INVESTIGAT")</f>
        <v/>
      </c>
      <c r="V73">
        <f>TEXTJOIN("; ",TRUE,[@flag_oras],[@flag_tva],[@flag_scadenta],[@flag_zi])</f>
        <v/>
      </c>
    </row>
    <row r="74">
      <c r="A74" t="inlineStr">
        <is>
          <t>F-2025-00073</t>
        </is>
      </c>
      <c r="B74" s="12" t="n">
        <v>46192</v>
      </c>
      <c r="C74" t="inlineStr">
        <is>
          <t>SC INTEGROMED SA</t>
        </is>
      </c>
      <c r="D74" t="inlineStr">
        <is>
          <t>Cluj</t>
        </is>
      </c>
      <c r="E74" t="inlineStr">
        <is>
          <t>PRD-002</t>
        </is>
      </c>
      <c r="F74" t="inlineStr">
        <is>
          <t>Laptop business 15"</t>
        </is>
      </c>
      <c r="G74" t="inlineStr">
        <is>
          <t>Hardware IT</t>
        </is>
      </c>
      <c r="H74" t="n">
        <v>1</v>
      </c>
      <c r="I74" t="n">
        <v>1128.21</v>
      </c>
      <c r="J74" t="n">
        <v>1128.21</v>
      </c>
      <c r="K74" s="13" t="n">
        <v>0.19</v>
      </c>
      <c r="L74" t="n">
        <v>214.36</v>
      </c>
      <c r="M74" t="n">
        <v>1342.57</v>
      </c>
      <c r="N74" t="inlineStr">
        <is>
          <t>RON</t>
        </is>
      </c>
      <c r="O74" t="inlineStr">
        <is>
          <t>Cluj-Napoca</t>
        </is>
      </c>
      <c r="P74" s="12" t="n">
        <v>46237</v>
      </c>
      <c r="Q74">
        <f>IF(COUNTIF(tbl_Localitati[oras_oficial],[@oras])=0,"ORAS NEALINIAT",IF(XLOOKUP([@oras],tbl_Localitati[oras_oficial],tbl_Localitati[judet],"?")&lt;&gt;[@judet],"JUDET NECORESPUNZATOR",""))</f>
        <v/>
      </c>
      <c r="R74">
        <f>IF(XLOOKUP([@categorie],tbl_RegulriTVA[categorie],tbl_RegulriTVA[cota_legala],-1)&lt;&gt;[@cota_tva],"TVA GRESIT","")</f>
        <v/>
      </c>
      <c r="S74">
        <f>IF([@data_scadentei]&lt;[@data_factura],"SCADENTA INAINTEA FACTURII","")</f>
        <v/>
      </c>
      <c r="T74">
        <f>IF(NETWORKDAYS.INTL([@data_factura],[@data_factura],1,tbl_SarbatoriLegale[data])=0,"ZI NELUCRATOARE","")</f>
        <v/>
      </c>
      <c r="U74">
        <f>IF([@motiv_anomalie]="","OK","DE INVESTIGAT")</f>
        <v/>
      </c>
      <c r="V74">
        <f>TEXTJOIN("; ",TRUE,[@flag_oras],[@flag_tva],[@flag_scadenta],[@flag_zi])</f>
        <v/>
      </c>
    </row>
    <row r="75">
      <c r="A75" t="inlineStr">
        <is>
          <t>F-2025-00074</t>
        </is>
      </c>
      <c r="B75" s="12" t="n">
        <v>46267</v>
      </c>
      <c r="C75" t="inlineStr">
        <is>
          <t>SC AROMET TRADING SRL</t>
        </is>
      </c>
      <c r="D75" t="inlineStr">
        <is>
          <t>Alba</t>
        </is>
      </c>
      <c r="E75" t="inlineStr">
        <is>
          <t>PRD-004</t>
        </is>
      </c>
      <c r="F75" t="inlineStr">
        <is>
          <t>Laptop business 15"</t>
        </is>
      </c>
      <c r="G75" t="inlineStr">
        <is>
          <t>Hardware IT</t>
        </is>
      </c>
      <c r="H75" t="n">
        <v>1</v>
      </c>
      <c r="I75" t="n">
        <v>884.1900000000001</v>
      </c>
      <c r="J75" t="n">
        <v>884.1900000000001</v>
      </c>
      <c r="K75" s="13" t="n">
        <v>0.19</v>
      </c>
      <c r="L75" t="n">
        <v>168</v>
      </c>
      <c r="M75" t="n">
        <v>1052.19</v>
      </c>
      <c r="N75" t="inlineStr">
        <is>
          <t>RON</t>
        </is>
      </c>
      <c r="O75" t="inlineStr">
        <is>
          <t>Alba Iulia</t>
        </is>
      </c>
      <c r="P75" s="12" t="n">
        <v>46312</v>
      </c>
      <c r="Q75">
        <f>IF(COUNTIF(tbl_Localitati[oras_oficial],[@oras])=0,"ORAS NEALINIAT",IF(XLOOKUP([@oras],tbl_Localitati[oras_oficial],tbl_Localitati[judet],"?")&lt;&gt;[@judet],"JUDET NECORESPUNZATOR",""))</f>
        <v/>
      </c>
      <c r="R75">
        <f>IF(XLOOKUP([@categorie],tbl_RegulriTVA[categorie],tbl_RegulriTVA[cota_legala],-1)&lt;&gt;[@cota_tva],"TVA GRESIT","")</f>
        <v/>
      </c>
      <c r="S75">
        <f>IF([@data_scadentei]&lt;[@data_factura],"SCADENTA INAINTEA FACTURII","")</f>
        <v/>
      </c>
      <c r="T75">
        <f>IF(NETWORKDAYS.INTL([@data_factura],[@data_factura],1,tbl_SarbatoriLegale[data])=0,"ZI NELUCRATOARE","")</f>
        <v/>
      </c>
      <c r="U75">
        <f>IF([@motiv_anomalie]="","OK","DE INVESTIGAT")</f>
        <v/>
      </c>
      <c r="V75">
        <f>TEXTJOIN("; ",TRUE,[@flag_oras],[@flag_tva],[@flag_scadenta],[@flag_zi])</f>
        <v/>
      </c>
    </row>
    <row r="76">
      <c r="A76" t="inlineStr">
        <is>
          <t>F-2025-00075</t>
        </is>
      </c>
      <c r="B76" s="12" t="n">
        <v>46370</v>
      </c>
      <c r="C76" t="inlineStr">
        <is>
          <t>SC DACTECH SOLUTIONS SRL</t>
        </is>
      </c>
      <c r="D76" t="inlineStr">
        <is>
          <t>Argeș</t>
        </is>
      </c>
      <c r="E76" t="inlineStr">
        <is>
          <t>PRD-001</t>
        </is>
      </c>
      <c r="F76" t="inlineStr">
        <is>
          <t>Statie de lucru desktop</t>
        </is>
      </c>
      <c r="G76" t="inlineStr">
        <is>
          <t>Hardware IT</t>
        </is>
      </c>
      <c r="H76" t="n">
        <v>5</v>
      </c>
      <c r="I76" t="n">
        <v>2496.29</v>
      </c>
      <c r="J76" t="n">
        <v>12481.45</v>
      </c>
      <c r="K76" s="13" t="n">
        <v>0.19</v>
      </c>
      <c r="L76" t="n">
        <v>2371.48</v>
      </c>
      <c r="M76" t="n">
        <v>14852.93</v>
      </c>
      <c r="N76" t="inlineStr">
        <is>
          <t>RON</t>
        </is>
      </c>
      <c r="O76" t="inlineStr">
        <is>
          <t>Pitești</t>
        </is>
      </c>
      <c r="P76" s="12" t="n">
        <v>46400</v>
      </c>
      <c r="Q76">
        <f>IF(COUNTIF(tbl_Localitati[oras_oficial],[@oras])=0,"ORAS NEALINIAT",IF(XLOOKUP([@oras],tbl_Localitati[oras_oficial],tbl_Localitati[judet],"?")&lt;&gt;[@judet],"JUDET NECORESPUNZATOR",""))</f>
        <v/>
      </c>
      <c r="R76">
        <f>IF(XLOOKUP([@categorie],tbl_RegulriTVA[categorie],tbl_RegulriTVA[cota_legala],-1)&lt;&gt;[@cota_tva],"TVA GRESIT","")</f>
        <v/>
      </c>
      <c r="S76">
        <f>IF([@data_scadentei]&lt;[@data_factura],"SCADENTA INAINTEA FACTURII","")</f>
        <v/>
      </c>
      <c r="T76">
        <f>IF(NETWORKDAYS.INTL([@data_factura],[@data_factura],1,tbl_SarbatoriLegale[data])=0,"ZI NELUCRATOARE","")</f>
        <v/>
      </c>
      <c r="U76">
        <f>IF([@motiv_anomalie]="","OK","DE INVESTIGAT")</f>
        <v/>
      </c>
      <c r="V76">
        <f>TEXTJOIN("; ",TRUE,[@flag_oras],[@flag_tva],[@flag_scadenta],[@flag_zi])</f>
        <v/>
      </c>
    </row>
    <row r="77">
      <c r="A77" t="inlineStr">
        <is>
          <t>F-2025-00076</t>
        </is>
      </c>
      <c r="B77" s="12" t="n">
        <v>46209</v>
      </c>
      <c r="C77" t="inlineStr">
        <is>
          <t>SC ZENITH AUTO SRL</t>
        </is>
      </c>
      <c r="D77" t="inlineStr">
        <is>
          <t>București</t>
        </is>
      </c>
      <c r="E77" t="inlineStr">
        <is>
          <t>PRD-012</t>
        </is>
      </c>
      <c r="F77" t="inlineStr">
        <is>
          <t>Tocator documente</t>
        </is>
      </c>
      <c r="G77" t="inlineStr">
        <is>
          <t>Echipamente birou</t>
        </is>
      </c>
      <c r="H77" t="n">
        <v>1</v>
      </c>
      <c r="I77" t="n">
        <v>188.32</v>
      </c>
      <c r="J77" t="n">
        <v>188.32</v>
      </c>
      <c r="K77" s="13" t="n">
        <v>0.19</v>
      </c>
      <c r="L77" t="n">
        <v>35.78</v>
      </c>
      <c r="M77" t="n">
        <v>224.1</v>
      </c>
      <c r="N77" t="inlineStr">
        <is>
          <t>RON</t>
        </is>
      </c>
      <c r="O77" t="inlineStr">
        <is>
          <t>București</t>
        </is>
      </c>
      <c r="P77" s="12" t="n">
        <v>46239</v>
      </c>
      <c r="Q77">
        <f>IF(COUNTIF(tbl_Localitati[oras_oficial],[@oras])=0,"ORAS NEALINIAT",IF(XLOOKUP([@oras],tbl_Localitati[oras_oficial],tbl_Localitati[judet],"?")&lt;&gt;[@judet],"JUDET NECORESPUNZATOR",""))</f>
        <v/>
      </c>
      <c r="R77">
        <f>IF(XLOOKUP([@categorie],tbl_RegulriTVA[categorie],tbl_RegulriTVA[cota_legala],-1)&lt;&gt;[@cota_tva],"TVA GRESIT","")</f>
        <v/>
      </c>
      <c r="S77">
        <f>IF([@data_scadentei]&lt;[@data_factura],"SCADENTA INAINTEA FACTURII","")</f>
        <v/>
      </c>
      <c r="T77">
        <f>IF(NETWORKDAYS.INTL([@data_factura],[@data_factura],1,tbl_SarbatoriLegale[data])=0,"ZI NELUCRATOARE","")</f>
        <v/>
      </c>
      <c r="U77">
        <f>IF([@motiv_anomalie]="","OK","DE INVESTIGAT")</f>
        <v/>
      </c>
      <c r="V77">
        <f>TEXTJOIN("; ",TRUE,[@flag_oras],[@flag_tva],[@flag_scadenta],[@flag_zi])</f>
        <v/>
      </c>
    </row>
    <row r="78">
      <c r="A78" t="inlineStr">
        <is>
          <t>F-2025-00077</t>
        </is>
      </c>
      <c r="B78" s="12" t="n">
        <v>46360</v>
      </c>
      <c r="C78" t="inlineStr">
        <is>
          <t>SC NORDIS DISTRIBUTIE SRL</t>
        </is>
      </c>
      <c r="D78" t="inlineStr">
        <is>
          <t>Constanța</t>
        </is>
      </c>
      <c r="E78" t="inlineStr">
        <is>
          <t>PRD-010</t>
        </is>
      </c>
      <c r="F78" t="inlineStr">
        <is>
          <t>Tocator documente</t>
        </is>
      </c>
      <c r="G78" t="inlineStr">
        <is>
          <t>Echipamente birou</t>
        </is>
      </c>
      <c r="H78" t="n">
        <v>50</v>
      </c>
      <c r="I78" t="n">
        <v>338.26</v>
      </c>
      <c r="J78" t="n">
        <v>16913</v>
      </c>
      <c r="K78" s="13" t="n">
        <v>0.19</v>
      </c>
      <c r="L78" t="n">
        <v>3213.47</v>
      </c>
      <c r="M78" t="n">
        <v>20126.47</v>
      </c>
      <c r="N78" t="inlineStr">
        <is>
          <t>RON</t>
        </is>
      </c>
      <c r="O78" t="inlineStr">
        <is>
          <t>Mangalia</t>
        </is>
      </c>
      <c r="P78" s="12" t="n">
        <v>46375</v>
      </c>
      <c r="Q78">
        <f>IF(COUNTIF(tbl_Localitati[oras_oficial],[@oras])=0,"ORAS NEALINIAT",IF(XLOOKUP([@oras],tbl_Localitati[oras_oficial],tbl_Localitati[judet],"?")&lt;&gt;[@judet],"JUDET NECORESPUNZATOR",""))</f>
        <v/>
      </c>
      <c r="R78">
        <f>IF(XLOOKUP([@categorie],tbl_RegulriTVA[categorie],tbl_RegulriTVA[cota_legala],-1)&lt;&gt;[@cota_tva],"TVA GRESIT","")</f>
        <v/>
      </c>
      <c r="S78">
        <f>IF([@data_scadentei]&lt;[@data_factura],"SCADENTA INAINTEA FACTURII","")</f>
        <v/>
      </c>
      <c r="T78">
        <f>IF(NETWORKDAYS.INTL([@data_factura],[@data_factura],1,tbl_SarbatoriLegale[data])=0,"ZI NELUCRATOARE","")</f>
        <v/>
      </c>
      <c r="U78">
        <f>IF([@motiv_anomalie]="","OK","DE INVESTIGAT")</f>
        <v/>
      </c>
      <c r="V78">
        <f>TEXTJOIN("; ",TRUE,[@flag_oras],[@flag_tva],[@flag_scadenta],[@flag_zi])</f>
        <v/>
      </c>
    </row>
    <row r="79">
      <c r="A79" t="inlineStr">
        <is>
          <t>F-2025-00078</t>
        </is>
      </c>
      <c r="B79" s="12" t="n">
        <v>46027</v>
      </c>
      <c r="C79" t="inlineStr">
        <is>
          <t>SC AROMET TRADING SRL</t>
        </is>
      </c>
      <c r="D79" t="inlineStr">
        <is>
          <t>Alba</t>
        </is>
      </c>
      <c r="E79" t="inlineStr">
        <is>
          <t>PRD-004</t>
        </is>
      </c>
      <c r="F79" t="inlineStr">
        <is>
          <t>Videoproiector sala</t>
        </is>
      </c>
      <c r="G79" t="inlineStr">
        <is>
          <t>Echipamente birou</t>
        </is>
      </c>
      <c r="H79" t="n">
        <v>3</v>
      </c>
      <c r="I79" t="n">
        <v>891.39</v>
      </c>
      <c r="J79" t="n">
        <v>2674.17</v>
      </c>
      <c r="K79" s="13" t="n">
        <v>0.19</v>
      </c>
      <c r="L79" t="n">
        <v>508.09</v>
      </c>
      <c r="M79" t="n">
        <v>3182.26</v>
      </c>
      <c r="N79" t="inlineStr">
        <is>
          <t>RON</t>
        </is>
      </c>
      <c r="O79" t="inlineStr">
        <is>
          <t>Alba Iulia</t>
        </is>
      </c>
      <c r="P79" s="12" t="n">
        <v>46057</v>
      </c>
      <c r="Q79">
        <f>IF(COUNTIF(tbl_Localitati[oras_oficial],[@oras])=0,"ORAS NEALINIAT",IF(XLOOKUP([@oras],tbl_Localitati[oras_oficial],tbl_Localitati[judet],"?")&lt;&gt;[@judet],"JUDET NECORESPUNZATOR",""))</f>
        <v/>
      </c>
      <c r="R79">
        <f>IF(XLOOKUP([@categorie],tbl_RegulriTVA[categorie],tbl_RegulriTVA[cota_legala],-1)&lt;&gt;[@cota_tva],"TVA GRESIT","")</f>
        <v/>
      </c>
      <c r="S79">
        <f>IF([@data_scadentei]&lt;[@data_factura],"SCADENTA INAINTEA FACTURII","")</f>
        <v/>
      </c>
      <c r="T79">
        <f>IF(NETWORKDAYS.INTL([@data_factura],[@data_factura],1,tbl_SarbatoriLegale[data])=0,"ZI NELUCRATOARE","")</f>
        <v/>
      </c>
      <c r="U79">
        <f>IF([@motiv_anomalie]="","OK","DE INVESTIGAT")</f>
        <v/>
      </c>
      <c r="V79">
        <f>TEXTJOIN("; ",TRUE,[@flag_oras],[@flag_tva],[@flag_scadenta],[@flag_zi])</f>
        <v/>
      </c>
    </row>
    <row r="80">
      <c r="A80" t="inlineStr">
        <is>
          <t>F-2025-00079</t>
        </is>
      </c>
      <c r="B80" s="12" t="n">
        <v>46134</v>
      </c>
      <c r="C80" t="inlineStr">
        <is>
          <t>SC METALPLAST INVEST SA</t>
        </is>
      </c>
      <c r="D80" t="inlineStr">
        <is>
          <t>Cluj</t>
        </is>
      </c>
      <c r="E80" t="inlineStr">
        <is>
          <t>PRD-005</t>
        </is>
      </c>
      <c r="F80" t="inlineStr">
        <is>
          <t>Telefon IP birou</t>
        </is>
      </c>
      <c r="G80" t="inlineStr">
        <is>
          <t>Echipamente birou</t>
        </is>
      </c>
      <c r="H80" t="n">
        <v>1</v>
      </c>
      <c r="I80" t="n">
        <v>262.42</v>
      </c>
      <c r="J80" t="n">
        <v>262.42</v>
      </c>
      <c r="K80" s="13" t="n">
        <v>0.19</v>
      </c>
      <c r="L80" t="n">
        <v>49.86</v>
      </c>
      <c r="M80" t="n">
        <v>312.28</v>
      </c>
      <c r="N80" t="inlineStr">
        <is>
          <t>RON</t>
        </is>
      </c>
      <c r="O80" t="inlineStr">
        <is>
          <t>Turda</t>
        </is>
      </c>
      <c r="P80" s="12" t="n">
        <v>46164</v>
      </c>
      <c r="Q80">
        <f>IF(COUNTIF(tbl_Localitati[oras_oficial],[@oras])=0,"ORAS NEALINIAT",IF(XLOOKUP([@oras],tbl_Localitati[oras_oficial],tbl_Localitati[judet],"?")&lt;&gt;[@judet],"JUDET NECORESPUNZATOR",""))</f>
        <v/>
      </c>
      <c r="R80">
        <f>IF(XLOOKUP([@categorie],tbl_RegulriTVA[categorie],tbl_RegulriTVA[cota_legala],-1)&lt;&gt;[@cota_tva],"TVA GRESIT","")</f>
        <v/>
      </c>
      <c r="S80">
        <f>IF([@data_scadentei]&lt;[@data_factura],"SCADENTA INAINTEA FACTURII","")</f>
        <v/>
      </c>
      <c r="T80">
        <f>IF(NETWORKDAYS.INTL([@data_factura],[@data_factura],1,tbl_SarbatoriLegale[data])=0,"ZI NELUCRATOARE","")</f>
        <v/>
      </c>
      <c r="U80">
        <f>IF([@motiv_anomalie]="","OK","DE INVESTIGAT")</f>
        <v/>
      </c>
      <c r="V80">
        <f>TEXTJOIN("; ",TRUE,[@flag_oras],[@flag_tva],[@flag_scadenta],[@flag_zi])</f>
        <v/>
      </c>
    </row>
    <row r="81">
      <c r="A81" t="inlineStr">
        <is>
          <t>F-2025-00080</t>
        </is>
      </c>
      <c r="B81" s="12" t="n">
        <v>46097</v>
      </c>
      <c r="C81" t="inlineStr">
        <is>
          <t>SC DACTECH SOLUTIONS SRL</t>
        </is>
      </c>
      <c r="D81" t="inlineStr">
        <is>
          <t>Argeș</t>
        </is>
      </c>
      <c r="E81" t="inlineStr">
        <is>
          <t>PRD-011</t>
        </is>
      </c>
      <c r="F81" t="inlineStr">
        <is>
          <t>Statie de lucru desktop</t>
        </is>
      </c>
      <c r="G81" t="inlineStr">
        <is>
          <t>Hardware IT</t>
        </is>
      </c>
      <c r="H81" t="n">
        <v>50</v>
      </c>
      <c r="I81" t="n">
        <v>45.23</v>
      </c>
      <c r="J81" t="n">
        <v>2261.5</v>
      </c>
      <c r="K81" s="13" t="n">
        <v>0.19</v>
      </c>
      <c r="L81" t="n">
        <v>429.69</v>
      </c>
      <c r="M81" t="n">
        <v>2691.19</v>
      </c>
      <c r="N81" t="inlineStr">
        <is>
          <t>RON</t>
        </is>
      </c>
      <c r="O81" t="inlineStr">
        <is>
          <t>Pitești</t>
        </is>
      </c>
      <c r="P81" s="12" t="n">
        <v>46127</v>
      </c>
      <c r="Q81">
        <f>IF(COUNTIF(tbl_Localitati[oras_oficial],[@oras])=0,"ORAS NEALINIAT",IF(XLOOKUP([@oras],tbl_Localitati[oras_oficial],tbl_Localitati[judet],"?")&lt;&gt;[@judet],"JUDET NECORESPUNZATOR",""))</f>
        <v/>
      </c>
      <c r="R81">
        <f>IF(XLOOKUP([@categorie],tbl_RegulriTVA[categorie],tbl_RegulriTVA[cota_legala],-1)&lt;&gt;[@cota_tva],"TVA GRESIT","")</f>
        <v/>
      </c>
      <c r="S81">
        <f>IF([@data_scadentei]&lt;[@data_factura],"SCADENTA INAINTEA FACTURII","")</f>
        <v/>
      </c>
      <c r="T81">
        <f>IF(NETWORKDAYS.INTL([@data_factura],[@data_factura],1,tbl_SarbatoriLegale[data])=0,"ZI NELUCRATOARE","")</f>
        <v/>
      </c>
      <c r="U81">
        <f>IF([@motiv_anomalie]="","OK","DE INVESTIGAT")</f>
        <v/>
      </c>
      <c r="V81">
        <f>TEXTJOIN("; ",TRUE,[@flag_oras],[@flag_tva],[@flag_scadenta],[@flag_zi])</f>
        <v/>
      </c>
    </row>
    <row r="82">
      <c r="A82" t="inlineStr">
        <is>
          <t>F-2025-00081</t>
        </is>
      </c>
      <c r="B82" s="12" t="n">
        <v>46241</v>
      </c>
      <c r="C82" t="inlineStr">
        <is>
          <t>SC ELECTROBUILD SRL</t>
        </is>
      </c>
      <c r="D82" t="inlineStr">
        <is>
          <t>Bacău</t>
        </is>
      </c>
      <c r="E82" t="inlineStr">
        <is>
          <t>PRD-004</t>
        </is>
      </c>
      <c r="F82" t="inlineStr">
        <is>
          <t>Switch gigabit 24p</t>
        </is>
      </c>
      <c r="G82" t="inlineStr">
        <is>
          <t>Hardware IT</t>
        </is>
      </c>
      <c r="H82" t="n">
        <v>5</v>
      </c>
      <c r="I82" t="n">
        <v>927.38</v>
      </c>
      <c r="J82" t="n">
        <v>4636.9</v>
      </c>
      <c r="K82" s="13" t="n">
        <v>0.19</v>
      </c>
      <c r="L82" t="n">
        <v>881.01</v>
      </c>
      <c r="M82" t="n">
        <v>5517.91</v>
      </c>
      <c r="N82" t="inlineStr">
        <is>
          <t>RON</t>
        </is>
      </c>
      <c r="O82" t="inlineStr">
        <is>
          <t>Bacău</t>
        </is>
      </c>
      <c r="P82" s="12" t="n">
        <v>46301</v>
      </c>
      <c r="Q82">
        <f>IF(COUNTIF(tbl_Localitati[oras_oficial],[@oras])=0,"ORAS NEALINIAT",IF(XLOOKUP([@oras],tbl_Localitati[oras_oficial],tbl_Localitati[judet],"?")&lt;&gt;[@judet],"JUDET NECORESPUNZATOR",""))</f>
        <v/>
      </c>
      <c r="R82">
        <f>IF(XLOOKUP([@categorie],tbl_RegulriTVA[categorie],tbl_RegulriTVA[cota_legala],-1)&lt;&gt;[@cota_tva],"TVA GRESIT","")</f>
        <v/>
      </c>
      <c r="S82">
        <f>IF([@data_scadentei]&lt;[@data_factura],"SCADENTA INAINTEA FACTURII","")</f>
        <v/>
      </c>
      <c r="T82">
        <f>IF(NETWORKDAYS.INTL([@data_factura],[@data_factura],1,tbl_SarbatoriLegale[data])=0,"ZI NELUCRATOARE","")</f>
        <v/>
      </c>
      <c r="U82">
        <f>IF([@motiv_anomalie]="","OK","DE INVESTIGAT")</f>
        <v/>
      </c>
      <c r="V82">
        <f>TEXTJOIN("; ",TRUE,[@flag_oras],[@flag_tva],[@flag_scadenta],[@flag_zi])</f>
        <v/>
      </c>
    </row>
    <row r="83">
      <c r="A83" t="inlineStr">
        <is>
          <t>F-2025-00082</t>
        </is>
      </c>
      <c r="B83" s="12" t="n">
        <v>46302</v>
      </c>
      <c r="C83" t="inlineStr">
        <is>
          <t>SC ZENITH AUTO SRL</t>
        </is>
      </c>
      <c r="D83" t="inlineStr">
        <is>
          <t>București</t>
        </is>
      </c>
      <c r="E83" t="inlineStr">
        <is>
          <t>PRD-006</t>
        </is>
      </c>
      <c r="F83" t="inlineStr">
        <is>
          <t>Laptop business 15"</t>
        </is>
      </c>
      <c r="G83" t="inlineStr">
        <is>
          <t>Hardware IT</t>
        </is>
      </c>
      <c r="H83" t="n">
        <v>10</v>
      </c>
      <c r="I83" t="n">
        <v>768.15</v>
      </c>
      <c r="J83" t="n">
        <v>7681.5</v>
      </c>
      <c r="K83" s="13" t="n">
        <v>0.19</v>
      </c>
      <c r="L83" t="n">
        <v>1459.49</v>
      </c>
      <c r="M83" t="n">
        <v>9140.99</v>
      </c>
      <c r="N83" t="inlineStr">
        <is>
          <t>RON</t>
        </is>
      </c>
      <c r="O83" t="inlineStr">
        <is>
          <t>Clum Napoca</t>
        </is>
      </c>
      <c r="P83" s="12" t="n">
        <v>46332</v>
      </c>
      <c r="Q83">
        <f>IF(COUNTIF(tbl_Localitati[oras_oficial],[@oras])=0,"ORAS NEALINIAT",IF(XLOOKUP([@oras],tbl_Localitati[oras_oficial],tbl_Localitati[judet],"?")&lt;&gt;[@judet],"JUDET NECORESPUNZATOR",""))</f>
        <v/>
      </c>
      <c r="R83">
        <f>IF(XLOOKUP([@categorie],tbl_RegulriTVA[categorie],tbl_RegulriTVA[cota_legala],-1)&lt;&gt;[@cota_tva],"TVA GRESIT","")</f>
        <v/>
      </c>
      <c r="S83">
        <f>IF([@data_scadentei]&lt;[@data_factura],"SCADENTA INAINTEA FACTURII","")</f>
        <v/>
      </c>
      <c r="T83">
        <f>IF(NETWORKDAYS.INTL([@data_factura],[@data_factura],1,tbl_SarbatoriLegale[data])=0,"ZI NELUCRATOARE","")</f>
        <v/>
      </c>
      <c r="U83">
        <f>IF([@motiv_anomalie]="","OK","DE INVESTIGAT")</f>
        <v/>
      </c>
      <c r="V83">
        <f>TEXTJOIN("; ",TRUE,[@flag_oras],[@flag_tva],[@flag_scadenta],[@flag_zi])</f>
        <v/>
      </c>
    </row>
    <row r="84">
      <c r="A84" t="inlineStr">
        <is>
          <t>F-2025-00083</t>
        </is>
      </c>
      <c r="B84" s="12" t="n">
        <v>46244</v>
      </c>
      <c r="C84" t="inlineStr">
        <is>
          <t>SC DACTECH SOLUTIONS SRL</t>
        </is>
      </c>
      <c r="D84" t="inlineStr">
        <is>
          <t>Argeș</t>
        </is>
      </c>
      <c r="E84" t="inlineStr">
        <is>
          <t>PRD-005</t>
        </is>
      </c>
      <c r="F84" t="inlineStr">
        <is>
          <t>Switch gigabit 24p</t>
        </is>
      </c>
      <c r="G84" t="inlineStr">
        <is>
          <t>Hardware IT</t>
        </is>
      </c>
      <c r="H84" t="n">
        <v>2</v>
      </c>
      <c r="I84" t="n">
        <v>244.89</v>
      </c>
      <c r="J84" t="n">
        <v>489.78</v>
      </c>
      <c r="K84" s="13" t="n">
        <v>0.19</v>
      </c>
      <c r="L84" t="n">
        <v>93.06</v>
      </c>
      <c r="M84" t="n">
        <v>582.84</v>
      </c>
      <c r="N84" t="inlineStr">
        <is>
          <t>RON</t>
        </is>
      </c>
      <c r="O84" t="inlineStr">
        <is>
          <t>Pitești</t>
        </is>
      </c>
      <c r="P84" s="12" t="n">
        <v>46274</v>
      </c>
      <c r="Q84">
        <f>IF(COUNTIF(tbl_Localitati[oras_oficial],[@oras])=0,"ORAS NEALINIAT",IF(XLOOKUP([@oras],tbl_Localitati[oras_oficial],tbl_Localitati[judet],"?")&lt;&gt;[@judet],"JUDET NECORESPUNZATOR",""))</f>
        <v/>
      </c>
      <c r="R84">
        <f>IF(XLOOKUP([@categorie],tbl_RegulriTVA[categorie],tbl_RegulriTVA[cota_legala],-1)&lt;&gt;[@cota_tva],"TVA GRESIT","")</f>
        <v/>
      </c>
      <c r="S84">
        <f>IF([@data_scadentei]&lt;[@data_factura],"SCADENTA INAINTEA FACTURII","")</f>
        <v/>
      </c>
      <c r="T84">
        <f>IF(NETWORKDAYS.INTL([@data_factura],[@data_factura],1,tbl_SarbatoriLegale[data])=0,"ZI NELUCRATOARE","")</f>
        <v/>
      </c>
      <c r="U84">
        <f>IF([@motiv_anomalie]="","OK","DE INVESTIGAT")</f>
        <v/>
      </c>
      <c r="V84">
        <f>TEXTJOIN("; ",TRUE,[@flag_oras],[@flag_tva],[@flag_scadenta],[@flag_zi])</f>
        <v/>
      </c>
    </row>
    <row r="85">
      <c r="A85" t="inlineStr">
        <is>
          <t>F-2025-00084</t>
        </is>
      </c>
      <c r="B85" s="12" t="n">
        <v>46085</v>
      </c>
      <c r="C85" t="inlineStr">
        <is>
          <t>SC NORDIS DISTRIBUTIE SRL</t>
        </is>
      </c>
      <c r="D85" t="inlineStr">
        <is>
          <t>Constanța</t>
        </is>
      </c>
      <c r="E85" t="inlineStr">
        <is>
          <t>PRD-011</t>
        </is>
      </c>
      <c r="F85" t="inlineStr">
        <is>
          <t>Consultanta implementare IT</t>
        </is>
      </c>
      <c r="G85" t="inlineStr">
        <is>
          <t>Servicii consultanță</t>
        </is>
      </c>
      <c r="H85" t="n">
        <v>50</v>
      </c>
      <c r="I85" t="n">
        <v>43.51</v>
      </c>
      <c r="J85" t="n">
        <v>2175.5</v>
      </c>
      <c r="K85" s="13" t="n">
        <v>0.19</v>
      </c>
      <c r="L85" t="n">
        <v>413.35</v>
      </c>
      <c r="M85" t="n">
        <v>2588.85</v>
      </c>
      <c r="N85" t="inlineStr">
        <is>
          <t>RON</t>
        </is>
      </c>
      <c r="O85" t="inlineStr">
        <is>
          <t>Mangalia</t>
        </is>
      </c>
      <c r="P85" s="12" t="n">
        <v>46100</v>
      </c>
      <c r="Q85">
        <f>IF(COUNTIF(tbl_Localitati[oras_oficial],[@oras])=0,"ORAS NEALINIAT",IF(XLOOKUP([@oras],tbl_Localitati[oras_oficial],tbl_Localitati[judet],"?")&lt;&gt;[@judet],"JUDET NECORESPUNZATOR",""))</f>
        <v/>
      </c>
      <c r="R85">
        <f>IF(XLOOKUP([@categorie],tbl_RegulriTVA[categorie],tbl_RegulriTVA[cota_legala],-1)&lt;&gt;[@cota_tva],"TVA GRESIT","")</f>
        <v/>
      </c>
      <c r="S85">
        <f>IF([@data_scadentei]&lt;[@data_factura],"SCADENTA INAINTEA FACTURII","")</f>
        <v/>
      </c>
      <c r="T85">
        <f>IF(NETWORKDAYS.INTL([@data_factura],[@data_factura],1,tbl_SarbatoriLegale[data])=0,"ZI NELUCRATOARE","")</f>
        <v/>
      </c>
      <c r="U85">
        <f>IF([@motiv_anomalie]="","OK","DE INVESTIGAT")</f>
        <v/>
      </c>
      <c r="V85">
        <f>TEXTJOIN("; ",TRUE,[@flag_oras],[@flag_tva],[@flag_scadenta],[@flag_zi])</f>
        <v/>
      </c>
    </row>
    <row r="86">
      <c r="A86" t="inlineStr">
        <is>
          <t>F-2025-00085</t>
        </is>
      </c>
      <c r="B86" s="12" t="n">
        <v>46052</v>
      </c>
      <c r="C86" t="inlineStr">
        <is>
          <t>SC NORDIS DISTRIBUTIE SRL</t>
        </is>
      </c>
      <c r="D86" t="inlineStr">
        <is>
          <t>Constanța</t>
        </is>
      </c>
      <c r="E86" t="inlineStr">
        <is>
          <t>PRD-006</t>
        </is>
      </c>
      <c r="F86" t="inlineStr">
        <is>
          <t>Laptop business 15"</t>
        </is>
      </c>
      <c r="G86" t="inlineStr">
        <is>
          <t>Hardware IT</t>
        </is>
      </c>
      <c r="H86" t="n">
        <v>25</v>
      </c>
      <c r="I86" t="n">
        <v>721.6</v>
      </c>
      <c r="J86" t="n">
        <v>18040</v>
      </c>
      <c r="K86" s="13" t="n">
        <v>0.19</v>
      </c>
      <c r="L86" t="n">
        <v>3427.6</v>
      </c>
      <c r="M86" t="n">
        <v>21467.6</v>
      </c>
      <c r="N86" t="inlineStr">
        <is>
          <t>RON</t>
        </is>
      </c>
      <c r="O86" t="inlineStr">
        <is>
          <t>Mangalia</t>
        </is>
      </c>
      <c r="P86" s="12" t="n">
        <v>46097</v>
      </c>
      <c r="Q86">
        <f>IF(COUNTIF(tbl_Localitati[oras_oficial],[@oras])=0,"ORAS NEALINIAT",IF(XLOOKUP([@oras],tbl_Localitati[oras_oficial],tbl_Localitati[judet],"?")&lt;&gt;[@judet],"JUDET NECORESPUNZATOR",""))</f>
        <v/>
      </c>
      <c r="R86">
        <f>IF(XLOOKUP([@categorie],tbl_RegulriTVA[categorie],tbl_RegulriTVA[cota_legala],-1)&lt;&gt;[@cota_tva],"TVA GRESIT","")</f>
        <v/>
      </c>
      <c r="S86">
        <f>IF([@data_scadentei]&lt;[@data_factura],"SCADENTA INAINTEA FACTURII","")</f>
        <v/>
      </c>
      <c r="T86">
        <f>IF(NETWORKDAYS.INTL([@data_factura],[@data_factura],1,tbl_SarbatoriLegale[data])=0,"ZI NELUCRATOARE","")</f>
        <v/>
      </c>
      <c r="U86">
        <f>IF([@motiv_anomalie]="","OK","DE INVESTIGAT")</f>
        <v/>
      </c>
      <c r="V86">
        <f>TEXTJOIN("; ",TRUE,[@flag_oras],[@flag_tva],[@flag_scadenta],[@flag_zi])</f>
        <v/>
      </c>
    </row>
    <row r="87">
      <c r="A87" t="inlineStr">
        <is>
          <t>F-2025-00086</t>
        </is>
      </c>
      <c r="B87" s="12" t="n">
        <v>46343</v>
      </c>
      <c r="C87" t="inlineStr">
        <is>
          <t>SC FARMAVITAL DISTRIBUTIE SA</t>
        </is>
      </c>
      <c r="D87" t="inlineStr">
        <is>
          <t>Bihor</t>
        </is>
      </c>
      <c r="E87" t="inlineStr">
        <is>
          <t>PRD-007</t>
        </is>
      </c>
      <c r="F87" t="inlineStr">
        <is>
          <t>Ceai cutie 100buc</t>
        </is>
      </c>
      <c r="G87" t="inlineStr">
        <is>
          <t>Alimente</t>
        </is>
      </c>
      <c r="H87" t="n">
        <v>50</v>
      </c>
      <c r="I87" t="n">
        <v>187.05</v>
      </c>
      <c r="J87" t="n">
        <v>9352.5</v>
      </c>
      <c r="K87" s="13" t="n">
        <v>0.09</v>
      </c>
      <c r="L87" t="n">
        <v>841.73</v>
      </c>
      <c r="M87" t="n">
        <v>10194.23</v>
      </c>
      <c r="N87" t="inlineStr">
        <is>
          <t>RON</t>
        </is>
      </c>
      <c r="O87" t="inlineStr">
        <is>
          <t>Oradea</t>
        </is>
      </c>
      <c r="P87" s="12" t="n">
        <v>46373</v>
      </c>
      <c r="Q87">
        <f>IF(COUNTIF(tbl_Localitati[oras_oficial],[@oras])=0,"ORAS NEALINIAT",IF(XLOOKUP([@oras],tbl_Localitati[oras_oficial],tbl_Localitati[judet],"?")&lt;&gt;[@judet],"JUDET NECORESPUNZATOR",""))</f>
        <v/>
      </c>
      <c r="R87">
        <f>IF(XLOOKUP([@categorie],tbl_RegulriTVA[categorie],tbl_RegulriTVA[cota_legala],-1)&lt;&gt;[@cota_tva],"TVA GRESIT","")</f>
        <v/>
      </c>
      <c r="S87">
        <f>IF([@data_scadentei]&lt;[@data_factura],"SCADENTA INAINTEA FACTURII","")</f>
        <v/>
      </c>
      <c r="T87">
        <f>IF(NETWORKDAYS.INTL([@data_factura],[@data_factura],1,tbl_SarbatoriLegale[data])=0,"ZI NELUCRATOARE","")</f>
        <v/>
      </c>
      <c r="U87">
        <f>IF([@motiv_anomalie]="","OK","DE INVESTIGAT")</f>
        <v/>
      </c>
      <c r="V87">
        <f>TEXTJOIN("; ",TRUE,[@flag_oras],[@flag_tva],[@flag_scadenta],[@flag_zi])</f>
        <v/>
      </c>
    </row>
    <row r="88">
      <c r="A88" t="inlineStr">
        <is>
          <t>F-2025-00087</t>
        </is>
      </c>
      <c r="B88" s="12" t="n">
        <v>46374</v>
      </c>
      <c r="C88" t="inlineStr">
        <is>
          <t>SC NORDIS DISTRIBUTIE SRL</t>
        </is>
      </c>
      <c r="D88" t="inlineStr">
        <is>
          <t>Constanța</t>
        </is>
      </c>
      <c r="E88" t="inlineStr">
        <is>
          <t>PRD-011</t>
        </is>
      </c>
      <c r="F88" t="inlineStr">
        <is>
          <t>Statie de lucru desktop</t>
        </is>
      </c>
      <c r="G88" t="inlineStr">
        <is>
          <t>Hardware IT</t>
        </is>
      </c>
      <c r="H88" t="n">
        <v>10</v>
      </c>
      <c r="I88" t="n">
        <v>43.47</v>
      </c>
      <c r="J88" t="n">
        <v>434.7</v>
      </c>
      <c r="K88" s="13" t="n">
        <v>0.19</v>
      </c>
      <c r="L88" t="n">
        <v>82.59</v>
      </c>
      <c r="M88" t="n">
        <v>517.29</v>
      </c>
      <c r="N88" t="inlineStr">
        <is>
          <t>RON</t>
        </is>
      </c>
      <c r="O88" t="inlineStr">
        <is>
          <t>Mangalia</t>
        </is>
      </c>
      <c r="P88" s="12" t="n">
        <v>46419</v>
      </c>
      <c r="Q88">
        <f>IF(COUNTIF(tbl_Localitati[oras_oficial],[@oras])=0,"ORAS NEALINIAT",IF(XLOOKUP([@oras],tbl_Localitati[oras_oficial],tbl_Localitati[judet],"?")&lt;&gt;[@judet],"JUDET NECORESPUNZATOR",""))</f>
        <v/>
      </c>
      <c r="R88">
        <f>IF(XLOOKUP([@categorie],tbl_RegulriTVA[categorie],tbl_RegulriTVA[cota_legala],-1)&lt;&gt;[@cota_tva],"TVA GRESIT","")</f>
        <v/>
      </c>
      <c r="S88">
        <f>IF([@data_scadentei]&lt;[@data_factura],"SCADENTA INAINTEA FACTURII","")</f>
        <v/>
      </c>
      <c r="T88">
        <f>IF(NETWORKDAYS.INTL([@data_factura],[@data_factura],1,tbl_SarbatoriLegale[data])=0,"ZI NELUCRATOARE","")</f>
        <v/>
      </c>
      <c r="U88">
        <f>IF([@motiv_anomalie]="","OK","DE INVESTIGAT")</f>
        <v/>
      </c>
      <c r="V88">
        <f>TEXTJOIN("; ",TRUE,[@flag_oras],[@flag_tva],[@flag_scadenta],[@flag_zi])</f>
        <v/>
      </c>
    </row>
    <row r="89">
      <c r="A89" t="inlineStr">
        <is>
          <t>F-2025-00088</t>
        </is>
      </c>
      <c r="B89" s="12" t="n">
        <v>46247</v>
      </c>
      <c r="C89" t="inlineStr">
        <is>
          <t>SC ELECTROBUILD SRL</t>
        </is>
      </c>
      <c r="D89" t="inlineStr">
        <is>
          <t>Bacău</t>
        </is>
      </c>
      <c r="E89" t="inlineStr">
        <is>
          <t>PRD-003</t>
        </is>
      </c>
      <c r="F89" t="inlineStr">
        <is>
          <t>Consultanta implementare IT</t>
        </is>
      </c>
      <c r="G89" t="inlineStr">
        <is>
          <t>Servicii consultanță</t>
        </is>
      </c>
      <c r="H89" t="n">
        <v>5</v>
      </c>
      <c r="I89" t="n">
        <v>4216.03</v>
      </c>
      <c r="J89" t="n">
        <v>21080.15</v>
      </c>
      <c r="K89" s="13" t="n">
        <v>0.19</v>
      </c>
      <c r="L89" t="n">
        <v>4005.23</v>
      </c>
      <c r="M89" t="n">
        <v>25085.38</v>
      </c>
      <c r="N89" t="inlineStr">
        <is>
          <t>RON</t>
        </is>
      </c>
      <c r="O89" t="inlineStr">
        <is>
          <t>Bacău</t>
        </is>
      </c>
      <c r="P89" s="12" t="n">
        <v>46262</v>
      </c>
      <c r="Q89">
        <f>IF(COUNTIF(tbl_Localitati[oras_oficial],[@oras])=0,"ORAS NEALINIAT",IF(XLOOKUP([@oras],tbl_Localitati[oras_oficial],tbl_Localitati[judet],"?")&lt;&gt;[@judet],"JUDET NECORESPUNZATOR",""))</f>
        <v/>
      </c>
      <c r="R89">
        <f>IF(XLOOKUP([@categorie],tbl_RegulriTVA[categorie],tbl_RegulriTVA[cota_legala],-1)&lt;&gt;[@cota_tva],"TVA GRESIT","")</f>
        <v/>
      </c>
      <c r="S89">
        <f>IF([@data_scadentei]&lt;[@data_factura],"SCADENTA INAINTEA FACTURII","")</f>
        <v/>
      </c>
      <c r="T89">
        <f>IF(NETWORKDAYS.INTL([@data_factura],[@data_factura],1,tbl_SarbatoriLegale[data])=0,"ZI NELUCRATOARE","")</f>
        <v/>
      </c>
      <c r="U89">
        <f>IF([@motiv_anomalie]="","OK","DE INVESTIGAT")</f>
        <v/>
      </c>
      <c r="V89">
        <f>TEXTJOIN("; ",TRUE,[@flag_oras],[@flag_tva],[@flag_scadenta],[@flag_zi])</f>
        <v/>
      </c>
    </row>
    <row r="90">
      <c r="A90" t="inlineStr">
        <is>
          <t>F-2025-00089</t>
        </is>
      </c>
      <c r="B90" s="12" t="n">
        <v>46269</v>
      </c>
      <c r="C90" t="inlineStr">
        <is>
          <t>SC ZENITH AUTO SRL</t>
        </is>
      </c>
      <c r="D90" t="inlineStr">
        <is>
          <t>București</t>
        </is>
      </c>
      <c r="E90" t="inlineStr">
        <is>
          <t>PRD-001</t>
        </is>
      </c>
      <c r="F90" t="inlineStr">
        <is>
          <t>Videoproiector sala</t>
        </is>
      </c>
      <c r="G90" t="inlineStr">
        <is>
          <t>Echipamente birou</t>
        </is>
      </c>
      <c r="H90" t="n">
        <v>3</v>
      </c>
      <c r="I90" t="n">
        <v>2397.26</v>
      </c>
      <c r="J90" t="n">
        <v>7191.78</v>
      </c>
      <c r="K90" s="13" t="n">
        <v>0.19</v>
      </c>
      <c r="L90" t="n">
        <v>1366.44</v>
      </c>
      <c r="M90" t="n">
        <v>8558.219999999999</v>
      </c>
      <c r="N90" t="inlineStr">
        <is>
          <t>RON</t>
        </is>
      </c>
      <c r="O90" t="inlineStr">
        <is>
          <t>București</t>
        </is>
      </c>
      <c r="P90" s="12" t="n">
        <v>46314</v>
      </c>
      <c r="Q90">
        <f>IF(COUNTIF(tbl_Localitati[oras_oficial],[@oras])=0,"ORAS NEALINIAT",IF(XLOOKUP([@oras],tbl_Localitati[oras_oficial],tbl_Localitati[judet],"?")&lt;&gt;[@judet],"JUDET NECORESPUNZATOR",""))</f>
        <v/>
      </c>
      <c r="R90">
        <f>IF(XLOOKUP([@categorie],tbl_RegulriTVA[categorie],tbl_RegulriTVA[cota_legala],-1)&lt;&gt;[@cota_tva],"TVA GRESIT","")</f>
        <v/>
      </c>
      <c r="S90">
        <f>IF([@data_scadentei]&lt;[@data_factura],"SCADENTA INAINTEA FACTURII","")</f>
        <v/>
      </c>
      <c r="T90">
        <f>IF(NETWORKDAYS.INTL([@data_factura],[@data_factura],1,tbl_SarbatoriLegale[data])=0,"ZI NELUCRATOARE","")</f>
        <v/>
      </c>
      <c r="U90">
        <f>IF([@motiv_anomalie]="","OK","DE INVESTIGAT")</f>
        <v/>
      </c>
      <c r="V90">
        <f>TEXTJOIN("; ",TRUE,[@flag_oras],[@flag_tva],[@flag_scadenta],[@flag_zi])</f>
        <v/>
      </c>
    </row>
    <row r="91">
      <c r="A91" t="inlineStr">
        <is>
          <t>F-2025-00090</t>
        </is>
      </c>
      <c r="B91" s="12" t="n">
        <v>46101</v>
      </c>
      <c r="C91" t="inlineStr">
        <is>
          <t>SC RAPID LOGISTIC SA</t>
        </is>
      </c>
      <c r="D91" t="inlineStr">
        <is>
          <t>Prahova</t>
        </is>
      </c>
      <c r="E91" t="inlineStr">
        <is>
          <t>PRD-005</t>
        </is>
      </c>
      <c r="F91" t="inlineStr">
        <is>
          <t>Licenta ERP contabilitate</t>
        </is>
      </c>
      <c r="G91" t="inlineStr">
        <is>
          <t>Licențe software</t>
        </is>
      </c>
      <c r="H91" t="n">
        <v>2</v>
      </c>
      <c r="I91" t="n">
        <v>249.31</v>
      </c>
      <c r="J91" t="n">
        <v>498.62</v>
      </c>
      <c r="K91" s="13" t="n">
        <v>0.09</v>
      </c>
      <c r="L91" t="n">
        <v>44.88</v>
      </c>
      <c r="M91" t="n">
        <v>543.5</v>
      </c>
      <c r="N91" t="inlineStr">
        <is>
          <t>RON</t>
        </is>
      </c>
      <c r="O91" t="inlineStr">
        <is>
          <t>Ploiești</t>
        </is>
      </c>
      <c r="P91" s="12" t="n">
        <v>46161</v>
      </c>
      <c r="Q91">
        <f>IF(COUNTIF(tbl_Localitati[oras_oficial],[@oras])=0,"ORAS NEALINIAT",IF(XLOOKUP([@oras],tbl_Localitati[oras_oficial],tbl_Localitati[judet],"?")&lt;&gt;[@judet],"JUDET NECORESPUNZATOR",""))</f>
        <v/>
      </c>
      <c r="R91">
        <f>IF(XLOOKUP([@categorie],tbl_RegulriTVA[categorie],tbl_RegulriTVA[cota_legala],-1)&lt;&gt;[@cota_tva],"TVA GRESIT","")</f>
        <v/>
      </c>
      <c r="S91">
        <f>IF([@data_scadentei]&lt;[@data_factura],"SCADENTA INAINTEA FACTURII","")</f>
        <v/>
      </c>
      <c r="T91">
        <f>IF(NETWORKDAYS.INTL([@data_factura],[@data_factura],1,tbl_SarbatoriLegale[data])=0,"ZI NELUCRATOARE","")</f>
        <v/>
      </c>
      <c r="U91">
        <f>IF([@motiv_anomalie]="","OK","DE INVESTIGAT")</f>
        <v/>
      </c>
      <c r="V91">
        <f>TEXTJOIN("; ",TRUE,[@flag_oras],[@flag_tva],[@flag_scadenta],[@flag_zi])</f>
        <v/>
      </c>
    </row>
    <row r="92">
      <c r="A92" t="inlineStr">
        <is>
          <t>F-2025-00091</t>
        </is>
      </c>
      <c r="B92" s="12" t="n">
        <v>46126</v>
      </c>
      <c r="C92" t="inlineStr">
        <is>
          <t>SC AROMET TRADING SRL</t>
        </is>
      </c>
      <c r="D92" t="inlineStr">
        <is>
          <t>Alba</t>
        </is>
      </c>
      <c r="E92" t="inlineStr">
        <is>
          <t>PRD-005</t>
        </is>
      </c>
      <c r="F92" t="inlineStr">
        <is>
          <t>Licenta antivirus enterprise</t>
        </is>
      </c>
      <c r="G92" t="inlineStr">
        <is>
          <t>Licențe software</t>
        </is>
      </c>
      <c r="H92" t="n">
        <v>1</v>
      </c>
      <c r="I92" t="n">
        <v>242.97</v>
      </c>
      <c r="J92" t="n">
        <v>242.97</v>
      </c>
      <c r="K92" s="13" t="n">
        <v>0.19</v>
      </c>
      <c r="L92" t="n">
        <v>46.16</v>
      </c>
      <c r="M92" t="n">
        <v>289.13</v>
      </c>
      <c r="N92" t="inlineStr">
        <is>
          <t>RON</t>
        </is>
      </c>
      <c r="O92" t="inlineStr">
        <is>
          <t>Alba Iulia</t>
        </is>
      </c>
      <c r="P92" s="12" t="n">
        <v>46156</v>
      </c>
      <c r="Q92">
        <f>IF(COUNTIF(tbl_Localitati[oras_oficial],[@oras])=0,"ORAS NEALINIAT",IF(XLOOKUP([@oras],tbl_Localitati[oras_oficial],tbl_Localitati[judet],"?")&lt;&gt;[@judet],"JUDET NECORESPUNZATOR",""))</f>
        <v/>
      </c>
      <c r="R92">
        <f>IF(XLOOKUP([@categorie],tbl_RegulriTVA[categorie],tbl_RegulriTVA[cota_legala],-1)&lt;&gt;[@cota_tva],"TVA GRESIT","")</f>
        <v/>
      </c>
      <c r="S92">
        <f>IF([@data_scadentei]&lt;[@data_factura],"SCADENTA INAINTEA FACTURII","")</f>
        <v/>
      </c>
      <c r="T92">
        <f>IF(NETWORKDAYS.INTL([@data_factura],[@data_factura],1,tbl_SarbatoriLegale[data])=0,"ZI NELUCRATOARE","")</f>
        <v/>
      </c>
      <c r="U92">
        <f>IF([@motiv_anomalie]="","OK","DE INVESTIGAT")</f>
        <v/>
      </c>
      <c r="V92">
        <f>TEXTJOIN("; ",TRUE,[@flag_oras],[@flag_tva],[@flag_scadenta],[@flag_zi])</f>
        <v/>
      </c>
    </row>
    <row r="93">
      <c r="A93" t="inlineStr">
        <is>
          <t>F-2025-00092</t>
        </is>
      </c>
      <c r="B93" s="12" t="n">
        <v>46266</v>
      </c>
      <c r="C93" t="inlineStr">
        <is>
          <t>SC RAPID LOGISTIC SA</t>
        </is>
      </c>
      <c r="D93" t="inlineStr">
        <is>
          <t>Prahova</t>
        </is>
      </c>
      <c r="E93" t="inlineStr">
        <is>
          <t>PRD-006</t>
        </is>
      </c>
      <c r="F93" t="inlineStr">
        <is>
          <t>Ceai cutie 100buc</t>
        </is>
      </c>
      <c r="G93" t="inlineStr">
        <is>
          <t>Alimente</t>
        </is>
      </c>
      <c r="H93" t="n">
        <v>1</v>
      </c>
      <c r="I93" t="n">
        <v>783.38</v>
      </c>
      <c r="J93" t="n">
        <v>783.38</v>
      </c>
      <c r="K93" s="13" t="n">
        <v>0.09</v>
      </c>
      <c r="L93" t="n">
        <v>70.5</v>
      </c>
      <c r="M93" t="n">
        <v>853.88</v>
      </c>
      <c r="N93" t="inlineStr">
        <is>
          <t>RON</t>
        </is>
      </c>
      <c r="O93" t="inlineStr">
        <is>
          <t>Ploiești</t>
        </is>
      </c>
      <c r="P93" s="12" t="n">
        <v>46296</v>
      </c>
      <c r="Q93">
        <f>IF(COUNTIF(tbl_Localitati[oras_oficial],[@oras])=0,"ORAS NEALINIAT",IF(XLOOKUP([@oras],tbl_Localitati[oras_oficial],tbl_Localitati[judet],"?")&lt;&gt;[@judet],"JUDET NECORESPUNZATOR",""))</f>
        <v/>
      </c>
      <c r="R93">
        <f>IF(XLOOKUP([@categorie],tbl_RegulriTVA[categorie],tbl_RegulriTVA[cota_legala],-1)&lt;&gt;[@cota_tva],"TVA GRESIT","")</f>
        <v/>
      </c>
      <c r="S93">
        <f>IF([@data_scadentei]&lt;[@data_factura],"SCADENTA INAINTEA FACTURII","")</f>
        <v/>
      </c>
      <c r="T93">
        <f>IF(NETWORKDAYS.INTL([@data_factura],[@data_factura],1,tbl_SarbatoriLegale[data])=0,"ZI NELUCRATOARE","")</f>
        <v/>
      </c>
      <c r="U93">
        <f>IF([@motiv_anomalie]="","OK","DE INVESTIGAT")</f>
        <v/>
      </c>
      <c r="V93">
        <f>TEXTJOIN("; ",TRUE,[@flag_oras],[@flag_tva],[@flag_scadenta],[@flag_zi])</f>
        <v/>
      </c>
    </row>
    <row r="94">
      <c r="A94" t="inlineStr">
        <is>
          <t>F-2025-00093</t>
        </is>
      </c>
      <c r="B94" s="12" t="n">
        <v>46370</v>
      </c>
      <c r="C94" t="inlineStr">
        <is>
          <t>SC UNIFOOD DISTRIBUTION SA</t>
        </is>
      </c>
      <c r="D94" t="inlineStr">
        <is>
          <t>Sibiu</t>
        </is>
      </c>
      <c r="E94" t="inlineStr">
        <is>
          <t>PRD-005</t>
        </is>
      </c>
      <c r="F94" t="inlineStr">
        <is>
          <t>Licenta Office 365 anuala</t>
        </is>
      </c>
      <c r="G94" t="inlineStr">
        <is>
          <t>Licențe software</t>
        </is>
      </c>
      <c r="H94" t="n">
        <v>2</v>
      </c>
      <c r="I94" t="n">
        <v>241.36</v>
      </c>
      <c r="J94" t="n">
        <v>482.72</v>
      </c>
      <c r="K94" s="13" t="n">
        <v>0.19</v>
      </c>
      <c r="L94" t="n">
        <v>91.72</v>
      </c>
      <c r="M94" t="n">
        <v>574.4400000000001</v>
      </c>
      <c r="N94" t="inlineStr">
        <is>
          <t>RON</t>
        </is>
      </c>
      <c r="O94" t="inlineStr">
        <is>
          <t>Mediaș</t>
        </is>
      </c>
      <c r="P94" s="12" t="n">
        <v>46385</v>
      </c>
      <c r="Q94">
        <f>IF(COUNTIF(tbl_Localitati[oras_oficial],[@oras])=0,"ORAS NEALINIAT",IF(XLOOKUP([@oras],tbl_Localitati[oras_oficial],tbl_Localitati[judet],"?")&lt;&gt;[@judet],"JUDET NECORESPUNZATOR",""))</f>
        <v/>
      </c>
      <c r="R94">
        <f>IF(XLOOKUP([@categorie],tbl_RegulriTVA[categorie],tbl_RegulriTVA[cota_legala],-1)&lt;&gt;[@cota_tva],"TVA GRESIT","")</f>
        <v/>
      </c>
      <c r="S94">
        <f>IF([@data_scadentei]&lt;[@data_factura],"SCADENTA INAINTEA FACTURII","")</f>
        <v/>
      </c>
      <c r="T94">
        <f>IF(NETWORKDAYS.INTL([@data_factura],[@data_factura],1,tbl_SarbatoriLegale[data])=0,"ZI NELUCRATOARE","")</f>
        <v/>
      </c>
      <c r="U94">
        <f>IF([@motiv_anomalie]="","OK","DE INVESTIGAT")</f>
        <v/>
      </c>
      <c r="V94">
        <f>TEXTJOIN("; ",TRUE,[@flag_oras],[@flag_tva],[@flag_scadenta],[@flag_zi])</f>
        <v/>
      </c>
    </row>
    <row r="95">
      <c r="A95" t="inlineStr">
        <is>
          <t>F-2025-00094</t>
        </is>
      </c>
      <c r="B95" s="12" t="n">
        <v>46258</v>
      </c>
      <c r="C95" t="inlineStr">
        <is>
          <t>SC NORDIS DISTRIBUTIE SRL</t>
        </is>
      </c>
      <c r="D95" t="inlineStr">
        <is>
          <t>Constanța</t>
        </is>
      </c>
      <c r="E95" t="inlineStr">
        <is>
          <t>PRD-005</t>
        </is>
      </c>
      <c r="F95" t="inlineStr">
        <is>
          <t>Multifunctionala laser</t>
        </is>
      </c>
      <c r="G95" t="inlineStr">
        <is>
          <t>Echipamente birou</t>
        </is>
      </c>
      <c r="H95" t="n">
        <v>2</v>
      </c>
      <c r="I95" t="n">
        <v>246.03</v>
      </c>
      <c r="J95" t="n">
        <v>492.06</v>
      </c>
      <c r="K95" s="13" t="n">
        <v>0.19</v>
      </c>
      <c r="L95" t="n">
        <v>93.48999999999999</v>
      </c>
      <c r="M95" t="n">
        <v>585.55</v>
      </c>
      <c r="N95" t="inlineStr">
        <is>
          <t>RON</t>
        </is>
      </c>
      <c r="O95" t="inlineStr">
        <is>
          <t>Mangalia</t>
        </is>
      </c>
      <c r="P95" s="12" t="n">
        <v>46303</v>
      </c>
      <c r="Q95">
        <f>IF(COUNTIF(tbl_Localitati[oras_oficial],[@oras])=0,"ORAS NEALINIAT",IF(XLOOKUP([@oras],tbl_Localitati[oras_oficial],tbl_Localitati[judet],"?")&lt;&gt;[@judet],"JUDET NECORESPUNZATOR",""))</f>
        <v/>
      </c>
      <c r="R95">
        <f>IF(XLOOKUP([@categorie],tbl_RegulriTVA[categorie],tbl_RegulriTVA[cota_legala],-1)&lt;&gt;[@cota_tva],"TVA GRESIT","")</f>
        <v/>
      </c>
      <c r="S95">
        <f>IF([@data_scadentei]&lt;[@data_factura],"SCADENTA INAINTEA FACTURII","")</f>
        <v/>
      </c>
      <c r="T95">
        <f>IF(NETWORKDAYS.INTL([@data_factura],[@data_factura],1,tbl_SarbatoriLegale[data])=0,"ZI NELUCRATOARE","")</f>
        <v/>
      </c>
      <c r="U95">
        <f>IF([@motiv_anomalie]="","OK","DE INVESTIGAT")</f>
        <v/>
      </c>
      <c r="V95">
        <f>TEXTJOIN("; ",TRUE,[@flag_oras],[@flag_tva],[@flag_scadenta],[@flag_zi])</f>
        <v/>
      </c>
    </row>
    <row r="96">
      <c r="A96" t="inlineStr">
        <is>
          <t>F-2025-00095</t>
        </is>
      </c>
      <c r="B96" s="12" t="n">
        <v>46226</v>
      </c>
      <c r="C96" t="inlineStr">
        <is>
          <t>SC AROMET TRADING SRL</t>
        </is>
      </c>
      <c r="D96" t="inlineStr">
        <is>
          <t>Alba</t>
        </is>
      </c>
      <c r="E96" t="inlineStr">
        <is>
          <t>PRD-001</t>
        </is>
      </c>
      <c r="F96" t="inlineStr">
        <is>
          <t>Switch gigabit 24p</t>
        </is>
      </c>
      <c r="G96" t="inlineStr">
        <is>
          <t>Hardware IT</t>
        </is>
      </c>
      <c r="H96" t="n">
        <v>1</v>
      </c>
      <c r="I96" t="n">
        <v>2350.11</v>
      </c>
      <c r="J96" t="n">
        <v>2350.11</v>
      </c>
      <c r="K96" s="13" t="n">
        <v>0.19</v>
      </c>
      <c r="L96" t="n">
        <v>446.52</v>
      </c>
      <c r="M96" t="n">
        <v>2796.63</v>
      </c>
      <c r="N96" t="inlineStr">
        <is>
          <t>RON</t>
        </is>
      </c>
      <c r="O96" t="inlineStr">
        <is>
          <t>Alba Iulia</t>
        </is>
      </c>
      <c r="P96" s="12" t="n">
        <v>46256</v>
      </c>
      <c r="Q96">
        <f>IF(COUNTIF(tbl_Localitati[oras_oficial],[@oras])=0,"ORAS NEALINIAT",IF(XLOOKUP([@oras],tbl_Localitati[oras_oficial],tbl_Localitati[judet],"?")&lt;&gt;[@judet],"JUDET NECORESPUNZATOR",""))</f>
        <v/>
      </c>
      <c r="R96">
        <f>IF(XLOOKUP([@categorie],tbl_RegulriTVA[categorie],tbl_RegulriTVA[cota_legala],-1)&lt;&gt;[@cota_tva],"TVA GRESIT","")</f>
        <v/>
      </c>
      <c r="S96">
        <f>IF([@data_scadentei]&lt;[@data_factura],"SCADENTA INAINTEA FACTURII","")</f>
        <v/>
      </c>
      <c r="T96">
        <f>IF(NETWORKDAYS.INTL([@data_factura],[@data_factura],1,tbl_SarbatoriLegale[data])=0,"ZI NELUCRATOARE","")</f>
        <v/>
      </c>
      <c r="U96">
        <f>IF([@motiv_anomalie]="","OK","DE INVESTIGAT")</f>
        <v/>
      </c>
      <c r="V96">
        <f>TEXTJOIN("; ",TRUE,[@flag_oras],[@flag_tva],[@flag_scadenta],[@flag_zi])</f>
        <v/>
      </c>
    </row>
    <row r="97">
      <c r="A97" t="inlineStr">
        <is>
          <t>F-2025-00096</t>
        </is>
      </c>
      <c r="B97" s="12" t="n">
        <v>46076</v>
      </c>
      <c r="C97" t="inlineStr">
        <is>
          <t>SC INTEGROMED SA</t>
        </is>
      </c>
      <c r="D97" t="inlineStr">
        <is>
          <t>Cluj</t>
        </is>
      </c>
      <c r="E97" t="inlineStr">
        <is>
          <t>PRD-011</t>
        </is>
      </c>
      <c r="F97" t="inlineStr">
        <is>
          <t>Licenta Office 365 anuala</t>
        </is>
      </c>
      <c r="G97" t="inlineStr">
        <is>
          <t>Licențe software</t>
        </is>
      </c>
      <c r="H97" t="n">
        <v>50</v>
      </c>
      <c r="I97" t="n">
        <v>47.16</v>
      </c>
      <c r="J97" t="n">
        <v>2358</v>
      </c>
      <c r="K97" s="13" t="n">
        <v>0.19</v>
      </c>
      <c r="L97" t="n">
        <v>448.02</v>
      </c>
      <c r="M97" t="n">
        <v>2806.02</v>
      </c>
      <c r="N97" t="inlineStr">
        <is>
          <t>RON</t>
        </is>
      </c>
      <c r="O97" t="inlineStr">
        <is>
          <t>Cluj-Napoca</t>
        </is>
      </c>
      <c r="P97" s="12" t="n">
        <v>46106</v>
      </c>
      <c r="Q97">
        <f>IF(COUNTIF(tbl_Localitati[oras_oficial],[@oras])=0,"ORAS NEALINIAT",IF(XLOOKUP([@oras],tbl_Localitati[oras_oficial],tbl_Localitati[judet],"?")&lt;&gt;[@judet],"JUDET NECORESPUNZATOR",""))</f>
        <v/>
      </c>
      <c r="R97">
        <f>IF(XLOOKUP([@categorie],tbl_RegulriTVA[categorie],tbl_RegulriTVA[cota_legala],-1)&lt;&gt;[@cota_tva],"TVA GRESIT","")</f>
        <v/>
      </c>
      <c r="S97">
        <f>IF([@data_scadentei]&lt;[@data_factura],"SCADENTA INAINTEA FACTURII","")</f>
        <v/>
      </c>
      <c r="T97">
        <f>IF(NETWORKDAYS.INTL([@data_factura],[@data_factura],1,tbl_SarbatoriLegale[data])=0,"ZI NELUCRATOARE","")</f>
        <v/>
      </c>
      <c r="U97">
        <f>IF([@motiv_anomalie]="","OK","DE INVESTIGAT")</f>
        <v/>
      </c>
      <c r="V97">
        <f>TEXTJOIN("; ",TRUE,[@flag_oras],[@flag_tva],[@flag_scadenta],[@flag_zi])</f>
        <v/>
      </c>
    </row>
    <row r="98">
      <c r="A98" t="inlineStr">
        <is>
          <t>F-2025-00097</t>
        </is>
      </c>
      <c r="B98" s="12" t="n">
        <v>46164</v>
      </c>
      <c r="C98" t="inlineStr">
        <is>
          <t>SC UNIFOOD DISTRIBUTION SA</t>
        </is>
      </c>
      <c r="D98" t="inlineStr">
        <is>
          <t>Sibiu</t>
        </is>
      </c>
      <c r="E98" t="inlineStr">
        <is>
          <t>PRD-005</t>
        </is>
      </c>
      <c r="F98" t="inlineStr">
        <is>
          <t>Licenta antivirus enterprise</t>
        </is>
      </c>
      <c r="G98" t="inlineStr">
        <is>
          <t>Licențe software</t>
        </is>
      </c>
      <c r="H98" t="n">
        <v>2</v>
      </c>
      <c r="I98" t="n">
        <v>244.31</v>
      </c>
      <c r="J98" t="n">
        <v>488.62</v>
      </c>
      <c r="K98" s="13" t="n">
        <v>0.19</v>
      </c>
      <c r="L98" t="n">
        <v>92.84</v>
      </c>
      <c r="M98" t="n">
        <v>581.46</v>
      </c>
      <c r="N98" t="inlineStr">
        <is>
          <t>RON</t>
        </is>
      </c>
      <c r="O98" t="inlineStr">
        <is>
          <t>Mediaș</t>
        </is>
      </c>
      <c r="P98" s="12" t="n">
        <v>46194</v>
      </c>
      <c r="Q98">
        <f>IF(COUNTIF(tbl_Localitati[oras_oficial],[@oras])=0,"ORAS NEALINIAT",IF(XLOOKUP([@oras],tbl_Localitati[oras_oficial],tbl_Localitati[judet],"?")&lt;&gt;[@judet],"JUDET NECORESPUNZATOR",""))</f>
        <v/>
      </c>
      <c r="R98">
        <f>IF(XLOOKUP([@categorie],tbl_RegulriTVA[categorie],tbl_RegulriTVA[cota_legala],-1)&lt;&gt;[@cota_tva],"TVA GRESIT","")</f>
        <v/>
      </c>
      <c r="S98">
        <f>IF([@data_scadentei]&lt;[@data_factura],"SCADENTA INAINTEA FACTURII","")</f>
        <v/>
      </c>
      <c r="T98">
        <f>IF(NETWORKDAYS.INTL([@data_factura],[@data_factura],1,tbl_SarbatoriLegale[data])=0,"ZI NELUCRATOARE","")</f>
        <v/>
      </c>
      <c r="U98">
        <f>IF([@motiv_anomalie]="","OK","DE INVESTIGAT")</f>
        <v/>
      </c>
      <c r="V98">
        <f>TEXTJOIN("; ",TRUE,[@flag_oras],[@flag_tva],[@flag_scadenta],[@flag_zi])</f>
        <v/>
      </c>
    </row>
    <row r="99">
      <c r="A99" t="inlineStr">
        <is>
          <t>F-2025-00098</t>
        </is>
      </c>
      <c r="B99" s="12" t="n">
        <v>46332</v>
      </c>
      <c r="C99" t="inlineStr">
        <is>
          <t>SC DACTECH SOLUTIONS SRL</t>
        </is>
      </c>
      <c r="D99" t="inlineStr">
        <is>
          <t>Argeș</t>
        </is>
      </c>
      <c r="E99" t="inlineStr">
        <is>
          <t>PRD-001</t>
        </is>
      </c>
      <c r="F99" t="inlineStr">
        <is>
          <t>Videoproiector sala</t>
        </is>
      </c>
      <c r="G99" t="inlineStr">
        <is>
          <t>Echipamente birou</t>
        </is>
      </c>
      <c r="H99" t="n">
        <v>3</v>
      </c>
      <c r="I99" t="n">
        <v>2465.54</v>
      </c>
      <c r="J99" t="n">
        <v>7396.62</v>
      </c>
      <c r="K99" s="13" t="n">
        <v>0.19</v>
      </c>
      <c r="L99" t="n">
        <v>1405.36</v>
      </c>
      <c r="M99" t="n">
        <v>8801.98</v>
      </c>
      <c r="N99" t="inlineStr">
        <is>
          <t>RON</t>
        </is>
      </c>
      <c r="O99" t="inlineStr">
        <is>
          <t>Pitești</t>
        </is>
      </c>
      <c r="P99" s="12" t="n">
        <v>46377</v>
      </c>
      <c r="Q99">
        <f>IF(COUNTIF(tbl_Localitati[oras_oficial],[@oras])=0,"ORAS NEALINIAT",IF(XLOOKUP([@oras],tbl_Localitati[oras_oficial],tbl_Localitati[judet],"?")&lt;&gt;[@judet],"JUDET NECORESPUNZATOR",""))</f>
        <v/>
      </c>
      <c r="R99">
        <f>IF(XLOOKUP([@categorie],tbl_RegulriTVA[categorie],tbl_RegulriTVA[cota_legala],-1)&lt;&gt;[@cota_tva],"TVA GRESIT","")</f>
        <v/>
      </c>
      <c r="S99">
        <f>IF([@data_scadentei]&lt;[@data_factura],"SCADENTA INAINTEA FACTURII","")</f>
        <v/>
      </c>
      <c r="T99">
        <f>IF(NETWORKDAYS.INTL([@data_factura],[@data_factura],1,tbl_SarbatoriLegale[data])=0,"ZI NELUCRATOARE","")</f>
        <v/>
      </c>
      <c r="U99">
        <f>IF([@motiv_anomalie]="","OK","DE INVESTIGAT")</f>
        <v/>
      </c>
      <c r="V99">
        <f>TEXTJOIN("; ",TRUE,[@flag_oras],[@flag_tva],[@flag_scadenta],[@flag_zi])</f>
        <v/>
      </c>
    </row>
    <row r="100">
      <c r="A100" t="inlineStr">
        <is>
          <t>F-2025-00099</t>
        </is>
      </c>
      <c r="B100" s="12" t="n">
        <v>46357</v>
      </c>
      <c r="C100" t="inlineStr">
        <is>
          <t>SC ZENITH AUTO SRL</t>
        </is>
      </c>
      <c r="D100" t="inlineStr">
        <is>
          <t>București</t>
        </is>
      </c>
      <c r="E100" t="inlineStr">
        <is>
          <t>PRD-001</t>
        </is>
      </c>
      <c r="F100" t="inlineStr">
        <is>
          <t>Cafea boabe 1kg</t>
        </is>
      </c>
      <c r="G100" t="inlineStr">
        <is>
          <t>Alimente</t>
        </is>
      </c>
      <c r="H100" t="n">
        <v>2</v>
      </c>
      <c r="I100" t="n">
        <v>2296.61</v>
      </c>
      <c r="J100" t="n">
        <v>4593.22</v>
      </c>
      <c r="K100" s="13" t="n">
        <v>0.09</v>
      </c>
      <c r="L100" t="n">
        <v>413.39</v>
      </c>
      <c r="M100" t="n">
        <v>5006.61</v>
      </c>
      <c r="N100" t="inlineStr">
        <is>
          <t>RON</t>
        </is>
      </c>
      <c r="O100" t="inlineStr">
        <is>
          <t>București</t>
        </is>
      </c>
      <c r="P100" s="12" t="n">
        <v>46387</v>
      </c>
      <c r="Q100">
        <f>IF(COUNTIF(tbl_Localitati[oras_oficial],[@oras])=0,"ORAS NEALINIAT",IF(XLOOKUP([@oras],tbl_Localitati[oras_oficial],tbl_Localitati[judet],"?")&lt;&gt;[@judet],"JUDET NECORESPUNZATOR",""))</f>
        <v/>
      </c>
      <c r="R100">
        <f>IF(XLOOKUP([@categorie],tbl_RegulriTVA[categorie],tbl_RegulriTVA[cota_legala],-1)&lt;&gt;[@cota_tva],"TVA GRESIT","")</f>
        <v/>
      </c>
      <c r="S100">
        <f>IF([@data_scadentei]&lt;[@data_factura],"SCADENTA INAINTEA FACTURII","")</f>
        <v/>
      </c>
      <c r="T100">
        <f>IF(NETWORKDAYS.INTL([@data_factura],[@data_factura],1,tbl_SarbatoriLegale[data])=0,"ZI NELUCRATOARE","")</f>
        <v/>
      </c>
      <c r="U100">
        <f>IF([@motiv_anomalie]="","OK","DE INVESTIGAT")</f>
        <v/>
      </c>
      <c r="V100">
        <f>TEXTJOIN("; ",TRUE,[@flag_oras],[@flag_tva],[@flag_scadenta],[@flag_zi])</f>
        <v/>
      </c>
    </row>
    <row r="101">
      <c r="A101" t="inlineStr">
        <is>
          <t>F-2025-00100</t>
        </is>
      </c>
      <c r="B101" s="12" t="n">
        <v>46328</v>
      </c>
      <c r="C101" t="inlineStr">
        <is>
          <t>SC DACTECH SOLUTIONS SRL</t>
        </is>
      </c>
      <c r="D101" t="inlineStr">
        <is>
          <t>Argeș</t>
        </is>
      </c>
      <c r="E101" t="inlineStr">
        <is>
          <t>PRD-001</t>
        </is>
      </c>
      <c r="F101" t="inlineStr">
        <is>
          <t>Pachet protocol sedinte</t>
        </is>
      </c>
      <c r="G101" t="inlineStr">
        <is>
          <t>Alimente</t>
        </is>
      </c>
      <c r="H101" t="n">
        <v>2</v>
      </c>
      <c r="I101" t="n">
        <v>2334.95</v>
      </c>
      <c r="J101" t="n">
        <v>4669.9</v>
      </c>
      <c r="K101" s="13" t="n">
        <v>0.09</v>
      </c>
      <c r="L101" t="n">
        <v>420.29</v>
      </c>
      <c r="M101" t="n">
        <v>5090.19</v>
      </c>
      <c r="N101" t="inlineStr">
        <is>
          <t>RON</t>
        </is>
      </c>
      <c r="O101" t="inlineStr">
        <is>
          <t>Pitești</t>
        </is>
      </c>
      <c r="P101" s="12" t="n">
        <v>46373</v>
      </c>
      <c r="Q101">
        <f>IF(COUNTIF(tbl_Localitati[oras_oficial],[@oras])=0,"ORAS NEALINIAT",IF(XLOOKUP([@oras],tbl_Localitati[oras_oficial],tbl_Localitati[judet],"?")&lt;&gt;[@judet],"JUDET NECORESPUNZATOR",""))</f>
        <v/>
      </c>
      <c r="R101">
        <f>IF(XLOOKUP([@categorie],tbl_RegulriTVA[categorie],tbl_RegulriTVA[cota_legala],-1)&lt;&gt;[@cota_tva],"TVA GRESIT","")</f>
        <v/>
      </c>
      <c r="S101">
        <f>IF([@data_scadentei]&lt;[@data_factura],"SCADENTA INAINTEA FACTURII","")</f>
        <v/>
      </c>
      <c r="T101">
        <f>IF(NETWORKDAYS.INTL([@data_factura],[@data_factura],1,tbl_SarbatoriLegale[data])=0,"ZI NELUCRATOARE","")</f>
        <v/>
      </c>
      <c r="U101">
        <f>IF([@motiv_anomalie]="","OK","DE INVESTIGAT")</f>
        <v/>
      </c>
      <c r="V101">
        <f>TEXTJOIN("; ",TRUE,[@flag_oras],[@flag_tva],[@flag_scadenta],[@flag_zi])</f>
        <v/>
      </c>
    </row>
    <row r="102">
      <c r="A102" t="inlineStr">
        <is>
          <t>F-2025-00101</t>
        </is>
      </c>
      <c r="B102" s="12" t="n">
        <v>46065</v>
      </c>
      <c r="C102" t="inlineStr">
        <is>
          <t>SC NORDIS DISTRIBUTIE SRL</t>
        </is>
      </c>
      <c r="D102" t="inlineStr">
        <is>
          <t>Constanța</t>
        </is>
      </c>
      <c r="E102" t="inlineStr">
        <is>
          <t>PRD-009</t>
        </is>
      </c>
      <c r="F102" t="inlineStr">
        <is>
          <t>Pachet protocol sedinte</t>
        </is>
      </c>
      <c r="G102" t="inlineStr">
        <is>
          <t>Alimente</t>
        </is>
      </c>
      <c r="H102" t="n">
        <v>50</v>
      </c>
      <c r="I102" t="n">
        <v>27.13</v>
      </c>
      <c r="J102" t="n">
        <v>1356.5</v>
      </c>
      <c r="K102" s="13" t="n">
        <v>0.09</v>
      </c>
      <c r="L102" t="n">
        <v>122.08</v>
      </c>
      <c r="M102" t="n">
        <v>1478.58</v>
      </c>
      <c r="N102" t="inlineStr">
        <is>
          <t>RON</t>
        </is>
      </c>
      <c r="O102" t="inlineStr">
        <is>
          <t>Mangalia</t>
        </is>
      </c>
      <c r="P102" s="12" t="n">
        <v>46095</v>
      </c>
      <c r="Q102">
        <f>IF(COUNTIF(tbl_Localitati[oras_oficial],[@oras])=0,"ORAS NEALINIAT",IF(XLOOKUP([@oras],tbl_Localitati[oras_oficial],tbl_Localitati[judet],"?")&lt;&gt;[@judet],"JUDET NECORESPUNZATOR",""))</f>
        <v/>
      </c>
      <c r="R102">
        <f>IF(XLOOKUP([@categorie],tbl_RegulriTVA[categorie],tbl_RegulriTVA[cota_legala],-1)&lt;&gt;[@cota_tva],"TVA GRESIT","")</f>
        <v/>
      </c>
      <c r="S102">
        <f>IF([@data_scadentei]&lt;[@data_factura],"SCADENTA INAINTEA FACTURII","")</f>
        <v/>
      </c>
      <c r="T102">
        <f>IF(NETWORKDAYS.INTL([@data_factura],[@data_factura],1,tbl_SarbatoriLegale[data])=0,"ZI NELUCRATOARE","")</f>
        <v/>
      </c>
      <c r="U102">
        <f>IF([@motiv_anomalie]="","OK","DE INVESTIGAT")</f>
        <v/>
      </c>
      <c r="V102">
        <f>TEXTJOIN("; ",TRUE,[@flag_oras],[@flag_tva],[@flag_scadenta],[@flag_zi])</f>
        <v/>
      </c>
    </row>
    <row r="103">
      <c r="A103" t="inlineStr">
        <is>
          <t>F-2025-00102</t>
        </is>
      </c>
      <c r="B103" s="12" t="n">
        <v>46352</v>
      </c>
      <c r="C103" t="inlineStr">
        <is>
          <t>SC DACTECH SOLUTIONS SRL</t>
        </is>
      </c>
      <c r="D103" t="inlineStr">
        <is>
          <t>Argeș</t>
        </is>
      </c>
      <c r="E103" t="inlineStr">
        <is>
          <t>PRD-007</t>
        </is>
      </c>
      <c r="F103" t="inlineStr">
        <is>
          <t>Switch gigabit 24p</t>
        </is>
      </c>
      <c r="G103" t="inlineStr">
        <is>
          <t>Hardware IT</t>
        </is>
      </c>
      <c r="H103" t="n">
        <v>10</v>
      </c>
      <c r="I103" t="n">
        <v>178.55</v>
      </c>
      <c r="J103" t="n">
        <v>1785.5</v>
      </c>
      <c r="K103" s="13" t="n">
        <v>0.05</v>
      </c>
      <c r="L103" t="n">
        <v>89.28</v>
      </c>
      <c r="M103" t="n">
        <v>1874.78</v>
      </c>
      <c r="N103" t="inlineStr">
        <is>
          <t>RON</t>
        </is>
      </c>
      <c r="O103" t="inlineStr">
        <is>
          <t>Pitești</t>
        </is>
      </c>
      <c r="P103" s="12" t="n">
        <v>46367</v>
      </c>
      <c r="Q103">
        <f>IF(COUNTIF(tbl_Localitati[oras_oficial],[@oras])=0,"ORAS NEALINIAT",IF(XLOOKUP([@oras],tbl_Localitati[oras_oficial],tbl_Localitati[judet],"?")&lt;&gt;[@judet],"JUDET NECORESPUNZATOR",""))</f>
        <v/>
      </c>
      <c r="R103">
        <f>IF(XLOOKUP([@categorie],tbl_RegulriTVA[categorie],tbl_RegulriTVA[cota_legala],-1)&lt;&gt;[@cota_tva],"TVA GRESIT","")</f>
        <v/>
      </c>
      <c r="S103">
        <f>IF([@data_scadentei]&lt;[@data_factura],"SCADENTA INAINTEA FACTURII","")</f>
        <v/>
      </c>
      <c r="T103">
        <f>IF(NETWORKDAYS.INTL([@data_factura],[@data_factura],1,tbl_SarbatoriLegale[data])=0,"ZI NELUCRATOARE","")</f>
        <v/>
      </c>
      <c r="U103">
        <f>IF([@motiv_anomalie]="","OK","DE INVESTIGAT")</f>
        <v/>
      </c>
      <c r="V103">
        <f>TEXTJOIN("; ",TRUE,[@flag_oras],[@flag_tva],[@flag_scadenta],[@flag_zi])</f>
        <v/>
      </c>
    </row>
    <row r="104">
      <c r="A104" t="inlineStr">
        <is>
          <t>F-2025-00103</t>
        </is>
      </c>
      <c r="B104" s="12" t="n">
        <v>46128</v>
      </c>
      <c r="C104" t="inlineStr">
        <is>
          <t>SC INTEGROMED SA</t>
        </is>
      </c>
      <c r="D104" t="inlineStr">
        <is>
          <t>Cluj</t>
        </is>
      </c>
      <c r="E104" t="inlineStr">
        <is>
          <t>PRD-001</t>
        </is>
      </c>
      <c r="F104" t="inlineStr">
        <is>
          <t>Switch gigabit 24p</t>
        </is>
      </c>
      <c r="G104" t="inlineStr">
        <is>
          <t>Hardware IT</t>
        </is>
      </c>
      <c r="H104" t="n">
        <v>1</v>
      </c>
      <c r="I104" t="n">
        <v>2460.83</v>
      </c>
      <c r="J104" t="n">
        <v>2460.83</v>
      </c>
      <c r="K104" s="13" t="n">
        <v>0.19</v>
      </c>
      <c r="L104" t="n">
        <v>467.56</v>
      </c>
      <c r="M104" t="n">
        <v>2928.39</v>
      </c>
      <c r="N104" t="inlineStr">
        <is>
          <t>EUR</t>
        </is>
      </c>
      <c r="O104" t="inlineStr">
        <is>
          <t>Cluj-Napoca</t>
        </is>
      </c>
      <c r="P104" s="12" t="n">
        <v>46158</v>
      </c>
      <c r="Q104">
        <f>IF(COUNTIF(tbl_Localitati[oras_oficial],[@oras])=0,"ORAS NEALINIAT",IF(XLOOKUP([@oras],tbl_Localitati[oras_oficial],tbl_Localitati[judet],"?")&lt;&gt;[@judet],"JUDET NECORESPUNZATOR",""))</f>
        <v/>
      </c>
      <c r="R104">
        <f>IF(XLOOKUP([@categorie],tbl_RegulriTVA[categorie],tbl_RegulriTVA[cota_legala],-1)&lt;&gt;[@cota_tva],"TVA GRESIT","")</f>
        <v/>
      </c>
      <c r="S104">
        <f>IF([@data_scadentei]&lt;[@data_factura],"SCADENTA INAINTEA FACTURII","")</f>
        <v/>
      </c>
      <c r="T104">
        <f>IF(NETWORKDAYS.INTL([@data_factura],[@data_factura],1,tbl_SarbatoriLegale[data])=0,"ZI NELUCRATOARE","")</f>
        <v/>
      </c>
      <c r="U104">
        <f>IF([@motiv_anomalie]="","OK","DE INVESTIGAT")</f>
        <v/>
      </c>
      <c r="V104">
        <f>TEXTJOIN("; ",TRUE,[@flag_oras],[@flag_tva],[@flag_scadenta],[@flag_zi])</f>
        <v/>
      </c>
    </row>
    <row r="105">
      <c r="A105" t="inlineStr">
        <is>
          <t>F-2025-00104</t>
        </is>
      </c>
      <c r="B105" s="12" t="n">
        <v>46290</v>
      </c>
      <c r="C105" t="inlineStr">
        <is>
          <t>SC ELECTROBUILD SRL</t>
        </is>
      </c>
      <c r="D105" t="inlineStr">
        <is>
          <t>Argeș</t>
        </is>
      </c>
      <c r="E105" t="inlineStr">
        <is>
          <t>PRD-013</t>
        </is>
      </c>
      <c r="F105" t="inlineStr">
        <is>
          <t>Statie de lucru desktop</t>
        </is>
      </c>
      <c r="G105" t="inlineStr">
        <is>
          <t>Hardware IT</t>
        </is>
      </c>
      <c r="H105" t="n">
        <v>4</v>
      </c>
      <c r="I105" t="n">
        <v>1172.34</v>
      </c>
      <c r="J105" t="n">
        <v>4689.36</v>
      </c>
      <c r="K105" s="13" t="n">
        <v>0.19</v>
      </c>
      <c r="L105" t="n">
        <v>890.98</v>
      </c>
      <c r="M105" t="n">
        <v>5580.34</v>
      </c>
      <c r="N105" t="inlineStr">
        <is>
          <t>RON</t>
        </is>
      </c>
      <c r="O105" t="inlineStr">
        <is>
          <t>Bacău</t>
        </is>
      </c>
      <c r="P105" s="12" t="n">
        <v>46320</v>
      </c>
      <c r="Q105">
        <f>IF(COUNTIF(tbl_Localitati[oras_oficial],[@oras])=0,"ORAS NEALINIAT",IF(XLOOKUP([@oras],tbl_Localitati[oras_oficial],tbl_Localitati[judet],"?")&lt;&gt;[@judet],"JUDET NECORESPUNZATOR",""))</f>
        <v/>
      </c>
      <c r="R105">
        <f>IF(XLOOKUP([@categorie],tbl_RegulriTVA[categorie],tbl_RegulriTVA[cota_legala],-1)&lt;&gt;[@cota_tva],"TVA GRESIT","")</f>
        <v/>
      </c>
      <c r="S105">
        <f>IF([@data_scadentei]&lt;[@data_factura],"SCADENTA INAINTEA FACTURII","")</f>
        <v/>
      </c>
      <c r="T105">
        <f>IF(NETWORKDAYS.INTL([@data_factura],[@data_factura],1,tbl_SarbatoriLegale[data])=0,"ZI NELUCRATOARE","")</f>
        <v/>
      </c>
      <c r="U105">
        <f>IF([@motiv_anomalie]="","OK","DE INVESTIGAT")</f>
        <v/>
      </c>
      <c r="V105">
        <f>TEXTJOIN("; ",TRUE,[@flag_oras],[@flag_tva],[@flag_scadenta],[@flag_zi])</f>
        <v/>
      </c>
    </row>
    <row r="106">
      <c r="A106" t="inlineStr">
        <is>
          <t>F-2025-00105</t>
        </is>
      </c>
      <c r="B106" s="12" t="n">
        <v>46261</v>
      </c>
      <c r="C106" t="inlineStr">
        <is>
          <t>SC FARMAVITAL DISTRIBUTIE SA</t>
        </is>
      </c>
      <c r="D106" t="inlineStr">
        <is>
          <t>Bihor</t>
        </is>
      </c>
      <c r="E106" t="inlineStr">
        <is>
          <t>PRD-006</t>
        </is>
      </c>
      <c r="F106" t="inlineStr">
        <is>
          <t>Termometru digital</t>
        </is>
      </c>
      <c r="G106" t="inlineStr">
        <is>
          <t>Produse farmaceutice</t>
        </is>
      </c>
      <c r="H106" t="n">
        <v>1</v>
      </c>
      <c r="I106" t="n">
        <v>752.89</v>
      </c>
      <c r="J106" t="n">
        <v>752.89</v>
      </c>
      <c r="K106" s="13" t="n">
        <v>0.09</v>
      </c>
      <c r="L106" t="n">
        <v>67.76000000000001</v>
      </c>
      <c r="M106" t="n">
        <v>820.65</v>
      </c>
      <c r="N106" t="inlineStr">
        <is>
          <t>RON</t>
        </is>
      </c>
      <c r="O106" t="inlineStr">
        <is>
          <t>Oradea</t>
        </is>
      </c>
      <c r="P106" s="12" t="n">
        <v>46291</v>
      </c>
      <c r="Q106">
        <f>IF(COUNTIF(tbl_Localitati[oras_oficial],[@oras])=0,"ORAS NEALINIAT",IF(XLOOKUP([@oras],tbl_Localitati[oras_oficial],tbl_Localitati[judet],"?")&lt;&gt;[@judet],"JUDET NECORESPUNZATOR",""))</f>
        <v/>
      </c>
      <c r="R106">
        <f>IF(XLOOKUP([@categorie],tbl_RegulriTVA[categorie],tbl_RegulriTVA[cota_legala],-1)&lt;&gt;[@cota_tva],"TVA GRESIT","")</f>
        <v/>
      </c>
      <c r="S106">
        <f>IF([@data_scadentei]&lt;[@data_factura],"SCADENTA INAINTEA FACTURII","")</f>
        <v/>
      </c>
      <c r="T106">
        <f>IF(NETWORKDAYS.INTL([@data_factura],[@data_factura],1,tbl_SarbatoriLegale[data])=0,"ZI NELUCRATOARE","")</f>
        <v/>
      </c>
      <c r="U106">
        <f>IF([@motiv_anomalie]="","OK","DE INVESTIGAT")</f>
        <v/>
      </c>
      <c r="V106">
        <f>TEXTJOIN("; ",TRUE,[@flag_oras],[@flag_tva],[@flag_scadenta],[@flag_zi])</f>
        <v/>
      </c>
    </row>
    <row r="107">
      <c r="A107" t="inlineStr">
        <is>
          <t>F-2025-00106</t>
        </is>
      </c>
      <c r="B107" s="12" t="n">
        <v>46360</v>
      </c>
      <c r="C107" t="inlineStr">
        <is>
          <t>SC DACTECH SOLUTIONS SRL</t>
        </is>
      </c>
      <c r="D107" t="inlineStr">
        <is>
          <t>Argeș</t>
        </is>
      </c>
      <c r="E107" t="inlineStr">
        <is>
          <t>PRD-001</t>
        </is>
      </c>
      <c r="F107" t="inlineStr">
        <is>
          <t>Licenta Office 365 anuala</t>
        </is>
      </c>
      <c r="G107" t="inlineStr">
        <is>
          <t>Licențe software</t>
        </is>
      </c>
      <c r="H107" t="n">
        <v>1</v>
      </c>
      <c r="I107" t="n">
        <v>2334.6</v>
      </c>
      <c r="J107" t="n">
        <v>2334.6</v>
      </c>
      <c r="K107" s="13" t="n">
        <v>0.19</v>
      </c>
      <c r="L107" t="n">
        <v>443.57</v>
      </c>
      <c r="M107" t="n">
        <v>2778.17</v>
      </c>
      <c r="N107" t="inlineStr">
        <is>
          <t>RON</t>
        </is>
      </c>
      <c r="O107" t="inlineStr">
        <is>
          <t>Pitești</t>
        </is>
      </c>
      <c r="P107" s="12" t="n">
        <v>46375</v>
      </c>
      <c r="Q107">
        <f>IF(COUNTIF(tbl_Localitati[oras_oficial],[@oras])=0,"ORAS NEALINIAT",IF(XLOOKUP([@oras],tbl_Localitati[oras_oficial],tbl_Localitati[judet],"?")&lt;&gt;[@judet],"JUDET NECORESPUNZATOR",""))</f>
        <v/>
      </c>
      <c r="R107">
        <f>IF(XLOOKUP([@categorie],tbl_RegulriTVA[categorie],tbl_RegulriTVA[cota_legala],-1)&lt;&gt;[@cota_tva],"TVA GRESIT","")</f>
        <v/>
      </c>
      <c r="S107">
        <f>IF([@data_scadentei]&lt;[@data_factura],"SCADENTA INAINTEA FACTURII","")</f>
        <v/>
      </c>
      <c r="T107">
        <f>IF(NETWORKDAYS.INTL([@data_factura],[@data_factura],1,tbl_SarbatoriLegale[data])=0,"ZI NELUCRATOARE","")</f>
        <v/>
      </c>
      <c r="U107">
        <f>IF([@motiv_anomalie]="","OK","DE INVESTIGAT")</f>
        <v/>
      </c>
      <c r="V107">
        <f>TEXTJOIN("; ",TRUE,[@flag_oras],[@flag_tva],[@flag_scadenta],[@flag_zi])</f>
        <v/>
      </c>
    </row>
    <row r="108">
      <c r="A108" t="inlineStr">
        <is>
          <t>F-2025-00107</t>
        </is>
      </c>
      <c r="B108" s="12" t="n">
        <v>46185</v>
      </c>
      <c r="C108" t="inlineStr">
        <is>
          <t>SC AROMET TRADING SRL</t>
        </is>
      </c>
      <c r="D108" t="inlineStr">
        <is>
          <t>Alba</t>
        </is>
      </c>
      <c r="E108" t="inlineStr">
        <is>
          <t>PRD-009</t>
        </is>
      </c>
      <c r="F108" t="inlineStr">
        <is>
          <t>Cafea boabe 1kg</t>
        </is>
      </c>
      <c r="G108" t="inlineStr">
        <is>
          <t>Alimente</t>
        </is>
      </c>
      <c r="H108" t="n">
        <v>10</v>
      </c>
      <c r="I108" t="n">
        <v>26.99</v>
      </c>
      <c r="J108" t="n">
        <v>269.9</v>
      </c>
      <c r="K108" s="13" t="n">
        <v>0.09</v>
      </c>
      <c r="L108" t="n">
        <v>24.29</v>
      </c>
      <c r="M108" t="n">
        <v>294.19</v>
      </c>
      <c r="N108" t="inlineStr">
        <is>
          <t>RON</t>
        </is>
      </c>
      <c r="O108" t="inlineStr">
        <is>
          <t>Alba Iulia</t>
        </is>
      </c>
      <c r="P108" s="12" t="n">
        <v>46215</v>
      </c>
      <c r="Q108">
        <f>IF(COUNTIF(tbl_Localitati[oras_oficial],[@oras])=0,"ORAS NEALINIAT",IF(XLOOKUP([@oras],tbl_Localitati[oras_oficial],tbl_Localitati[judet],"?")&lt;&gt;[@judet],"JUDET NECORESPUNZATOR",""))</f>
        <v/>
      </c>
      <c r="R108">
        <f>IF(XLOOKUP([@categorie],tbl_RegulriTVA[categorie],tbl_RegulriTVA[cota_legala],-1)&lt;&gt;[@cota_tva],"TVA GRESIT","")</f>
        <v/>
      </c>
      <c r="S108">
        <f>IF([@data_scadentei]&lt;[@data_factura],"SCADENTA INAINTEA FACTURII","")</f>
        <v/>
      </c>
      <c r="T108">
        <f>IF(NETWORKDAYS.INTL([@data_factura],[@data_factura],1,tbl_SarbatoriLegale[data])=0,"ZI NELUCRATOARE","")</f>
        <v/>
      </c>
      <c r="U108">
        <f>IF([@motiv_anomalie]="","OK","DE INVESTIGAT")</f>
        <v/>
      </c>
      <c r="V108">
        <f>TEXTJOIN("; ",TRUE,[@flag_oras],[@flag_tva],[@flag_scadenta],[@flag_zi])</f>
        <v/>
      </c>
    </row>
    <row r="109">
      <c r="A109" t="inlineStr">
        <is>
          <t>F-2025-00108</t>
        </is>
      </c>
      <c r="B109" s="12" t="n">
        <v>46153</v>
      </c>
      <c r="C109" t="inlineStr">
        <is>
          <t>SC FARMAVITAL DISTRIBUTIE SA</t>
        </is>
      </c>
      <c r="D109" t="inlineStr">
        <is>
          <t>Bihor</t>
        </is>
      </c>
      <c r="E109" t="inlineStr">
        <is>
          <t>PRD-010</t>
        </is>
      </c>
      <c r="F109" t="inlineStr">
        <is>
          <t>Monitor 27" 4K</t>
        </is>
      </c>
      <c r="G109" t="inlineStr">
        <is>
          <t>Hardware IT</t>
        </is>
      </c>
      <c r="H109" t="n">
        <v>100</v>
      </c>
      <c r="I109" t="n">
        <v>364.92</v>
      </c>
      <c r="J109" t="n">
        <v>36492</v>
      </c>
      <c r="K109" s="13" t="n">
        <v>0.19</v>
      </c>
      <c r="L109" t="n">
        <v>6933.48</v>
      </c>
      <c r="M109" t="n">
        <v>43425.48</v>
      </c>
      <c r="N109" t="inlineStr">
        <is>
          <t>RON</t>
        </is>
      </c>
      <c r="O109" t="inlineStr">
        <is>
          <t>Oradea</t>
        </is>
      </c>
      <c r="P109" s="12" t="n">
        <v>46183</v>
      </c>
      <c r="Q109">
        <f>IF(COUNTIF(tbl_Localitati[oras_oficial],[@oras])=0,"ORAS NEALINIAT",IF(XLOOKUP([@oras],tbl_Localitati[oras_oficial],tbl_Localitati[judet],"?")&lt;&gt;[@judet],"JUDET NECORESPUNZATOR",""))</f>
        <v/>
      </c>
      <c r="R109">
        <f>IF(XLOOKUP([@categorie],tbl_RegulriTVA[categorie],tbl_RegulriTVA[cota_legala],-1)&lt;&gt;[@cota_tva],"TVA GRESIT","")</f>
        <v/>
      </c>
      <c r="S109">
        <f>IF([@data_scadentei]&lt;[@data_factura],"SCADENTA INAINTEA FACTURII","")</f>
        <v/>
      </c>
      <c r="T109">
        <f>IF(NETWORKDAYS.INTL([@data_factura],[@data_factura],1,tbl_SarbatoriLegale[data])=0,"ZI NELUCRATOARE","")</f>
        <v/>
      </c>
      <c r="U109">
        <f>IF([@motiv_anomalie]="","OK","DE INVESTIGAT")</f>
        <v/>
      </c>
      <c r="V109">
        <f>TEXTJOIN("; ",TRUE,[@flag_oras],[@flag_tva],[@flag_scadenta],[@flag_zi])</f>
        <v/>
      </c>
    </row>
    <row r="110">
      <c r="A110" t="inlineStr">
        <is>
          <t>F-2025-00109</t>
        </is>
      </c>
      <c r="B110" s="12" t="n">
        <v>46300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Switch gigabit 24p</t>
        </is>
      </c>
      <c r="G110" t="inlineStr">
        <is>
          <t>Hardware IT</t>
        </is>
      </c>
      <c r="H110" t="n">
        <v>1</v>
      </c>
      <c r="I110" t="n">
        <v>780.61</v>
      </c>
      <c r="J110" t="n">
        <v>780.61</v>
      </c>
      <c r="K110" s="13" t="n">
        <v>0.19</v>
      </c>
      <c r="L110" t="n">
        <v>148.32</v>
      </c>
      <c r="M110" t="n">
        <v>928.9299999999999</v>
      </c>
      <c r="N110" t="inlineStr">
        <is>
          <t>RON</t>
        </is>
      </c>
      <c r="O110" t="inlineStr">
        <is>
          <t>Sibiu</t>
        </is>
      </c>
      <c r="P110" s="12" t="n">
        <v>46330</v>
      </c>
      <c r="Q110">
        <f>IF(COUNTIF(tbl_Localitati[oras_oficial],[@oras])=0,"ORAS NEALINIAT",IF(XLOOKUP([@oras],tbl_Localitati[oras_oficial],tbl_Localitati[judet],"?")&lt;&gt;[@judet],"JUDET NECORESPUNZATOR",""))</f>
        <v/>
      </c>
      <c r="R110">
        <f>IF(XLOOKUP([@categorie],tbl_RegulriTVA[categorie],tbl_RegulriTVA[cota_legala],-1)&lt;&gt;[@cota_tva],"TVA GRESIT","")</f>
        <v/>
      </c>
      <c r="S110">
        <f>IF([@data_scadentei]&lt;[@data_factura],"SCADENTA INAINTEA FACTURII","")</f>
        <v/>
      </c>
      <c r="T110">
        <f>IF(NETWORKDAYS.INTL([@data_factura],[@data_factura],1,tbl_SarbatoriLegale[data])=0,"ZI NELUCRATOARE","")</f>
        <v/>
      </c>
      <c r="U110">
        <f>IF([@motiv_anomalie]="","OK","DE INVESTIGAT")</f>
        <v/>
      </c>
      <c r="V110">
        <f>TEXTJOIN("; ",TRUE,[@flag_oras],[@flag_tva],[@flag_scadenta],[@flag_zi])</f>
        <v/>
      </c>
    </row>
    <row r="111">
      <c r="A111" t="inlineStr">
        <is>
          <t>F-2025-00110</t>
        </is>
      </c>
      <c r="B111" s="12" t="n">
        <v>46188</v>
      </c>
      <c r="C111" t="inlineStr">
        <is>
          <t>SC OMEGA SOFT SRL</t>
        </is>
      </c>
      <c r="D111" t="inlineStr">
        <is>
          <t>Dolj</t>
        </is>
      </c>
      <c r="E111" t="inlineStr">
        <is>
          <t>PRD-001</t>
        </is>
      </c>
      <c r="F111" t="inlineStr">
        <is>
          <t>Trusa prim ajutor</t>
        </is>
      </c>
      <c r="G111" t="inlineStr">
        <is>
          <t>Produse farmaceutice</t>
        </is>
      </c>
      <c r="H111" t="n">
        <v>10</v>
      </c>
      <c r="I111" t="n">
        <v>2336.37</v>
      </c>
      <c r="J111" t="n">
        <v>23363.7</v>
      </c>
      <c r="K111" s="13" t="n">
        <v>0.09</v>
      </c>
      <c r="L111" t="n">
        <v>2102.73</v>
      </c>
      <c r="M111" t="n">
        <v>25466.43</v>
      </c>
      <c r="N111" t="inlineStr">
        <is>
          <t>RON</t>
        </is>
      </c>
      <c r="O111" t="inlineStr">
        <is>
          <t>Craiova</t>
        </is>
      </c>
      <c r="P111" s="12" t="n">
        <v>46233</v>
      </c>
      <c r="Q111">
        <f>IF(COUNTIF(tbl_Localitati[oras_oficial],[@oras])=0,"ORAS NEALINIAT",IF(XLOOKUP([@oras],tbl_Localitati[oras_oficial],tbl_Localitati[judet],"?")&lt;&gt;[@judet],"JUDET NECORESPUNZATOR",""))</f>
        <v/>
      </c>
      <c r="R111">
        <f>IF(XLOOKUP([@categorie],tbl_RegulriTVA[categorie],tbl_RegulriTVA[cota_legala],-1)&lt;&gt;[@cota_tva],"TVA GRESIT","")</f>
        <v/>
      </c>
      <c r="S111">
        <f>IF([@data_scadentei]&lt;[@data_factura],"SCADENTA INAINTEA FACTURII","")</f>
        <v/>
      </c>
      <c r="T111">
        <f>IF(NETWORKDAYS.INTL([@data_factura],[@data_factura],1,tbl_SarbatoriLegale[data])=0,"ZI NELUCRATOARE","")</f>
        <v/>
      </c>
      <c r="U111">
        <f>IF([@motiv_anomalie]="","OK","DE INVESTIGAT")</f>
        <v/>
      </c>
      <c r="V111">
        <f>TEXTJOIN("; ",TRUE,[@flag_oras],[@flag_tva],[@flag_scadenta],[@flag_zi])</f>
        <v/>
      </c>
    </row>
    <row r="112">
      <c r="A112" t="inlineStr">
        <is>
          <t>F-2025-00111</t>
        </is>
      </c>
      <c r="B112" s="12" t="n">
        <v>46056</v>
      </c>
      <c r="C112" t="inlineStr">
        <is>
          <t>SC OMEGA SOFT SRL</t>
        </is>
      </c>
      <c r="D112" t="inlineStr">
        <is>
          <t>Dolj</t>
        </is>
      </c>
      <c r="E112" t="inlineStr">
        <is>
          <t>PRD-009</t>
        </is>
      </c>
      <c r="F112" t="inlineStr">
        <is>
          <t>Statie de lucru desktop</t>
        </is>
      </c>
      <c r="G112" t="inlineStr">
        <is>
          <t>Hardware IT</t>
        </is>
      </c>
      <c r="H112" t="n">
        <v>10</v>
      </c>
      <c r="I112" t="n">
        <v>27.72</v>
      </c>
      <c r="J112" t="n">
        <v>277.2</v>
      </c>
      <c r="K112" s="13" t="n">
        <v>0.19</v>
      </c>
      <c r="L112" t="n">
        <v>52.67</v>
      </c>
      <c r="M112" t="n">
        <v>329.87</v>
      </c>
      <c r="N112" t="inlineStr">
        <is>
          <t>RON</t>
        </is>
      </c>
      <c r="O112" t="inlineStr">
        <is>
          <t>Craiova</t>
        </is>
      </c>
      <c r="P112" s="12" t="n">
        <v>46116</v>
      </c>
      <c r="Q112">
        <f>IF(COUNTIF(tbl_Localitati[oras_oficial],[@oras])=0,"ORAS NEALINIAT",IF(XLOOKUP([@oras],tbl_Localitati[oras_oficial],tbl_Localitati[judet],"?")&lt;&gt;[@judet],"JUDET NECORESPUNZATOR",""))</f>
        <v/>
      </c>
      <c r="R112">
        <f>IF(XLOOKUP([@categorie],tbl_RegulriTVA[categorie],tbl_RegulriTVA[cota_legala],-1)&lt;&gt;[@cota_tva],"TVA GRESIT","")</f>
        <v/>
      </c>
      <c r="S112">
        <f>IF([@data_scadentei]&lt;[@data_factura],"SCADENTA INAINTEA FACTURII","")</f>
        <v/>
      </c>
      <c r="T112">
        <f>IF(NETWORKDAYS.INTL([@data_factura],[@data_factura],1,tbl_SarbatoriLegale[data])=0,"ZI NELUCRATOARE","")</f>
        <v/>
      </c>
      <c r="U112">
        <f>IF([@motiv_anomalie]="","OK","DE INVESTIGAT")</f>
        <v/>
      </c>
      <c r="V112">
        <f>TEXTJOIN("; ",TRUE,[@flag_oras],[@flag_tva],[@flag_scadenta],[@flag_zi])</f>
        <v/>
      </c>
    </row>
    <row r="113">
      <c r="A113" t="inlineStr">
        <is>
          <t>F-2025-00112</t>
        </is>
      </c>
      <c r="B113" s="12" t="n">
        <v>46042</v>
      </c>
      <c r="C113" t="inlineStr">
        <is>
          <t>SC RAPID LOGISTIC SA</t>
        </is>
      </c>
      <c r="D113" t="inlineStr">
        <is>
          <t>Prahova</t>
        </is>
      </c>
      <c r="E113" t="inlineStr">
        <is>
          <t>PRD-005</t>
        </is>
      </c>
      <c r="F113" t="inlineStr">
        <is>
          <t>Audit infrastructura</t>
        </is>
      </c>
      <c r="G113" t="inlineStr">
        <is>
          <t>Servicii consultanță</t>
        </is>
      </c>
      <c r="H113" t="n">
        <v>1</v>
      </c>
      <c r="I113" t="n">
        <v>244.86</v>
      </c>
      <c r="J113" t="n">
        <v>244.86</v>
      </c>
      <c r="K113" s="13" t="n">
        <v>0.19</v>
      </c>
      <c r="L113" t="n">
        <v>46.52</v>
      </c>
      <c r="M113" t="n">
        <v>291.38</v>
      </c>
      <c r="N113" t="inlineStr">
        <is>
          <t>RON</t>
        </is>
      </c>
      <c r="O113" t="inlineStr">
        <is>
          <t>Ploiești</t>
        </is>
      </c>
      <c r="P113" s="12" t="n">
        <v>46072</v>
      </c>
      <c r="Q113">
        <f>IF(COUNTIF(tbl_Localitati[oras_oficial],[@oras])=0,"ORAS NEALINIAT",IF(XLOOKUP([@oras],tbl_Localitati[oras_oficial],tbl_Localitati[judet],"?")&lt;&gt;[@judet],"JUDET NECORESPUNZATOR",""))</f>
        <v/>
      </c>
      <c r="R113">
        <f>IF(XLOOKUP([@categorie],tbl_RegulriTVA[categorie],tbl_RegulriTVA[cota_legala],-1)&lt;&gt;[@cota_tva],"TVA GRESIT","")</f>
        <v/>
      </c>
      <c r="S113">
        <f>IF([@data_scadentei]&lt;[@data_factura],"SCADENTA INAINTEA FACTURII","")</f>
        <v/>
      </c>
      <c r="T113">
        <f>IF(NETWORKDAYS.INTL([@data_factura],[@data_factura],1,tbl_SarbatoriLegale[data])=0,"ZI NELUCRATOARE","")</f>
        <v/>
      </c>
      <c r="U113">
        <f>IF([@motiv_anomalie]="","OK","DE INVESTIGAT")</f>
        <v/>
      </c>
      <c r="V113">
        <f>TEXTJOIN("; ",TRUE,[@flag_oras],[@flag_tva],[@flag_scadenta],[@flag_zi])</f>
        <v/>
      </c>
    </row>
    <row r="114">
      <c r="A114" t="inlineStr">
        <is>
          <t>F-2025-00113</t>
        </is>
      </c>
      <c r="B114" s="12" t="n">
        <v>46073</v>
      </c>
      <c r="C114" t="inlineStr">
        <is>
          <t>SC OMEGA SOFT SRL</t>
        </is>
      </c>
      <c r="D114" t="inlineStr">
        <is>
          <t>Dolj</t>
        </is>
      </c>
      <c r="E114" t="inlineStr">
        <is>
          <t>PRD-003</t>
        </is>
      </c>
      <c r="F114" t="inlineStr">
        <is>
          <t>Videoproiector sala</t>
        </is>
      </c>
      <c r="G114" t="inlineStr">
        <is>
          <t>Echipamente birou</t>
        </is>
      </c>
      <c r="H114" t="n">
        <v>1</v>
      </c>
      <c r="I114" t="n">
        <v>4221.35</v>
      </c>
      <c r="J114" t="n">
        <v>4221.35</v>
      </c>
      <c r="K114" s="13" t="n">
        <v>0.19</v>
      </c>
      <c r="L114" t="n">
        <v>802.0599999999999</v>
      </c>
      <c r="M114" t="n">
        <v>5023.41</v>
      </c>
      <c r="N114" t="inlineStr">
        <is>
          <t>RON</t>
        </is>
      </c>
      <c r="O114" t="inlineStr">
        <is>
          <t>Craiova</t>
        </is>
      </c>
      <c r="P114" s="12" t="n">
        <v>46088</v>
      </c>
      <c r="Q114">
        <f>IF(COUNTIF(tbl_Localitati[oras_oficial],[@oras])=0,"ORAS NEALINIAT",IF(XLOOKUP([@oras],tbl_Localitati[oras_oficial],tbl_Localitati[judet],"?")&lt;&gt;[@judet],"JUDET NECORESPUNZATOR",""))</f>
        <v/>
      </c>
      <c r="R114">
        <f>IF(XLOOKUP([@categorie],tbl_RegulriTVA[categorie],tbl_RegulriTVA[cota_legala],-1)&lt;&gt;[@cota_tva],"TVA GRESIT","")</f>
        <v/>
      </c>
      <c r="S114">
        <f>IF([@data_scadentei]&lt;[@data_factura],"SCADENTA INAINTEA FACTURII","")</f>
        <v/>
      </c>
      <c r="T114">
        <f>IF(NETWORKDAYS.INTL([@data_factura],[@data_factura],1,tbl_SarbatoriLegale[data])=0,"ZI NELUCRATOARE","")</f>
        <v/>
      </c>
      <c r="U114">
        <f>IF([@motiv_anomalie]="","OK","DE INVESTIGAT")</f>
        <v/>
      </c>
      <c r="V114">
        <f>TEXTJOIN("; ",TRUE,[@flag_oras],[@flag_tva],[@flag_scadenta],[@flag_zi])</f>
        <v/>
      </c>
    </row>
    <row r="115">
      <c r="A115" t="inlineStr">
        <is>
          <t>F-2025-00114</t>
        </is>
      </c>
      <c r="B115" s="12" t="n">
        <v>46359</v>
      </c>
      <c r="C115" t="inlineStr">
        <is>
          <t>SC OMEGA SOFT SRL</t>
        </is>
      </c>
      <c r="D115" t="inlineStr">
        <is>
          <t>Dolj</t>
        </is>
      </c>
      <c r="E115" t="inlineStr">
        <is>
          <t>PRD-006</t>
        </is>
      </c>
      <c r="F115" t="inlineStr">
        <is>
          <t>Licenta ERP contabilitate</t>
        </is>
      </c>
      <c r="G115" t="inlineStr">
        <is>
          <t>Licențe software</t>
        </is>
      </c>
      <c r="H115" t="n">
        <v>5</v>
      </c>
      <c r="I115" t="n">
        <v>744.41</v>
      </c>
      <c r="J115" t="n">
        <v>3722.05</v>
      </c>
      <c r="K115" s="13" t="n">
        <v>0.19</v>
      </c>
      <c r="L115" t="n">
        <v>707.1900000000001</v>
      </c>
      <c r="M115" t="n">
        <v>4429.24</v>
      </c>
      <c r="N115" t="inlineStr">
        <is>
          <t>RON</t>
        </is>
      </c>
      <c r="O115" t="inlineStr">
        <is>
          <t>Craiova</t>
        </is>
      </c>
      <c r="P115" s="12" t="n">
        <v>46374</v>
      </c>
      <c r="Q115">
        <f>IF(COUNTIF(tbl_Localitati[oras_oficial],[@oras])=0,"ORAS NEALINIAT",IF(XLOOKUP([@oras],tbl_Localitati[oras_oficial],tbl_Localitati[judet],"?")&lt;&gt;[@judet],"JUDET NECORESPUNZATOR",""))</f>
        <v/>
      </c>
      <c r="R115">
        <f>IF(XLOOKUP([@categorie],tbl_RegulriTVA[categorie],tbl_RegulriTVA[cota_legala],-1)&lt;&gt;[@cota_tva],"TVA GRESIT","")</f>
        <v/>
      </c>
      <c r="S115">
        <f>IF([@data_scadentei]&lt;[@data_factura],"SCADENTA INAINTEA FACTURII","")</f>
        <v/>
      </c>
      <c r="T115">
        <f>IF(NETWORKDAYS.INTL([@data_factura],[@data_factura],1,tbl_SarbatoriLegale[data])=0,"ZI NELUCRATOARE","")</f>
        <v/>
      </c>
      <c r="U115">
        <f>IF([@motiv_anomalie]="","OK","DE INVESTIGAT")</f>
        <v/>
      </c>
      <c r="V115">
        <f>TEXTJOIN("; ",TRUE,[@flag_oras],[@flag_tva],[@flag_scadenta],[@flag_zi])</f>
        <v/>
      </c>
    </row>
    <row r="116">
      <c r="A116" t="inlineStr">
        <is>
          <t>F-2025-00115</t>
        </is>
      </c>
      <c r="B116" s="12" t="n">
        <v>46279</v>
      </c>
      <c r="C116" t="inlineStr">
        <is>
          <t>SC AROMET TRADING SRL</t>
        </is>
      </c>
      <c r="D116" t="inlineStr">
        <is>
          <t>Alba</t>
        </is>
      </c>
      <c r="E116" t="inlineStr">
        <is>
          <t>PRD-002</t>
        </is>
      </c>
      <c r="F116" t="inlineStr">
        <is>
          <t>Laptop business 15"</t>
        </is>
      </c>
      <c r="G116" t="inlineStr">
        <is>
          <t>Hardware IT</t>
        </is>
      </c>
      <c r="H116" t="n">
        <v>2</v>
      </c>
      <c r="I116" t="n">
        <v>1078.42</v>
      </c>
      <c r="J116" t="n">
        <v>2156.84</v>
      </c>
      <c r="K116" s="13" t="n">
        <v>0.19</v>
      </c>
      <c r="L116" t="n">
        <v>409.8</v>
      </c>
      <c r="M116" t="n">
        <v>2566.64</v>
      </c>
      <c r="N116" t="inlineStr">
        <is>
          <t>RON</t>
        </is>
      </c>
      <c r="O116" t="inlineStr">
        <is>
          <t>Alba Iulia</t>
        </is>
      </c>
      <c r="P116" s="12" t="n">
        <v>46309</v>
      </c>
      <c r="Q116">
        <f>IF(COUNTIF(tbl_Localitati[oras_oficial],[@oras])=0,"ORAS NEALINIAT",IF(XLOOKUP([@oras],tbl_Localitati[oras_oficial],tbl_Localitati[judet],"?")&lt;&gt;[@judet],"JUDET NECORESPUNZATOR",""))</f>
        <v/>
      </c>
      <c r="R116">
        <f>IF(XLOOKUP([@categorie],tbl_RegulriTVA[categorie],tbl_RegulriTVA[cota_legala],-1)&lt;&gt;[@cota_tva],"TVA GRESIT","")</f>
        <v/>
      </c>
      <c r="S116">
        <f>IF([@data_scadentei]&lt;[@data_factura],"SCADENTA INAINTEA FACTURII","")</f>
        <v/>
      </c>
      <c r="T116">
        <f>IF(NETWORKDAYS.INTL([@data_factura],[@data_factura],1,tbl_SarbatoriLegale[data])=0,"ZI NELUCRATOARE","")</f>
        <v/>
      </c>
      <c r="U116">
        <f>IF([@motiv_anomalie]="","OK","DE INVESTIGAT")</f>
        <v/>
      </c>
      <c r="V116">
        <f>TEXTJOIN("; ",TRUE,[@flag_oras],[@flag_tva],[@flag_scadenta],[@flag_zi])</f>
        <v/>
      </c>
    </row>
    <row r="117">
      <c r="A117" t="inlineStr">
        <is>
          <t>F-2025-00116</t>
        </is>
      </c>
      <c r="B117" s="12" t="n">
        <v>46314</v>
      </c>
      <c r="C117" t="inlineStr">
        <is>
          <t>SC SOLARIS ENERGY SRL</t>
        </is>
      </c>
      <c r="D117" t="inlineStr">
        <is>
          <t>Prahova</t>
        </is>
      </c>
      <c r="E117" t="inlineStr">
        <is>
          <t>PRD-008</t>
        </is>
      </c>
      <c r="F117" t="inlineStr">
        <is>
          <t>Abonament suita cloud</t>
        </is>
      </c>
      <c r="G117" t="inlineStr">
        <is>
          <t>Licențe software</t>
        </is>
      </c>
      <c r="H117" t="n">
        <v>1</v>
      </c>
      <c r="I117" t="n">
        <v>470.92</v>
      </c>
      <c r="J117" t="n">
        <v>470.92</v>
      </c>
      <c r="K117" s="13" t="n">
        <v>0.19</v>
      </c>
      <c r="L117" t="n">
        <v>89.47</v>
      </c>
      <c r="M117" t="n">
        <v>560.39</v>
      </c>
      <c r="N117" t="inlineStr">
        <is>
          <t>EUR</t>
        </is>
      </c>
      <c r="O117" t="inlineStr">
        <is>
          <t>Câmpina</t>
        </is>
      </c>
      <c r="P117" s="12" t="n">
        <v>46359</v>
      </c>
      <c r="Q117">
        <f>IF(COUNTIF(tbl_Localitati[oras_oficial],[@oras])=0,"ORAS NEALINIAT",IF(XLOOKUP([@oras],tbl_Localitati[oras_oficial],tbl_Localitati[judet],"?")&lt;&gt;[@judet],"JUDET NECORESPUNZATOR",""))</f>
        <v/>
      </c>
      <c r="R117">
        <f>IF(XLOOKUP([@categorie],tbl_RegulriTVA[categorie],tbl_RegulriTVA[cota_legala],-1)&lt;&gt;[@cota_tva],"TVA GRESIT","")</f>
        <v/>
      </c>
      <c r="S117">
        <f>IF([@data_scadentei]&lt;[@data_factura],"SCADENTA INAINTEA FACTURII","")</f>
        <v/>
      </c>
      <c r="T117">
        <f>IF(NETWORKDAYS.INTL([@data_factura],[@data_factura],1,tbl_SarbatoriLegale[data])=0,"ZI NELUCRATOARE","")</f>
        <v/>
      </c>
      <c r="U117">
        <f>IF([@motiv_anomalie]="","OK","DE INVESTIGAT")</f>
        <v/>
      </c>
      <c r="V117">
        <f>TEXTJOIN("; ",TRUE,[@flag_oras],[@flag_tva],[@flag_scadenta],[@flag_zi])</f>
        <v/>
      </c>
    </row>
    <row r="118">
      <c r="A118" t="inlineStr">
        <is>
          <t>F-2025-00117</t>
        </is>
      </c>
      <c r="B118" s="12" t="n">
        <v>46302</v>
      </c>
      <c r="C118" t="inlineStr">
        <is>
          <t>SC DACTECH SOLUTIONS SRL</t>
        </is>
      </c>
      <c r="D118" t="inlineStr">
        <is>
          <t>Argeș</t>
        </is>
      </c>
      <c r="E118" t="inlineStr">
        <is>
          <t>PRD-008</t>
        </is>
      </c>
      <c r="F118" t="inlineStr">
        <is>
          <t>Apa plata bax</t>
        </is>
      </c>
      <c r="G118" t="inlineStr">
        <is>
          <t>Alimente</t>
        </is>
      </c>
      <c r="H118" t="n">
        <v>5</v>
      </c>
      <c r="I118" t="n">
        <v>468.65</v>
      </c>
      <c r="J118" t="n">
        <v>2343.25</v>
      </c>
      <c r="K118" s="13" t="n">
        <v>0.09</v>
      </c>
      <c r="L118" t="n">
        <v>210.89</v>
      </c>
      <c r="M118" t="n">
        <v>2554.14</v>
      </c>
      <c r="N118" t="inlineStr">
        <is>
          <t>RON</t>
        </is>
      </c>
      <c r="O118" t="inlineStr">
        <is>
          <t>Pitești</t>
        </is>
      </c>
      <c r="P118" s="12" t="n">
        <v>46332</v>
      </c>
      <c r="Q118">
        <f>IF(COUNTIF(tbl_Localitati[oras_oficial],[@oras])=0,"ORAS NEALINIAT",IF(XLOOKUP([@oras],tbl_Localitati[oras_oficial],tbl_Localitati[judet],"?")&lt;&gt;[@judet],"JUDET NECORESPUNZATOR",""))</f>
        <v/>
      </c>
      <c r="R118">
        <f>IF(XLOOKUP([@categorie],tbl_RegulriTVA[categorie],tbl_RegulriTVA[cota_legala],-1)&lt;&gt;[@cota_tva],"TVA GRESIT","")</f>
        <v/>
      </c>
      <c r="S118">
        <f>IF([@data_scadentei]&lt;[@data_factura],"SCADENTA INAINTEA FACTURII","")</f>
        <v/>
      </c>
      <c r="T118">
        <f>IF(NETWORKDAYS.INTL([@data_factura],[@data_factura],1,tbl_SarbatoriLegale[data])=0,"ZI NELUCRATOARE","")</f>
        <v/>
      </c>
      <c r="U118">
        <f>IF([@motiv_anomalie]="","OK","DE INVESTIGAT")</f>
        <v/>
      </c>
      <c r="V118">
        <f>TEXTJOIN("; ",TRUE,[@flag_oras],[@flag_tva],[@flag_scadenta],[@flag_zi])</f>
        <v/>
      </c>
    </row>
    <row r="119">
      <c r="A119" t="inlineStr">
        <is>
          <t>F-2025-00118</t>
        </is>
      </c>
      <c r="B119" s="12" t="n">
        <v>46387</v>
      </c>
      <c r="C119" t="inlineStr">
        <is>
          <t>SC NORDIS DISTRIBUTIE SRL</t>
        </is>
      </c>
      <c r="D119" t="inlineStr">
        <is>
          <t>Constanța</t>
        </is>
      </c>
      <c r="E119" t="inlineStr">
        <is>
          <t>PRD-002</t>
        </is>
      </c>
      <c r="F119" t="inlineStr">
        <is>
          <t>Server rack 1U</t>
        </is>
      </c>
      <c r="G119" t="inlineStr">
        <is>
          <t>Hardware IT</t>
        </is>
      </c>
      <c r="H119" t="n">
        <v>1</v>
      </c>
      <c r="I119" t="n">
        <v>1051.43</v>
      </c>
      <c r="J119" t="n">
        <v>1051.43</v>
      </c>
      <c r="K119" s="13" t="n">
        <v>0.19</v>
      </c>
      <c r="L119" t="n">
        <v>199.77</v>
      </c>
      <c r="M119" t="n">
        <v>1251.2</v>
      </c>
      <c r="N119" t="inlineStr">
        <is>
          <t>RON</t>
        </is>
      </c>
      <c r="O119" t="inlineStr">
        <is>
          <t>Mangalia</t>
        </is>
      </c>
      <c r="P119" s="12" t="n">
        <v>46417</v>
      </c>
      <c r="Q119">
        <f>IF(COUNTIF(tbl_Localitati[oras_oficial],[@oras])=0,"ORAS NEALINIAT",IF(XLOOKUP([@oras],tbl_Localitati[oras_oficial],tbl_Localitati[judet],"?")&lt;&gt;[@judet],"JUDET NECORESPUNZATOR",""))</f>
        <v/>
      </c>
      <c r="R119">
        <f>IF(XLOOKUP([@categorie],tbl_RegulriTVA[categorie],tbl_RegulriTVA[cota_legala],-1)&lt;&gt;[@cota_tva],"TVA GRESIT","")</f>
        <v/>
      </c>
      <c r="S119">
        <f>IF([@data_scadentei]&lt;[@data_factura],"SCADENTA INAINTEA FACTURII","")</f>
        <v/>
      </c>
      <c r="T119">
        <f>IF(NETWORKDAYS.INTL([@data_factura],[@data_factura],1,tbl_SarbatoriLegale[data])=0,"ZI NELUCRATOARE","")</f>
        <v/>
      </c>
      <c r="U119">
        <f>IF([@motiv_anomalie]="","OK","DE INVESTIGAT")</f>
        <v/>
      </c>
      <c r="V119">
        <f>TEXTJOIN("; ",TRUE,[@flag_oras],[@flag_tva],[@flag_scadenta],[@flag_zi])</f>
        <v/>
      </c>
    </row>
    <row r="120">
      <c r="A120" t="inlineStr">
        <is>
          <t>F-2025-00119</t>
        </is>
      </c>
      <c r="B120" s="12" t="n">
        <v>46092</v>
      </c>
      <c r="C120" t="inlineStr">
        <is>
          <t>SC NORDIS DISTRIBUTIE SRL</t>
        </is>
      </c>
      <c r="D120" t="inlineStr">
        <is>
          <t>Constanța</t>
        </is>
      </c>
      <c r="E120" t="inlineStr">
        <is>
          <t>PRD-004</t>
        </is>
      </c>
      <c r="F120" t="inlineStr">
        <is>
          <t>Monitor 27" 4K</t>
        </is>
      </c>
      <c r="G120" t="inlineStr">
        <is>
          <t>Hardware IT</t>
        </is>
      </c>
      <c r="H120" t="n">
        <v>1</v>
      </c>
      <c r="I120" t="n">
        <v>919.92</v>
      </c>
      <c r="J120" t="n">
        <v>919.92</v>
      </c>
      <c r="K120" s="13" t="n">
        <v>0.19</v>
      </c>
      <c r="L120" t="n">
        <v>174.78</v>
      </c>
      <c r="M120" t="n">
        <v>1094.7</v>
      </c>
      <c r="N120" t="inlineStr">
        <is>
          <t>RON</t>
        </is>
      </c>
      <c r="O120" t="inlineStr">
        <is>
          <t>Mangalia</t>
        </is>
      </c>
      <c r="P120" s="12" t="n">
        <v>46082</v>
      </c>
      <c r="Q120">
        <f>IF(COUNTIF(tbl_Localitati[oras_oficial],[@oras])=0,"ORAS NEALINIAT",IF(XLOOKUP([@oras],tbl_Localitati[oras_oficial],tbl_Localitati[judet],"?")&lt;&gt;[@judet],"JUDET NECORESPUNZATOR",""))</f>
        <v/>
      </c>
      <c r="R120">
        <f>IF(XLOOKUP([@categorie],tbl_RegulriTVA[categorie],tbl_RegulriTVA[cota_legala],-1)&lt;&gt;[@cota_tva],"TVA GRESIT","")</f>
        <v/>
      </c>
      <c r="S120">
        <f>IF([@data_scadentei]&lt;[@data_factura],"SCADENTA INAINTEA FACTURII","")</f>
        <v/>
      </c>
      <c r="T120">
        <f>IF(NETWORKDAYS.INTL([@data_factura],[@data_factura],1,tbl_SarbatoriLegale[data])=0,"ZI NELUCRATOARE","")</f>
        <v/>
      </c>
      <c r="U120">
        <f>IF([@motiv_anomalie]="","OK","DE INVESTIGAT")</f>
        <v/>
      </c>
      <c r="V120">
        <f>TEXTJOIN("; ",TRUE,[@flag_oras],[@flag_tva],[@flag_scadenta],[@flag_zi])</f>
        <v/>
      </c>
    </row>
    <row r="121">
      <c r="A121" t="inlineStr">
        <is>
          <t>F-2025-00120</t>
        </is>
      </c>
      <c r="B121" s="12" t="n">
        <v>46322</v>
      </c>
      <c r="C121" t="inlineStr">
        <is>
          <t>SC UNIFOOD DISTRIBUTION SA</t>
        </is>
      </c>
      <c r="D121" t="inlineStr">
        <is>
          <t>Sibiu</t>
        </is>
      </c>
      <c r="E121" t="inlineStr">
        <is>
          <t>PRD-006</t>
        </is>
      </c>
      <c r="F121" t="inlineStr">
        <is>
          <t>Tocator documente</t>
        </is>
      </c>
      <c r="G121" t="inlineStr">
        <is>
          <t>Echipamente birou</t>
        </is>
      </c>
      <c r="H121" t="n">
        <v>5</v>
      </c>
      <c r="I121" t="n">
        <v>758.8099999999999</v>
      </c>
      <c r="J121" t="n">
        <v>3794.05</v>
      </c>
      <c r="K121" s="13" t="n">
        <v>0.19</v>
      </c>
      <c r="L121" t="n">
        <v>720.87</v>
      </c>
      <c r="M121" t="n">
        <v>4514.92</v>
      </c>
      <c r="N121" t="inlineStr">
        <is>
          <t>RON</t>
        </is>
      </c>
      <c r="O121" t="inlineStr">
        <is>
          <t>Mediaș</t>
        </is>
      </c>
      <c r="P121" s="12" t="n">
        <v>46382</v>
      </c>
      <c r="Q121">
        <f>IF(COUNTIF(tbl_Localitati[oras_oficial],[@oras])=0,"ORAS NEALINIAT",IF(XLOOKUP([@oras],tbl_Localitati[oras_oficial],tbl_Localitati[judet],"?")&lt;&gt;[@judet],"JUDET NECORESPUNZATOR",""))</f>
        <v/>
      </c>
      <c r="R121">
        <f>IF(XLOOKUP([@categorie],tbl_RegulriTVA[categorie],tbl_RegulriTVA[cota_legala],-1)&lt;&gt;[@cota_tva],"TVA GRESIT","")</f>
        <v/>
      </c>
      <c r="S121">
        <f>IF([@data_scadentei]&lt;[@data_factura],"SCADENTA INAINTEA FACTURII","")</f>
        <v/>
      </c>
      <c r="T121">
        <f>IF(NETWORKDAYS.INTL([@data_factura],[@data_factura],1,tbl_SarbatoriLegale[data])=0,"ZI NELUCRATOARE","")</f>
        <v/>
      </c>
      <c r="U121">
        <f>IF([@motiv_anomalie]="","OK","DE INVESTIGAT")</f>
        <v/>
      </c>
      <c r="V121">
        <f>TEXTJOIN("; ",TRUE,[@flag_oras],[@flag_tva],[@flag_scadenta],[@flag_zi])</f>
        <v/>
      </c>
    </row>
    <row r="122">
      <c r="A122" t="inlineStr">
        <is>
          <t>F-2025-00121</t>
        </is>
      </c>
      <c r="B122" s="12" t="n">
        <v>46085</v>
      </c>
      <c r="C122" t="inlineStr">
        <is>
          <t>SC DACTECH SOLUTIONS SRL</t>
        </is>
      </c>
      <c r="D122" t="inlineStr">
        <is>
          <t>Argeș</t>
        </is>
      </c>
      <c r="E122" t="inlineStr">
        <is>
          <t>PRD-005</t>
        </is>
      </c>
      <c r="F122" t="inlineStr">
        <is>
          <t>Licenta Office 365 anuala</t>
        </is>
      </c>
      <c r="G122" t="inlineStr">
        <is>
          <t>Licențe software</t>
        </is>
      </c>
      <c r="H122" t="n">
        <v>1</v>
      </c>
      <c r="I122" t="n">
        <v>261.16</v>
      </c>
      <c r="J122" t="n">
        <v>261.16</v>
      </c>
      <c r="K122" s="13" t="n">
        <v>0.19</v>
      </c>
      <c r="L122" t="n">
        <v>49.62</v>
      </c>
      <c r="M122" t="n">
        <v>310.78</v>
      </c>
      <c r="N122" t="inlineStr">
        <is>
          <t>RON</t>
        </is>
      </c>
      <c r="O122" t="inlineStr">
        <is>
          <t>Pitești</t>
        </is>
      </c>
      <c r="P122" s="12" t="n">
        <v>46145</v>
      </c>
      <c r="Q122">
        <f>IF(COUNTIF(tbl_Localitati[oras_oficial],[@oras])=0,"ORAS NEALINIAT",IF(XLOOKUP([@oras],tbl_Localitati[oras_oficial],tbl_Localitati[judet],"?")&lt;&gt;[@judet],"JUDET NECORESPUNZATOR",""))</f>
        <v/>
      </c>
      <c r="R122">
        <f>IF(XLOOKUP([@categorie],tbl_RegulriTVA[categorie],tbl_RegulriTVA[cota_legala],-1)&lt;&gt;[@cota_tva],"TVA GRESIT","")</f>
        <v/>
      </c>
      <c r="S122">
        <f>IF([@data_scadentei]&lt;[@data_factura],"SCADENTA INAINTEA FACTURII","")</f>
        <v/>
      </c>
      <c r="T122">
        <f>IF(NETWORKDAYS.INTL([@data_factura],[@data_factura],1,tbl_SarbatoriLegale[data])=0,"ZI NELUCRATOARE","")</f>
        <v/>
      </c>
      <c r="U122">
        <f>IF([@motiv_anomalie]="","OK","DE INVESTIGAT")</f>
        <v/>
      </c>
      <c r="V122">
        <f>TEXTJOIN("; ",TRUE,[@flag_oras],[@flag_tva],[@flag_scadenta],[@flag_zi])</f>
        <v/>
      </c>
    </row>
    <row r="123">
      <c r="A123" t="inlineStr">
        <is>
          <t>F-2025-00122</t>
        </is>
      </c>
      <c r="B123" s="12" t="n">
        <v>46346</v>
      </c>
      <c r="C123" t="inlineStr">
        <is>
          <t>SC INTEGROMED SA</t>
        </is>
      </c>
      <c r="D123" t="inlineStr">
        <is>
          <t>Cluj</t>
        </is>
      </c>
      <c r="E123" t="inlineStr">
        <is>
          <t>PRD-010</t>
        </is>
      </c>
      <c r="F123" t="inlineStr">
        <is>
          <t>Telefon IP birou</t>
        </is>
      </c>
      <c r="G123" t="inlineStr">
        <is>
          <t>Echipamente birou</t>
        </is>
      </c>
      <c r="H123" t="n">
        <v>10</v>
      </c>
      <c r="I123" t="n">
        <v>339.16</v>
      </c>
      <c r="J123" t="n">
        <v>3391.6</v>
      </c>
      <c r="K123" s="13" t="n">
        <v>0.19</v>
      </c>
      <c r="L123" t="n">
        <v>644.4</v>
      </c>
      <c r="M123" t="n">
        <v>4036</v>
      </c>
      <c r="N123" t="inlineStr">
        <is>
          <t>RON</t>
        </is>
      </c>
      <c r="O123" t="inlineStr">
        <is>
          <t>Cluj-Napoca</t>
        </is>
      </c>
      <c r="P123" s="12" t="n">
        <v>46361</v>
      </c>
      <c r="Q123">
        <f>IF(COUNTIF(tbl_Localitati[oras_oficial],[@oras])=0,"ORAS NEALINIAT",IF(XLOOKUP([@oras],tbl_Localitati[oras_oficial],tbl_Localitati[judet],"?")&lt;&gt;[@judet],"JUDET NECORESPUNZATOR",""))</f>
        <v/>
      </c>
      <c r="R123">
        <f>IF(XLOOKUP([@categorie],tbl_RegulriTVA[categorie],tbl_RegulriTVA[cota_legala],-1)&lt;&gt;[@cota_tva],"TVA GRESIT","")</f>
        <v/>
      </c>
      <c r="S123">
        <f>IF([@data_scadentei]&lt;[@data_factura],"SCADENTA INAINTEA FACTURII","")</f>
        <v/>
      </c>
      <c r="T123">
        <f>IF(NETWORKDAYS.INTL([@data_factura],[@data_factura],1,tbl_SarbatoriLegale[data])=0,"ZI NELUCRATOARE","")</f>
        <v/>
      </c>
      <c r="U123">
        <f>IF([@motiv_anomalie]="","OK","DE INVESTIGAT")</f>
        <v/>
      </c>
      <c r="V123">
        <f>TEXTJOIN("; ",TRUE,[@flag_oras],[@flag_tva],[@flag_scadenta],[@flag_zi])</f>
        <v/>
      </c>
    </row>
    <row r="124">
      <c r="A124" t="inlineStr">
        <is>
          <t>F-2025-00123</t>
        </is>
      </c>
      <c r="B124" s="12" t="n">
        <v>46100</v>
      </c>
      <c r="C124" t="inlineStr">
        <is>
          <t>SC METALPLAST INVEST SA</t>
        </is>
      </c>
      <c r="D124" t="inlineStr">
        <is>
          <t>Cluj</t>
        </is>
      </c>
      <c r="E124" t="inlineStr">
        <is>
          <t>PRD-013</t>
        </is>
      </c>
      <c r="F124" t="inlineStr">
        <is>
          <t>Monitor 27" 4K</t>
        </is>
      </c>
      <c r="G124" t="inlineStr">
        <is>
          <t>Hardware IT</t>
        </is>
      </c>
      <c r="H124" t="n">
        <v>1</v>
      </c>
      <c r="I124" t="n">
        <v>1218.02</v>
      </c>
      <c r="J124" t="n">
        <v>1218.02</v>
      </c>
      <c r="K124" s="13" t="n">
        <v>0.19</v>
      </c>
      <c r="L124" t="n">
        <v>231.42</v>
      </c>
      <c r="M124" t="n">
        <v>1449.44</v>
      </c>
      <c r="N124" t="inlineStr">
        <is>
          <t>RON</t>
        </is>
      </c>
      <c r="O124" t="inlineStr">
        <is>
          <t>Turda</t>
        </is>
      </c>
      <c r="P124" s="12" t="n">
        <v>46130</v>
      </c>
      <c r="Q124">
        <f>IF(COUNTIF(tbl_Localitati[oras_oficial],[@oras])=0,"ORAS NEALINIAT",IF(XLOOKUP([@oras],tbl_Localitati[oras_oficial],tbl_Localitati[judet],"?")&lt;&gt;[@judet],"JUDET NECORESPUNZATOR",""))</f>
        <v/>
      </c>
      <c r="R124">
        <f>IF(XLOOKUP([@categorie],tbl_RegulriTVA[categorie],tbl_RegulriTVA[cota_legala],-1)&lt;&gt;[@cota_tva],"TVA GRESIT","")</f>
        <v/>
      </c>
      <c r="S124">
        <f>IF([@data_scadentei]&lt;[@data_factura],"SCADENTA INAINTEA FACTURII","")</f>
        <v/>
      </c>
      <c r="T124">
        <f>IF(NETWORKDAYS.INTL([@data_factura],[@data_factura],1,tbl_SarbatoriLegale[data])=0,"ZI NELUCRATOARE","")</f>
        <v/>
      </c>
      <c r="U124">
        <f>IF([@motiv_anomalie]="","OK","DE INVESTIGAT")</f>
        <v/>
      </c>
      <c r="V124">
        <f>TEXTJOIN("; ",TRUE,[@flag_oras],[@flag_tva],[@flag_scadenta],[@flag_zi])</f>
        <v/>
      </c>
    </row>
    <row r="125">
      <c r="A125" t="inlineStr">
        <is>
          <t>F-2025-00124</t>
        </is>
      </c>
      <c r="B125" s="12" t="n">
        <v>46329</v>
      </c>
      <c r="C125" t="inlineStr">
        <is>
          <t>SC OMEGA SOFT SRL</t>
        </is>
      </c>
      <c r="D125" t="inlineStr">
        <is>
          <t>Dolj</t>
        </is>
      </c>
      <c r="E125" t="inlineStr">
        <is>
          <t>PRD-004</t>
        </is>
      </c>
      <c r="F125" t="inlineStr">
        <is>
          <t>Licenta antivirus enterprise</t>
        </is>
      </c>
      <c r="G125" t="inlineStr">
        <is>
          <t>Licențe software</t>
        </is>
      </c>
      <c r="H125" t="n">
        <v>1</v>
      </c>
      <c r="I125" t="n">
        <v>939.12</v>
      </c>
      <c r="J125" t="n">
        <v>939.12</v>
      </c>
      <c r="K125" s="13" t="n">
        <v>0.19</v>
      </c>
      <c r="L125" t="n">
        <v>178.43</v>
      </c>
      <c r="M125" t="n">
        <v>1117.55</v>
      </c>
      <c r="N125" t="inlineStr">
        <is>
          <t>RON</t>
        </is>
      </c>
      <c r="O125" t="inlineStr">
        <is>
          <t>Craiova</t>
        </is>
      </c>
      <c r="P125" s="12" t="n">
        <v>46359</v>
      </c>
      <c r="Q125">
        <f>IF(COUNTIF(tbl_Localitati[oras_oficial],[@oras])=0,"ORAS NEALINIAT",IF(XLOOKUP([@oras],tbl_Localitati[oras_oficial],tbl_Localitati[judet],"?")&lt;&gt;[@judet],"JUDET NECORESPUNZATOR",""))</f>
        <v/>
      </c>
      <c r="R125">
        <f>IF(XLOOKUP([@categorie],tbl_RegulriTVA[categorie],tbl_RegulriTVA[cota_legala],-1)&lt;&gt;[@cota_tva],"TVA GRESIT","")</f>
        <v/>
      </c>
      <c r="S125">
        <f>IF([@data_scadentei]&lt;[@data_factura],"SCADENTA INAINTEA FACTURII","")</f>
        <v/>
      </c>
      <c r="T125">
        <f>IF(NETWORKDAYS.INTL([@data_factura],[@data_factura],1,tbl_SarbatoriLegale[data])=0,"ZI NELUCRATOARE","")</f>
        <v/>
      </c>
      <c r="U125">
        <f>IF([@motiv_anomalie]="","OK","DE INVESTIGAT")</f>
        <v/>
      </c>
      <c r="V125">
        <f>TEXTJOIN("; ",TRUE,[@flag_oras],[@flag_tva],[@flag_scadenta],[@flag_zi])</f>
        <v/>
      </c>
    </row>
    <row r="126">
      <c r="A126" t="inlineStr">
        <is>
          <t>F-2025-00125</t>
        </is>
      </c>
      <c r="B126" s="12" t="n">
        <v>46269</v>
      </c>
      <c r="C126" t="inlineStr">
        <is>
          <t>SC SOLARIS ENERGY SRL</t>
        </is>
      </c>
      <c r="D126" t="inlineStr">
        <is>
          <t>Prahova</t>
        </is>
      </c>
      <c r="E126" t="inlineStr">
        <is>
          <t>PRD-008</t>
        </is>
      </c>
      <c r="F126" t="inlineStr">
        <is>
          <t>Server rack 1U</t>
        </is>
      </c>
      <c r="G126" t="inlineStr">
        <is>
          <t>Hardware IT</t>
        </is>
      </c>
      <c r="H126" t="n">
        <v>5</v>
      </c>
      <c r="I126" t="n">
        <v>434.5</v>
      </c>
      <c r="J126" t="n">
        <v>2172.5</v>
      </c>
      <c r="K126" s="13" t="n">
        <v>0.19</v>
      </c>
      <c r="L126" t="n">
        <v>412.77</v>
      </c>
      <c r="M126" t="n">
        <v>2585.27</v>
      </c>
      <c r="N126" t="inlineStr">
        <is>
          <t>RON</t>
        </is>
      </c>
      <c r="O126" t="inlineStr">
        <is>
          <t>Câmpina</t>
        </is>
      </c>
      <c r="P126" s="12" t="n">
        <v>46299</v>
      </c>
      <c r="Q126">
        <f>IF(COUNTIF(tbl_Localitati[oras_oficial],[@oras])=0,"ORAS NEALINIAT",IF(XLOOKUP([@oras],tbl_Localitati[oras_oficial],tbl_Localitati[judet],"?")&lt;&gt;[@judet],"JUDET NECORESPUNZATOR",""))</f>
        <v/>
      </c>
      <c r="R126">
        <f>IF(XLOOKUP([@categorie],tbl_RegulriTVA[categorie],tbl_RegulriTVA[cota_legala],-1)&lt;&gt;[@cota_tva],"TVA GRESIT","")</f>
        <v/>
      </c>
      <c r="S126">
        <f>IF([@data_scadentei]&lt;[@data_factura],"SCADENTA INAINTEA FACTURII","")</f>
        <v/>
      </c>
      <c r="T126">
        <f>IF(NETWORKDAYS.INTL([@data_factura],[@data_factura],1,tbl_SarbatoriLegale[data])=0,"ZI NELUCRATOARE","")</f>
        <v/>
      </c>
      <c r="U126">
        <f>IF([@motiv_anomalie]="","OK","DE INVESTIGAT")</f>
        <v/>
      </c>
      <c r="V126">
        <f>TEXTJOIN("; ",TRUE,[@flag_oras],[@flag_tva],[@flag_scadenta],[@flag_zi])</f>
        <v/>
      </c>
    </row>
    <row r="127">
      <c r="A127" t="inlineStr">
        <is>
          <t>F-2025-00126</t>
        </is>
      </c>
      <c r="B127" s="12" t="n">
        <v>46132</v>
      </c>
      <c r="C127" t="inlineStr">
        <is>
          <t>SC DACTECH SOLUTIONS SRL</t>
        </is>
      </c>
      <c r="D127" t="inlineStr">
        <is>
          <t>Argeș</t>
        </is>
      </c>
      <c r="E127" t="inlineStr">
        <is>
          <t>PRD-007</t>
        </is>
      </c>
      <c r="F127" t="inlineStr">
        <is>
          <t>Licenta ERP contabilitate</t>
        </is>
      </c>
      <c r="G127" t="inlineStr">
        <is>
          <t>Licențe software</t>
        </is>
      </c>
      <c r="H127" t="n">
        <v>10</v>
      </c>
      <c r="I127" t="n">
        <v>180.38</v>
      </c>
      <c r="J127" t="n">
        <v>1803.8</v>
      </c>
      <c r="K127" s="13" t="n">
        <v>0.19</v>
      </c>
      <c r="L127" t="n">
        <v>342.72</v>
      </c>
      <c r="M127" t="n">
        <v>2146.52</v>
      </c>
      <c r="N127" t="inlineStr">
        <is>
          <t>RON</t>
        </is>
      </c>
      <c r="O127" t="inlineStr">
        <is>
          <t>Pitești</t>
        </is>
      </c>
      <c r="P127" s="12" t="n">
        <v>46147</v>
      </c>
      <c r="Q127">
        <f>IF(COUNTIF(tbl_Localitati[oras_oficial],[@oras])=0,"ORAS NEALINIAT",IF(XLOOKUP([@oras],tbl_Localitati[oras_oficial],tbl_Localitati[judet],"?")&lt;&gt;[@judet],"JUDET NECORESPUNZATOR",""))</f>
        <v/>
      </c>
      <c r="R127">
        <f>IF(XLOOKUP([@categorie],tbl_RegulriTVA[categorie],tbl_RegulriTVA[cota_legala],-1)&lt;&gt;[@cota_tva],"TVA GRESIT","")</f>
        <v/>
      </c>
      <c r="S127">
        <f>IF([@data_scadentei]&lt;[@data_factura],"SCADENTA INAINTEA FACTURII","")</f>
        <v/>
      </c>
      <c r="T127">
        <f>IF(NETWORKDAYS.INTL([@data_factura],[@data_factura],1,tbl_SarbatoriLegale[data])=0,"ZI NELUCRATOARE","")</f>
        <v/>
      </c>
      <c r="U127">
        <f>IF([@motiv_anomalie]="","OK","DE INVESTIGAT")</f>
        <v/>
      </c>
      <c r="V127">
        <f>TEXTJOIN("; ",TRUE,[@flag_oras],[@flag_tva],[@flag_scadenta],[@flag_zi])</f>
        <v/>
      </c>
    </row>
    <row r="128">
      <c r="A128" t="inlineStr">
        <is>
          <t>F-2025-00127</t>
        </is>
      </c>
      <c r="B128" s="12" t="n">
        <v>46265</v>
      </c>
      <c r="C128" t="inlineStr">
        <is>
          <t>SC UNIFOOD DISTRIBUTION SA</t>
        </is>
      </c>
      <c r="D128" t="inlineStr">
        <is>
          <t>Sibiu</t>
        </is>
      </c>
      <c r="E128" t="inlineStr">
        <is>
          <t>PRD-004</t>
        </is>
      </c>
      <c r="F128" t="inlineStr">
        <is>
          <t>Abonament suita cloud</t>
        </is>
      </c>
      <c r="G128" t="inlineStr">
        <is>
          <t>Licențe software</t>
        </is>
      </c>
      <c r="H128" t="n">
        <v>10</v>
      </c>
      <c r="I128" t="n">
        <v>892.9400000000001</v>
      </c>
      <c r="J128" t="n">
        <v>8929.4</v>
      </c>
      <c r="K128" s="13" t="n">
        <v>0.19</v>
      </c>
      <c r="L128" t="n">
        <v>1696.59</v>
      </c>
      <c r="M128" t="n">
        <v>10625.99</v>
      </c>
      <c r="N128" t="inlineStr">
        <is>
          <t>RON</t>
        </is>
      </c>
      <c r="O128" t="inlineStr">
        <is>
          <t>Mediaș</t>
        </is>
      </c>
      <c r="P128" s="12" t="n">
        <v>46310</v>
      </c>
      <c r="Q128">
        <f>IF(COUNTIF(tbl_Localitati[oras_oficial],[@oras])=0,"ORAS NEALINIAT",IF(XLOOKUP([@oras],tbl_Localitati[oras_oficial],tbl_Localitati[judet],"?")&lt;&gt;[@judet],"JUDET NECORESPUNZATOR",""))</f>
        <v/>
      </c>
      <c r="R128">
        <f>IF(XLOOKUP([@categorie],tbl_RegulriTVA[categorie],tbl_RegulriTVA[cota_legala],-1)&lt;&gt;[@cota_tva],"TVA GRESIT","")</f>
        <v/>
      </c>
      <c r="S128">
        <f>IF([@data_scadentei]&lt;[@data_factura],"SCADENTA INAINTEA FACTURII","")</f>
        <v/>
      </c>
      <c r="T128">
        <f>IF(NETWORKDAYS.INTL([@data_factura],[@data_factura],1,tbl_SarbatoriLegale[data])=0,"ZI NELUCRATOARE","")</f>
        <v/>
      </c>
      <c r="U128">
        <f>IF([@motiv_anomalie]="","OK","DE INVESTIGAT")</f>
        <v/>
      </c>
      <c r="V128">
        <f>TEXTJOIN("; ",TRUE,[@flag_oras],[@flag_tva],[@flag_scadenta],[@flag_zi])</f>
        <v/>
      </c>
    </row>
    <row r="129">
      <c r="A129" t="inlineStr">
        <is>
          <t>F-2025-00128</t>
        </is>
      </c>
      <c r="B129" s="12" t="n">
        <v>46336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Pachet protocol sedinte</t>
        </is>
      </c>
      <c r="G129" t="inlineStr">
        <is>
          <t>Alimente</t>
        </is>
      </c>
      <c r="H129" t="n">
        <v>5</v>
      </c>
      <c r="I129" t="n">
        <v>42.87</v>
      </c>
      <c r="J129" t="n">
        <v>214.35</v>
      </c>
      <c r="K129" s="13" t="n">
        <v>0.09</v>
      </c>
      <c r="L129" t="n">
        <v>19.29</v>
      </c>
      <c r="M129" t="n">
        <v>233.64</v>
      </c>
      <c r="N129" t="inlineStr">
        <is>
          <t>RON</t>
        </is>
      </c>
      <c r="O129" t="inlineStr">
        <is>
          <t>Sibiu</t>
        </is>
      </c>
      <c r="P129" s="12" t="n">
        <v>46381</v>
      </c>
      <c r="Q129">
        <f>IF(COUNTIF(tbl_Localitati[oras_oficial],[@oras])=0,"ORAS NEALINIAT",IF(XLOOKUP([@oras],tbl_Localitati[oras_oficial],tbl_Localitati[judet],"?")&lt;&gt;[@judet],"JUDET NECORESPUNZATOR",""))</f>
        <v/>
      </c>
      <c r="R129">
        <f>IF(XLOOKUP([@categorie],tbl_RegulriTVA[categorie],tbl_RegulriTVA[cota_legala],-1)&lt;&gt;[@cota_tva],"TVA GRESIT","")</f>
        <v/>
      </c>
      <c r="S129">
        <f>IF([@data_scadentei]&lt;[@data_factura],"SCADENTA INAINTEA FACTURII","")</f>
        <v/>
      </c>
      <c r="T129">
        <f>IF(NETWORKDAYS.INTL([@data_factura],[@data_factura],1,tbl_SarbatoriLegale[data])=0,"ZI NELUCRATOARE","")</f>
        <v/>
      </c>
      <c r="U129">
        <f>IF([@motiv_anomalie]="","OK","DE INVESTIGAT")</f>
        <v/>
      </c>
      <c r="V129">
        <f>TEXTJOIN("; ",TRUE,[@flag_oras],[@flag_tva],[@flag_scadenta],[@flag_zi])</f>
        <v/>
      </c>
    </row>
    <row r="130">
      <c r="A130" t="inlineStr">
        <is>
          <t>F-2025-00129</t>
        </is>
      </c>
      <c r="B130" s="12" t="n">
        <v>46070</v>
      </c>
      <c r="C130" t="inlineStr">
        <is>
          <t>SC DACTECH SOLUTIONS SRL</t>
        </is>
      </c>
      <c r="D130" t="inlineStr">
        <is>
          <t>Argeș</t>
        </is>
      </c>
      <c r="E130" t="inlineStr">
        <is>
          <t>PRD-008</t>
        </is>
      </c>
      <c r="F130" t="inlineStr">
        <is>
          <t>Statie de lucru desktop</t>
        </is>
      </c>
      <c r="G130" t="inlineStr">
        <is>
          <t>Hardware IT</t>
        </is>
      </c>
      <c r="H130" t="n">
        <v>25</v>
      </c>
      <c r="I130" t="n">
        <v>463.33</v>
      </c>
      <c r="J130" t="n">
        <v>11583.25</v>
      </c>
      <c r="K130" s="13" t="n">
        <v>0.19</v>
      </c>
      <c r="L130" t="n">
        <v>2200.82</v>
      </c>
      <c r="M130" t="n">
        <v>13784.07</v>
      </c>
      <c r="N130" t="inlineStr">
        <is>
          <t>RON</t>
        </is>
      </c>
      <c r="O130" t="inlineStr">
        <is>
          <t>Pitești</t>
        </is>
      </c>
      <c r="P130" s="12" t="n">
        <v>46100</v>
      </c>
      <c r="Q130">
        <f>IF(COUNTIF(tbl_Localitati[oras_oficial],[@oras])=0,"ORAS NEALINIAT",IF(XLOOKUP([@oras],tbl_Localitati[oras_oficial],tbl_Localitati[judet],"?")&lt;&gt;[@judet],"JUDET NECORESPUNZATOR",""))</f>
        <v/>
      </c>
      <c r="R130">
        <f>IF(XLOOKUP([@categorie],tbl_RegulriTVA[categorie],tbl_RegulriTVA[cota_legala],-1)&lt;&gt;[@cota_tva],"TVA GRESIT","")</f>
        <v/>
      </c>
      <c r="S130">
        <f>IF([@data_scadentei]&lt;[@data_factura],"SCADENTA INAINTEA FACTURII","")</f>
        <v/>
      </c>
      <c r="T130">
        <f>IF(NETWORKDAYS.INTL([@data_factura],[@data_factura],1,tbl_SarbatoriLegale[data])=0,"ZI NELUCRATOARE","")</f>
        <v/>
      </c>
      <c r="U130">
        <f>IF([@motiv_anomalie]="","OK","DE INVESTIGAT")</f>
        <v/>
      </c>
      <c r="V130">
        <f>TEXTJOIN("; ",TRUE,[@flag_oras],[@flag_tva],[@flag_scadenta],[@flag_zi])</f>
        <v/>
      </c>
    </row>
    <row r="131">
      <c r="A131" t="inlineStr">
        <is>
          <t>F-2025-00130</t>
        </is>
      </c>
      <c r="B131" s="12" t="n">
        <v>46384</v>
      </c>
      <c r="C131" t="inlineStr">
        <is>
          <t>SC NORDIS DISTRIBUTIE SRL</t>
        </is>
      </c>
      <c r="D131" t="inlineStr">
        <is>
          <t>Constanța</t>
        </is>
      </c>
      <c r="E131" t="inlineStr">
        <is>
          <t>PRD-007</t>
        </is>
      </c>
      <c r="F131" t="inlineStr">
        <is>
          <t>Consultanta implementare IT</t>
        </is>
      </c>
      <c r="G131" t="inlineStr">
        <is>
          <t>Servicii consultanță</t>
        </is>
      </c>
      <c r="H131" t="n">
        <v>5</v>
      </c>
      <c r="I131" t="n">
        <v>171.52</v>
      </c>
      <c r="J131" t="n">
        <v>857.6</v>
      </c>
      <c r="K131" s="13" t="n">
        <v>0.19</v>
      </c>
      <c r="L131" t="n">
        <v>162.94</v>
      </c>
      <c r="M131" t="n">
        <v>1020.54</v>
      </c>
      <c r="N131" t="inlineStr">
        <is>
          <t>RON</t>
        </is>
      </c>
      <c r="O131" t="inlineStr">
        <is>
          <t>Mangalia</t>
        </is>
      </c>
      <c r="P131" s="12" t="n">
        <v>46414</v>
      </c>
      <c r="Q131">
        <f>IF(COUNTIF(tbl_Localitati[oras_oficial],[@oras])=0,"ORAS NEALINIAT",IF(XLOOKUP([@oras],tbl_Localitati[oras_oficial],tbl_Localitati[judet],"?")&lt;&gt;[@judet],"JUDET NECORESPUNZATOR",""))</f>
        <v/>
      </c>
      <c r="R131">
        <f>IF(XLOOKUP([@categorie],tbl_RegulriTVA[categorie],tbl_RegulriTVA[cota_legala],-1)&lt;&gt;[@cota_tva],"TVA GRESIT","")</f>
        <v/>
      </c>
      <c r="S131">
        <f>IF([@data_scadentei]&lt;[@data_factura],"SCADENTA INAINTEA FACTURII","")</f>
        <v/>
      </c>
      <c r="T131">
        <f>IF(NETWORKDAYS.INTL([@data_factura],[@data_factura],1,tbl_SarbatoriLegale[data])=0,"ZI NELUCRATOARE","")</f>
        <v/>
      </c>
      <c r="U131">
        <f>IF([@motiv_anomalie]="","OK","DE INVESTIGAT")</f>
        <v/>
      </c>
      <c r="V131">
        <f>TEXTJOIN("; ",TRUE,[@flag_oras],[@flag_tva],[@flag_scadenta],[@flag_zi])</f>
        <v/>
      </c>
    </row>
    <row r="132">
      <c r="A132" t="inlineStr">
        <is>
          <t>F-2025-00131</t>
        </is>
      </c>
      <c r="B132" s="12" t="n">
        <v>46247</v>
      </c>
      <c r="C132" t="inlineStr">
        <is>
          <t>SC PROVITA MEDICAL SRL</t>
        </is>
      </c>
      <c r="D132" t="inlineStr">
        <is>
          <t>Mureș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 IT</t>
        </is>
      </c>
      <c r="H132" t="n">
        <v>3</v>
      </c>
      <c r="I132" t="n">
        <v>1075.41</v>
      </c>
      <c r="J132" t="n">
        <v>3226.23</v>
      </c>
      <c r="K132" s="13" t="n">
        <v>0.19</v>
      </c>
      <c r="L132" t="n">
        <v>612.98</v>
      </c>
      <c r="M132" t="n">
        <v>3839.21</v>
      </c>
      <c r="N132" t="inlineStr">
        <is>
          <t>RON</t>
        </is>
      </c>
      <c r="O132" t="inlineStr">
        <is>
          <t>Târgu Mureș</t>
        </is>
      </c>
      <c r="P132" s="12" t="n">
        <v>46277</v>
      </c>
      <c r="Q132">
        <f>IF(COUNTIF(tbl_Localitati[oras_oficial],[@oras])=0,"ORAS NEALINIAT",IF(XLOOKUP([@oras],tbl_Localitati[oras_oficial],tbl_Localitati[judet],"?")&lt;&gt;[@judet],"JUDET NECORESPUNZATOR",""))</f>
        <v/>
      </c>
      <c r="R132">
        <f>IF(XLOOKUP([@categorie],tbl_RegulriTVA[categorie],tbl_RegulriTVA[cota_legala],-1)&lt;&gt;[@cota_tva],"TVA GRESIT","")</f>
        <v/>
      </c>
      <c r="S132">
        <f>IF([@data_scadentei]&lt;[@data_factura],"SCADENTA INAINTEA FACTURII","")</f>
        <v/>
      </c>
      <c r="T132">
        <f>IF(NETWORKDAYS.INTL([@data_factura],[@data_factura],1,tbl_SarbatoriLegale[data])=0,"ZI NELUCRATOARE","")</f>
        <v/>
      </c>
      <c r="U132">
        <f>IF([@motiv_anomalie]="","OK","DE INVESTIGAT")</f>
        <v/>
      </c>
      <c r="V132">
        <f>TEXTJOIN("; ",TRUE,[@flag_oras],[@flag_tva],[@flag_scadenta],[@flag_zi])</f>
        <v/>
      </c>
    </row>
    <row r="133">
      <c r="A133" t="inlineStr">
        <is>
          <t>F-2025-00132</t>
        </is>
      </c>
      <c r="B133" s="12" t="n">
        <v>46316</v>
      </c>
      <c r="C133" t="inlineStr">
        <is>
          <t>SC NORDIS DISTRIBUTIE SRL</t>
        </is>
      </c>
      <c r="D133" t="inlineStr">
        <is>
          <t>Constanța</t>
        </is>
      </c>
      <c r="E133" t="inlineStr">
        <is>
          <t>PRD-010</t>
        </is>
      </c>
      <c r="F133" t="inlineStr">
        <is>
          <t>Termometru digital</t>
        </is>
      </c>
      <c r="G133" t="inlineStr">
        <is>
          <t>Produse farmaceutice</t>
        </is>
      </c>
      <c r="H133" t="n">
        <v>20</v>
      </c>
      <c r="I133" t="n">
        <v>348.93</v>
      </c>
      <c r="J133" t="n">
        <v>6978.6</v>
      </c>
      <c r="K133" s="13" t="n">
        <v>0.09</v>
      </c>
      <c r="L133" t="n">
        <v>628.0700000000001</v>
      </c>
      <c r="M133" t="n">
        <v>7606.67</v>
      </c>
      <c r="N133" t="inlineStr">
        <is>
          <t>RON</t>
        </is>
      </c>
      <c r="O133" t="inlineStr">
        <is>
          <t>Mangalia</t>
        </is>
      </c>
      <c r="P133" s="12" t="n">
        <v>46346</v>
      </c>
      <c r="Q133">
        <f>IF(COUNTIF(tbl_Localitati[oras_oficial],[@oras])=0,"ORAS NEALINIAT",IF(XLOOKUP([@oras],tbl_Localitati[oras_oficial],tbl_Localitati[judet],"?")&lt;&gt;[@judet],"JUDET NECORESPUNZATOR",""))</f>
        <v/>
      </c>
      <c r="R133">
        <f>IF(XLOOKUP([@categorie],tbl_RegulriTVA[categorie],tbl_RegulriTVA[cota_legala],-1)&lt;&gt;[@cota_tva],"TVA GRESIT","")</f>
        <v/>
      </c>
      <c r="S133">
        <f>IF([@data_scadentei]&lt;[@data_factura],"SCADENTA INAINTEA FACTURII","")</f>
        <v/>
      </c>
      <c r="T133">
        <f>IF(NETWORKDAYS.INTL([@data_factura],[@data_factura],1,tbl_SarbatoriLegale[data])=0,"ZI NELUCRATOARE","")</f>
        <v/>
      </c>
      <c r="U133">
        <f>IF([@motiv_anomalie]="","OK","DE INVESTIGAT")</f>
        <v/>
      </c>
      <c r="V133">
        <f>TEXTJOIN("; ",TRUE,[@flag_oras],[@flag_tva],[@flag_scadenta],[@flag_zi])</f>
        <v/>
      </c>
    </row>
    <row r="134">
      <c r="A134" t="inlineStr">
        <is>
          <t>F-2025-00133</t>
        </is>
      </c>
      <c r="B134" s="12" t="n">
        <v>46217</v>
      </c>
      <c r="C134" t="inlineStr">
        <is>
          <t>SC INTEGROMED SA</t>
        </is>
      </c>
      <c r="D134" t="inlineStr">
        <is>
          <t>Cluj</t>
        </is>
      </c>
      <c r="E134" t="inlineStr">
        <is>
          <t>PRD-007</t>
        </is>
      </c>
      <c r="F134" t="inlineStr">
        <is>
          <t>Training utilizatori</t>
        </is>
      </c>
      <c r="G134" t="inlineStr">
        <is>
          <t>Servicii consultanță</t>
        </is>
      </c>
      <c r="H134" t="n">
        <v>10</v>
      </c>
      <c r="I134" t="n">
        <v>184.96</v>
      </c>
      <c r="J134" t="n">
        <v>1849.6</v>
      </c>
      <c r="K134" s="13" t="n">
        <v>0.19</v>
      </c>
      <c r="L134" t="n">
        <v>351.42</v>
      </c>
      <c r="M134" t="n">
        <v>2201.02</v>
      </c>
      <c r="N134" t="inlineStr">
        <is>
          <t>RON</t>
        </is>
      </c>
      <c r="O134" t="inlineStr">
        <is>
          <t>Cluj-Napoca</t>
        </is>
      </c>
      <c r="P134" s="12" t="n">
        <v>46232</v>
      </c>
      <c r="Q134">
        <f>IF(COUNTIF(tbl_Localitati[oras_oficial],[@oras])=0,"ORAS NEALINIAT",IF(XLOOKUP([@oras],tbl_Localitati[oras_oficial],tbl_Localitati[judet],"?")&lt;&gt;[@judet],"JUDET NECORESPUNZATOR",""))</f>
        <v/>
      </c>
      <c r="R134">
        <f>IF(XLOOKUP([@categorie],tbl_RegulriTVA[categorie],tbl_RegulriTVA[cota_legala],-1)&lt;&gt;[@cota_tva],"TVA GRESIT","")</f>
        <v/>
      </c>
      <c r="S134">
        <f>IF([@data_scadentei]&lt;[@data_factura],"SCADENTA INAINTEA FACTURII","")</f>
        <v/>
      </c>
      <c r="T134">
        <f>IF(NETWORKDAYS.INTL([@data_factura],[@data_factura],1,tbl_SarbatoriLegale[data])=0,"ZI NELUCRATOARE","")</f>
        <v/>
      </c>
      <c r="U134">
        <f>IF([@motiv_anomalie]="","OK","DE INVESTIGAT")</f>
        <v/>
      </c>
      <c r="V134">
        <f>TEXTJOIN("; ",TRUE,[@flag_oras],[@flag_tva],[@flag_scadenta],[@flag_zi])</f>
        <v/>
      </c>
    </row>
    <row r="135">
      <c r="A135" t="inlineStr">
        <is>
          <t>F-2025-00134</t>
        </is>
      </c>
      <c r="B135" s="12" t="n">
        <v>46097</v>
      </c>
      <c r="C135" t="inlineStr">
        <is>
          <t>SC ELECTROBUILD SRL</t>
        </is>
      </c>
      <c r="D135" t="inlineStr">
        <is>
          <t>Bacău</t>
        </is>
      </c>
      <c r="E135" t="inlineStr">
        <is>
          <t>PRD-010</t>
        </is>
      </c>
      <c r="F135" t="inlineStr">
        <is>
          <t>Consultanta implementare IT</t>
        </is>
      </c>
      <c r="G135" t="inlineStr">
        <is>
          <t>Servicii consultanță</t>
        </is>
      </c>
      <c r="H135" t="n">
        <v>20</v>
      </c>
      <c r="I135" t="n">
        <v>366.8</v>
      </c>
      <c r="J135" t="n">
        <v>7336</v>
      </c>
      <c r="K135" s="13" t="n">
        <v>0.19</v>
      </c>
      <c r="L135" t="n">
        <v>1393.84</v>
      </c>
      <c r="M135" t="n">
        <v>8729.84</v>
      </c>
      <c r="N135" t="inlineStr">
        <is>
          <t>RON</t>
        </is>
      </c>
      <c r="O135" t="inlineStr">
        <is>
          <t>Bacău</t>
        </is>
      </c>
      <c r="P135" s="12" t="n">
        <v>46127</v>
      </c>
      <c r="Q135">
        <f>IF(COUNTIF(tbl_Localitati[oras_oficial],[@oras])=0,"ORAS NEALINIAT",IF(XLOOKUP([@oras],tbl_Localitati[oras_oficial],tbl_Localitati[judet],"?")&lt;&gt;[@judet],"JUDET NECORESPUNZATOR",""))</f>
        <v/>
      </c>
      <c r="R135">
        <f>IF(XLOOKUP([@categorie],tbl_RegulriTVA[categorie],tbl_RegulriTVA[cota_legala],-1)&lt;&gt;[@cota_tva],"TVA GRESIT","")</f>
        <v/>
      </c>
      <c r="S135">
        <f>IF([@data_scadentei]&lt;[@data_factura],"SCADENTA INAINTEA FACTURII","")</f>
        <v/>
      </c>
      <c r="T135">
        <f>IF(NETWORKDAYS.INTL([@data_factura],[@data_factura],1,tbl_SarbatoriLegale[data])=0,"ZI NELUCRATOARE","")</f>
        <v/>
      </c>
      <c r="U135">
        <f>IF([@motiv_anomalie]="","OK","DE INVESTIGAT")</f>
        <v/>
      </c>
      <c r="V135">
        <f>TEXTJOIN("; ",TRUE,[@flag_oras],[@flag_tva],[@flag_scadenta],[@flag_zi])</f>
        <v/>
      </c>
    </row>
    <row r="136">
      <c r="A136" t="inlineStr">
        <is>
          <t>F-2025-00135</t>
        </is>
      </c>
      <c r="B136" s="12" t="n">
        <v>46190</v>
      </c>
      <c r="C136" t="inlineStr">
        <is>
          <t>SC ELECTROBUILD SRL</t>
        </is>
      </c>
      <c r="D136" t="inlineStr">
        <is>
          <t>Bacău</t>
        </is>
      </c>
      <c r="E136" t="inlineStr">
        <is>
          <t>PRD-001</t>
        </is>
      </c>
      <c r="F136" t="inlineStr">
        <is>
          <t>Dezinfectant maini 5L</t>
        </is>
      </c>
      <c r="G136" t="inlineStr">
        <is>
          <t>Produse farmaceutice</t>
        </is>
      </c>
      <c r="H136" t="n">
        <v>1</v>
      </c>
      <c r="I136" t="n">
        <v>2443.7</v>
      </c>
      <c r="J136" t="n">
        <v>2443.7</v>
      </c>
      <c r="K136" s="13" t="n">
        <v>0.09</v>
      </c>
      <c r="L136" t="n">
        <v>219.93</v>
      </c>
      <c r="M136" t="n">
        <v>2663.63</v>
      </c>
      <c r="N136" t="inlineStr">
        <is>
          <t>RON</t>
        </is>
      </c>
      <c r="O136" t="inlineStr">
        <is>
          <t>Bacău</t>
        </is>
      </c>
      <c r="P136" s="12" t="n">
        <v>46205</v>
      </c>
      <c r="Q136">
        <f>IF(COUNTIF(tbl_Localitati[oras_oficial],[@oras])=0,"ORAS NEALINIAT",IF(XLOOKUP([@oras],tbl_Localitati[oras_oficial],tbl_Localitati[judet],"?")&lt;&gt;[@judet],"JUDET NECORESPUNZATOR",""))</f>
        <v/>
      </c>
      <c r="R136">
        <f>IF(XLOOKUP([@categorie],tbl_RegulriTVA[categorie],tbl_RegulriTVA[cota_legala],-1)&lt;&gt;[@cota_tva],"TVA GRESIT","")</f>
        <v/>
      </c>
      <c r="S136">
        <f>IF([@data_scadentei]&lt;[@data_factura],"SCADENTA INAINTEA FACTURII","")</f>
        <v/>
      </c>
      <c r="T136">
        <f>IF(NETWORKDAYS.INTL([@data_factura],[@data_factura],1,tbl_SarbatoriLegale[data])=0,"ZI NELUCRATOARE","")</f>
        <v/>
      </c>
      <c r="U136">
        <f>IF([@motiv_anomalie]="","OK","DE INVESTIGAT")</f>
        <v/>
      </c>
      <c r="V136">
        <f>TEXTJOIN("; ",TRUE,[@flag_oras],[@flag_tva],[@flag_scadenta],[@flag_zi])</f>
        <v/>
      </c>
    </row>
    <row r="137">
      <c r="A137" t="inlineStr">
        <is>
          <t>F-2025-00136</t>
        </is>
      </c>
      <c r="B137" s="12" t="n">
        <v>46189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Licenta ERP contabilitate</t>
        </is>
      </c>
      <c r="G137" t="inlineStr">
        <is>
          <t>Licențe software</t>
        </is>
      </c>
      <c r="H137" t="n">
        <v>5</v>
      </c>
      <c r="I137" t="n">
        <v>358.28</v>
      </c>
      <c r="J137" t="n">
        <v>1791.4</v>
      </c>
      <c r="K137" s="13" t="n">
        <v>0.19</v>
      </c>
      <c r="L137" t="n">
        <v>340.37</v>
      </c>
      <c r="M137" t="n">
        <v>2131.77</v>
      </c>
      <c r="N137" t="inlineStr">
        <is>
          <t>RON</t>
        </is>
      </c>
      <c r="O137" t="inlineStr">
        <is>
          <t>Sibiu</t>
        </is>
      </c>
      <c r="P137" s="12" t="n">
        <v>46204</v>
      </c>
      <c r="Q137">
        <f>IF(COUNTIF(tbl_Localitati[oras_oficial],[@oras])=0,"ORAS NEALINIAT",IF(XLOOKUP([@oras],tbl_Localitati[oras_oficial],tbl_Localitati[judet],"?")&lt;&gt;[@judet],"JUDET NECORESPUNZATOR",""))</f>
        <v/>
      </c>
      <c r="R137">
        <f>IF(XLOOKUP([@categorie],tbl_RegulriTVA[categorie],tbl_RegulriTVA[cota_legala],-1)&lt;&gt;[@cota_tva],"TVA GRESIT","")</f>
        <v/>
      </c>
      <c r="S137">
        <f>IF([@data_scadentei]&lt;[@data_factura],"SCADENTA INAINTEA FACTURII","")</f>
        <v/>
      </c>
      <c r="T137">
        <f>IF(NETWORKDAYS.INTL([@data_factura],[@data_factura],1,tbl_SarbatoriLegale[data])=0,"ZI NELUCRATOARE","")</f>
        <v/>
      </c>
      <c r="U137">
        <f>IF([@motiv_anomalie]="","OK","DE INVESTIGAT")</f>
        <v/>
      </c>
      <c r="V137">
        <f>TEXTJOIN("; ",TRUE,[@flag_oras],[@flag_tva],[@flag_scadenta],[@flag_zi])</f>
        <v/>
      </c>
    </row>
    <row r="138">
      <c r="A138" t="inlineStr">
        <is>
          <t>F-2025-00137</t>
        </is>
      </c>
      <c r="B138" s="12" t="n">
        <v>46146</v>
      </c>
      <c r="C138" t="inlineStr">
        <is>
          <t>SC PROVITA MEDICAL SRL</t>
        </is>
      </c>
      <c r="D138" t="inlineStr">
        <is>
          <t>Mureș</t>
        </is>
      </c>
      <c r="E138" t="inlineStr">
        <is>
          <t>PRD-009</t>
        </is>
      </c>
      <c r="F138" t="inlineStr">
        <is>
          <t>Cafea boabe 1kg</t>
        </is>
      </c>
      <c r="G138" t="inlineStr">
        <is>
          <t>Alimente</t>
        </is>
      </c>
      <c r="H138" t="n">
        <v>10</v>
      </c>
      <c r="I138" t="n">
        <v>27.05</v>
      </c>
      <c r="J138" t="n">
        <v>270.5</v>
      </c>
      <c r="K138" s="13" t="n">
        <v>0.09</v>
      </c>
      <c r="L138" t="n">
        <v>24.34</v>
      </c>
      <c r="M138" t="n">
        <v>294.84</v>
      </c>
      <c r="N138" t="inlineStr">
        <is>
          <t>RON</t>
        </is>
      </c>
      <c r="O138" t="inlineStr">
        <is>
          <t>Târgu Mureș</t>
        </is>
      </c>
      <c r="P138" s="12" t="n">
        <v>46206</v>
      </c>
      <c r="Q138">
        <f>IF(COUNTIF(tbl_Localitati[oras_oficial],[@oras])=0,"ORAS NEALINIAT",IF(XLOOKUP([@oras],tbl_Localitati[oras_oficial],tbl_Localitati[judet],"?")&lt;&gt;[@judet],"JUDET NECORESPUNZATOR",""))</f>
        <v/>
      </c>
      <c r="R138">
        <f>IF(XLOOKUP([@categorie],tbl_RegulriTVA[categorie],tbl_RegulriTVA[cota_legala],-1)&lt;&gt;[@cota_tva],"TVA GRESIT","")</f>
        <v/>
      </c>
      <c r="S138">
        <f>IF([@data_scadentei]&lt;[@data_factura],"SCADENTA INAINTEA FACTURII","")</f>
        <v/>
      </c>
      <c r="T138">
        <f>IF(NETWORKDAYS.INTL([@data_factura],[@data_factura],1,tbl_SarbatoriLegale[data])=0,"ZI NELUCRATOARE","")</f>
        <v/>
      </c>
      <c r="U138">
        <f>IF([@motiv_anomalie]="","OK","DE INVESTIGAT")</f>
        <v/>
      </c>
      <c r="V138">
        <f>TEXTJOIN("; ",TRUE,[@flag_oras],[@flag_tva],[@flag_scadenta],[@flag_zi])</f>
        <v/>
      </c>
    </row>
    <row r="139">
      <c r="A139" t="inlineStr">
        <is>
          <t>F-2025-00138</t>
        </is>
      </c>
      <c r="B139" s="12" t="n">
        <v>46359</v>
      </c>
      <c r="C139" t="inlineStr">
        <is>
          <t>SC INTEGROMED SA</t>
        </is>
      </c>
      <c r="D139" t="inlineStr">
        <is>
          <t>Cluj</t>
        </is>
      </c>
      <c r="E139" t="inlineStr">
        <is>
          <t>PRD-007</t>
        </is>
      </c>
      <c r="F139" t="inlineStr">
        <is>
          <t>Masti protectie cutie</t>
        </is>
      </c>
      <c r="G139" t="inlineStr">
        <is>
          <t>Produse farmaceutice</t>
        </is>
      </c>
      <c r="H139" t="n">
        <v>10</v>
      </c>
      <c r="I139" t="n">
        <v>183.2</v>
      </c>
      <c r="J139" t="n">
        <v>1832</v>
      </c>
      <c r="K139" s="13" t="n">
        <v>0.09</v>
      </c>
      <c r="L139" t="n">
        <v>164.88</v>
      </c>
      <c r="M139" t="n">
        <v>1996.88</v>
      </c>
      <c r="N139" t="inlineStr">
        <is>
          <t>RON</t>
        </is>
      </c>
      <c r="O139" t="inlineStr">
        <is>
          <t>Cluj-Napoca</t>
        </is>
      </c>
      <c r="P139" s="12" t="n">
        <v>46389</v>
      </c>
      <c r="Q139">
        <f>IF(COUNTIF(tbl_Localitati[oras_oficial],[@oras])=0,"ORAS NEALINIAT",IF(XLOOKUP([@oras],tbl_Localitati[oras_oficial],tbl_Localitati[judet],"?")&lt;&gt;[@judet],"JUDET NECORESPUNZATOR",""))</f>
        <v/>
      </c>
      <c r="R139">
        <f>IF(XLOOKUP([@categorie],tbl_RegulriTVA[categorie],tbl_RegulriTVA[cota_legala],-1)&lt;&gt;[@cota_tva],"TVA GRESIT","")</f>
        <v/>
      </c>
      <c r="S139">
        <f>IF([@data_scadentei]&lt;[@data_factura],"SCADENTA INAINTEA FACTURII","")</f>
        <v/>
      </c>
      <c r="T139">
        <f>IF(NETWORKDAYS.INTL([@data_factura],[@data_factura],1,tbl_SarbatoriLegale[data])=0,"ZI NELUCRATOARE","")</f>
        <v/>
      </c>
      <c r="U139">
        <f>IF([@motiv_anomalie]="","OK","DE INVESTIGAT")</f>
        <v/>
      </c>
      <c r="V139">
        <f>TEXTJOIN("; ",TRUE,[@flag_oras],[@flag_tva],[@flag_scadenta],[@flag_zi])</f>
        <v/>
      </c>
    </row>
    <row r="140">
      <c r="A140" t="inlineStr">
        <is>
          <t>F-2025-00139</t>
        </is>
      </c>
      <c r="B140" s="12" t="n">
        <v>46181</v>
      </c>
      <c r="C140" t="inlineStr">
        <is>
          <t>SC DACTECH SOLUTIONS SRL</t>
        </is>
      </c>
      <c r="D140" t="inlineStr">
        <is>
          <t>Argeș</t>
        </is>
      </c>
      <c r="E140" t="inlineStr">
        <is>
          <t>PRD-001</t>
        </is>
      </c>
      <c r="F140" t="inlineStr">
        <is>
          <t>Ceai cutie 100buc</t>
        </is>
      </c>
      <c r="G140" t="inlineStr">
        <is>
          <t>Alimente</t>
        </is>
      </c>
      <c r="H140" t="n">
        <v>3</v>
      </c>
      <c r="I140" t="n">
        <v>2432.91</v>
      </c>
      <c r="J140" t="n">
        <v>7298.73</v>
      </c>
      <c r="K140" s="13" t="n">
        <v>0.05</v>
      </c>
      <c r="L140" t="n">
        <v>364.94</v>
      </c>
      <c r="M140" t="n">
        <v>7663.67</v>
      </c>
      <c r="N140" t="inlineStr">
        <is>
          <t>RON</t>
        </is>
      </c>
      <c r="O140" t="inlineStr">
        <is>
          <t>Pitești</t>
        </is>
      </c>
      <c r="P140" s="12" t="n">
        <v>46211</v>
      </c>
      <c r="Q140">
        <f>IF(COUNTIF(tbl_Localitati[oras_oficial],[@oras])=0,"ORAS NEALINIAT",IF(XLOOKUP([@oras],tbl_Localitati[oras_oficial],tbl_Localitati[judet],"?")&lt;&gt;[@judet],"JUDET NECORESPUNZATOR",""))</f>
        <v/>
      </c>
      <c r="R140">
        <f>IF(XLOOKUP([@categorie],tbl_RegulriTVA[categorie],tbl_RegulriTVA[cota_legala],-1)&lt;&gt;[@cota_tva],"TVA GRESIT","")</f>
        <v/>
      </c>
      <c r="S140">
        <f>IF([@data_scadentei]&lt;[@data_factura],"SCADENTA INAINTEA FACTURII","")</f>
        <v/>
      </c>
      <c r="T140">
        <f>IF(NETWORKDAYS.INTL([@data_factura],[@data_factura],1,tbl_SarbatoriLegale[data])=0,"ZI NELUCRATOARE","")</f>
        <v/>
      </c>
      <c r="U140">
        <f>IF([@motiv_anomalie]="","OK","DE INVESTIGAT")</f>
        <v/>
      </c>
      <c r="V140">
        <f>TEXTJOIN("; ",TRUE,[@flag_oras],[@flag_tva],[@flag_scadenta],[@flag_zi])</f>
        <v/>
      </c>
    </row>
    <row r="141">
      <c r="A141" t="inlineStr">
        <is>
          <t>F-2025-00140</t>
        </is>
      </c>
      <c r="B141" s="12" t="n">
        <v>46136</v>
      </c>
      <c r="C141" t="inlineStr">
        <is>
          <t>SC VECTOR CONSULT SRL</t>
        </is>
      </c>
      <c r="D141" t="inlineStr">
        <is>
          <t>Timiș</t>
        </is>
      </c>
      <c r="E141" t="inlineStr">
        <is>
          <t>PRD-005</t>
        </is>
      </c>
      <c r="F141" t="inlineStr">
        <is>
          <t>Dezinfectant maini 5L</t>
        </is>
      </c>
      <c r="G141" t="inlineStr">
        <is>
          <t>Produse farmaceutice</t>
        </is>
      </c>
      <c r="H141" t="n">
        <v>1</v>
      </c>
      <c r="I141" t="n">
        <v>258.3</v>
      </c>
      <c r="J141" t="n">
        <v>258.3</v>
      </c>
      <c r="K141" s="13" t="n">
        <v>0.09</v>
      </c>
      <c r="L141" t="n">
        <v>23.25</v>
      </c>
      <c r="M141" t="n">
        <v>281.55</v>
      </c>
      <c r="N141" t="inlineStr">
        <is>
          <t>RON</t>
        </is>
      </c>
      <c r="O141" t="inlineStr">
        <is>
          <t>Timișoara</t>
        </is>
      </c>
      <c r="P141" s="12" t="n">
        <v>46181</v>
      </c>
      <c r="Q141">
        <f>IF(COUNTIF(tbl_Localitati[oras_oficial],[@oras])=0,"ORAS NEALINIAT",IF(XLOOKUP([@oras],tbl_Localitati[oras_oficial],tbl_Localitati[judet],"?")&lt;&gt;[@judet],"JUDET NECORESPUNZATOR",""))</f>
        <v/>
      </c>
      <c r="R141">
        <f>IF(XLOOKUP([@categorie],tbl_RegulriTVA[categorie],tbl_RegulriTVA[cota_legala],-1)&lt;&gt;[@cota_tva],"TVA GRESIT","")</f>
        <v/>
      </c>
      <c r="S141">
        <f>IF([@data_scadentei]&lt;[@data_factura],"SCADENTA INAINTEA FACTURII","")</f>
        <v/>
      </c>
      <c r="T141">
        <f>IF(NETWORKDAYS.INTL([@data_factura],[@data_factura],1,tbl_SarbatoriLegale[data])=0,"ZI NELUCRATOARE","")</f>
        <v/>
      </c>
      <c r="U141">
        <f>IF([@motiv_anomalie]="","OK","DE INVESTIGAT")</f>
        <v/>
      </c>
      <c r="V141">
        <f>TEXTJOIN("; ",TRUE,[@flag_oras],[@flag_tva],[@flag_scadenta],[@flag_zi])</f>
        <v/>
      </c>
    </row>
    <row r="142">
      <c r="A142" t="inlineStr">
        <is>
          <t>F-2025-00141</t>
        </is>
      </c>
      <c r="B142" s="12" t="n">
        <v>46184</v>
      </c>
      <c r="C142" t="inlineStr">
        <is>
          <t>SC AROMET TRADING SRL</t>
        </is>
      </c>
      <c r="D142" t="inlineStr">
        <is>
          <t>Sibiu</t>
        </is>
      </c>
      <c r="E142" t="inlineStr">
        <is>
          <t>PRD-001</t>
        </is>
      </c>
      <c r="F142" t="inlineStr">
        <is>
          <t>Server rack 1U</t>
        </is>
      </c>
      <c r="G142" t="inlineStr">
        <is>
          <t>Hardware IT</t>
        </is>
      </c>
      <c r="H142" t="n">
        <v>2</v>
      </c>
      <c r="I142" t="n">
        <v>2289.46</v>
      </c>
      <c r="J142" t="n">
        <v>4578.92</v>
      </c>
      <c r="K142" s="13" t="n">
        <v>0.09</v>
      </c>
      <c r="L142" t="n">
        <v>412.1</v>
      </c>
      <c r="M142" t="n">
        <v>4991.02</v>
      </c>
      <c r="N142" t="inlineStr">
        <is>
          <t>RON</t>
        </is>
      </c>
      <c r="O142" t="inlineStr">
        <is>
          <t>Alba Iulia</t>
        </is>
      </c>
      <c r="P142" s="12" t="n">
        <v>46244</v>
      </c>
      <c r="Q142">
        <f>IF(COUNTIF(tbl_Localitati[oras_oficial],[@oras])=0,"ORAS NEALINIAT",IF(XLOOKUP([@oras],tbl_Localitati[oras_oficial],tbl_Localitati[judet],"?")&lt;&gt;[@judet],"JUDET NECORESPUNZATOR",""))</f>
        <v/>
      </c>
      <c r="R142">
        <f>IF(XLOOKUP([@categorie],tbl_RegulriTVA[categorie],tbl_RegulriTVA[cota_legala],-1)&lt;&gt;[@cota_tva],"TVA GRESIT","")</f>
        <v/>
      </c>
      <c r="S142">
        <f>IF([@data_scadentei]&lt;[@data_factura],"SCADENTA INAINTEA FACTURII","")</f>
        <v/>
      </c>
      <c r="T142">
        <f>IF(NETWORKDAYS.INTL([@data_factura],[@data_factura],1,tbl_SarbatoriLegale[data])=0,"ZI NELUCRATOARE","")</f>
        <v/>
      </c>
      <c r="U142">
        <f>IF([@motiv_anomalie]="","OK","DE INVESTIGAT")</f>
        <v/>
      </c>
      <c r="V142">
        <f>TEXTJOIN("; ",TRUE,[@flag_oras],[@flag_tva],[@flag_scadenta],[@flag_zi])</f>
        <v/>
      </c>
    </row>
    <row r="143">
      <c r="A143" t="inlineStr">
        <is>
          <t>F-2025-00142</t>
        </is>
      </c>
      <c r="B143" s="12" t="n">
        <v>46302</v>
      </c>
      <c r="C143" t="inlineStr">
        <is>
          <t>SC AROMET TRADING SRL</t>
        </is>
      </c>
      <c r="D143" t="inlineStr">
        <is>
          <t>Alba</t>
        </is>
      </c>
      <c r="E143" t="inlineStr">
        <is>
          <t>PRD-004</t>
        </is>
      </c>
      <c r="F143" t="inlineStr">
        <is>
          <t>Pachet protocol sedinte</t>
        </is>
      </c>
      <c r="G143" t="inlineStr">
        <is>
          <t>Alimente</t>
        </is>
      </c>
      <c r="H143" t="n">
        <v>2</v>
      </c>
      <c r="I143" t="n">
        <v>887.83</v>
      </c>
      <c r="J143" t="n">
        <v>1775.66</v>
      </c>
      <c r="K143" s="13" t="n">
        <v>0.09</v>
      </c>
      <c r="L143" t="n">
        <v>159.81</v>
      </c>
      <c r="M143" t="n">
        <v>1935.47</v>
      </c>
      <c r="N143" t="inlineStr">
        <is>
          <t>RON</t>
        </is>
      </c>
      <c r="O143" t="inlineStr">
        <is>
          <t>Alba Iulia</t>
        </is>
      </c>
      <c r="P143" s="12" t="n">
        <v>46332</v>
      </c>
      <c r="Q143">
        <f>IF(COUNTIF(tbl_Localitati[oras_oficial],[@oras])=0,"ORAS NEALINIAT",IF(XLOOKUP([@oras],tbl_Localitati[oras_oficial],tbl_Localitati[judet],"?")&lt;&gt;[@judet],"JUDET NECORESPUNZATOR",""))</f>
        <v/>
      </c>
      <c r="R143">
        <f>IF(XLOOKUP([@categorie],tbl_RegulriTVA[categorie],tbl_RegulriTVA[cota_legala],-1)&lt;&gt;[@cota_tva],"TVA GRESIT","")</f>
        <v/>
      </c>
      <c r="S143">
        <f>IF([@data_scadentei]&lt;[@data_factura],"SCADENTA INAINTEA FACTURII","")</f>
        <v/>
      </c>
      <c r="T143">
        <f>IF(NETWORKDAYS.INTL([@data_factura],[@data_factura],1,tbl_SarbatoriLegale[data])=0,"ZI NELUCRATOARE","")</f>
        <v/>
      </c>
      <c r="U143">
        <f>IF([@motiv_anomalie]="","OK","DE INVESTIGAT")</f>
        <v/>
      </c>
      <c r="V143">
        <f>TEXTJOIN("; ",TRUE,[@flag_oras],[@flag_tva],[@flag_scadenta],[@flag_zi])</f>
        <v/>
      </c>
    </row>
    <row r="144">
      <c r="A144" t="inlineStr">
        <is>
          <t>F-2025-00143</t>
        </is>
      </c>
      <c r="B144" s="12" t="n">
        <v>46231</v>
      </c>
      <c r="C144" t="inlineStr">
        <is>
          <t>SC SOLARIS ENERGY SRL</t>
        </is>
      </c>
      <c r="D144" t="inlineStr">
        <is>
          <t>Prahova</t>
        </is>
      </c>
      <c r="E144" t="inlineStr">
        <is>
          <t>PRD-001</t>
        </is>
      </c>
      <c r="F144" t="inlineStr">
        <is>
          <t>Videoproiector sala</t>
        </is>
      </c>
      <c r="G144" t="inlineStr">
        <is>
          <t>Echipamente birou</t>
        </is>
      </c>
      <c r="H144" t="n">
        <v>3</v>
      </c>
      <c r="I144" t="n">
        <v>2449.25</v>
      </c>
      <c r="J144" t="n">
        <v>7347.75</v>
      </c>
      <c r="K144" s="13" t="n">
        <v>0.19</v>
      </c>
      <c r="L144" t="n">
        <v>1396.07</v>
      </c>
      <c r="M144" t="n">
        <v>8743.82</v>
      </c>
      <c r="N144" t="inlineStr">
        <is>
          <t>RON</t>
        </is>
      </c>
      <c r="O144" t="inlineStr">
        <is>
          <t>Câmpina</t>
        </is>
      </c>
      <c r="P144" s="12" t="n">
        <v>46246</v>
      </c>
      <c r="Q144">
        <f>IF(COUNTIF(tbl_Localitati[oras_oficial],[@oras])=0,"ORAS NEALINIAT",IF(XLOOKUP([@oras],tbl_Localitati[oras_oficial],tbl_Localitati[judet],"?")&lt;&gt;[@judet],"JUDET NECORESPUNZATOR",""))</f>
        <v/>
      </c>
      <c r="R144">
        <f>IF(XLOOKUP([@categorie],tbl_RegulriTVA[categorie],tbl_RegulriTVA[cota_legala],-1)&lt;&gt;[@cota_tva],"TVA GRESIT","")</f>
        <v/>
      </c>
      <c r="S144">
        <f>IF([@data_scadentei]&lt;[@data_factura],"SCADENTA INAINTEA FACTURII","")</f>
        <v/>
      </c>
      <c r="T144">
        <f>IF(NETWORKDAYS.INTL([@data_factura],[@data_factura],1,tbl_SarbatoriLegale[data])=0,"ZI NELUCRATOARE","")</f>
        <v/>
      </c>
      <c r="U144">
        <f>IF([@motiv_anomalie]="","OK","DE INVESTIGAT")</f>
        <v/>
      </c>
      <c r="V144">
        <f>TEXTJOIN("; ",TRUE,[@flag_oras],[@flag_tva],[@flag_scadenta],[@flag_zi])</f>
        <v/>
      </c>
    </row>
    <row r="145">
      <c r="A145" t="inlineStr">
        <is>
          <t>F-2025-00144</t>
        </is>
      </c>
      <c r="B145" s="12" t="n">
        <v>46104</v>
      </c>
      <c r="C145" t="inlineStr">
        <is>
          <t>SC INTEGROMED SA</t>
        </is>
      </c>
      <c r="D145" t="inlineStr">
        <is>
          <t>Cluj</t>
        </is>
      </c>
      <c r="E145" t="inlineStr">
        <is>
          <t>PRD-008</t>
        </is>
      </c>
      <c r="F145" t="inlineStr">
        <is>
          <t>Licenta ERP contabilitate</t>
        </is>
      </c>
      <c r="G145" t="inlineStr">
        <is>
          <t>Licențe software</t>
        </is>
      </c>
      <c r="H145" t="n">
        <v>5</v>
      </c>
      <c r="I145" t="n">
        <v>453.74</v>
      </c>
      <c r="J145" t="n">
        <v>2268.7</v>
      </c>
      <c r="K145" s="13" t="n">
        <v>0.19</v>
      </c>
      <c r="L145" t="n">
        <v>431.05</v>
      </c>
      <c r="M145" t="n">
        <v>2699.75</v>
      </c>
      <c r="N145" t="inlineStr">
        <is>
          <t>RON</t>
        </is>
      </c>
      <c r="O145" t="inlineStr">
        <is>
          <t>Cluj-Napoca</t>
        </is>
      </c>
      <c r="P145" s="12" t="n">
        <v>46134</v>
      </c>
      <c r="Q145">
        <f>IF(COUNTIF(tbl_Localitati[oras_oficial],[@oras])=0,"ORAS NEALINIAT",IF(XLOOKUP([@oras],tbl_Localitati[oras_oficial],tbl_Localitati[judet],"?")&lt;&gt;[@judet],"JUDET NECORESPUNZATOR",""))</f>
        <v/>
      </c>
      <c r="R145">
        <f>IF(XLOOKUP([@categorie],tbl_RegulriTVA[categorie],tbl_RegulriTVA[cota_legala],-1)&lt;&gt;[@cota_tva],"TVA GRESIT","")</f>
        <v/>
      </c>
      <c r="S145">
        <f>IF([@data_scadentei]&lt;[@data_factura],"SCADENTA INAINTEA FACTURII","")</f>
        <v/>
      </c>
      <c r="T145">
        <f>IF(NETWORKDAYS.INTL([@data_factura],[@data_factura],1,tbl_SarbatoriLegale[data])=0,"ZI NELUCRATOARE","")</f>
        <v/>
      </c>
      <c r="U145">
        <f>IF([@motiv_anomalie]="","OK","DE INVESTIGAT")</f>
        <v/>
      </c>
      <c r="V145">
        <f>TEXTJOIN("; ",TRUE,[@flag_oras],[@flag_tva],[@flag_scadenta],[@flag_zi])</f>
        <v/>
      </c>
    </row>
    <row r="146">
      <c r="A146" t="inlineStr">
        <is>
          <t>F-2025-00145</t>
        </is>
      </c>
      <c r="B146" s="12" t="n">
        <v>46192</v>
      </c>
      <c r="C146" t="inlineStr">
        <is>
          <t>SC AROMET TRADING SRL</t>
        </is>
      </c>
      <c r="D146" t="inlineStr">
        <is>
          <t>Alba</t>
        </is>
      </c>
      <c r="E146" t="inlineStr">
        <is>
          <t>PRD-006</t>
        </is>
      </c>
      <c r="F146" t="inlineStr">
        <is>
          <t>Tocator documente</t>
        </is>
      </c>
      <c r="G146" t="inlineStr">
        <is>
          <t>Echipamente birou</t>
        </is>
      </c>
      <c r="H146" t="n">
        <v>1</v>
      </c>
      <c r="I146" t="n">
        <v>757.86</v>
      </c>
      <c r="J146" t="n">
        <v>757.86</v>
      </c>
      <c r="K146" s="13" t="n">
        <v>0.19</v>
      </c>
      <c r="L146" t="n">
        <v>143.99</v>
      </c>
      <c r="M146" t="n">
        <v>901.85</v>
      </c>
      <c r="N146" t="inlineStr">
        <is>
          <t>RON</t>
        </is>
      </c>
      <c r="O146" t="inlineStr">
        <is>
          <t>Alba Iulia</t>
        </is>
      </c>
      <c r="P146" s="12" t="n">
        <v>46222</v>
      </c>
      <c r="Q146">
        <f>IF(COUNTIF(tbl_Localitati[oras_oficial],[@oras])=0,"ORAS NEALINIAT",IF(XLOOKUP([@oras],tbl_Localitati[oras_oficial],tbl_Localitati[judet],"?")&lt;&gt;[@judet],"JUDET NECORESPUNZATOR",""))</f>
        <v/>
      </c>
      <c r="R146">
        <f>IF(XLOOKUP([@categorie],tbl_RegulriTVA[categorie],tbl_RegulriTVA[cota_legala],-1)&lt;&gt;[@cota_tva],"TVA GRESIT","")</f>
        <v/>
      </c>
      <c r="S146">
        <f>IF([@data_scadentei]&lt;[@data_factura],"SCADENTA INAINTEA FACTURII","")</f>
        <v/>
      </c>
      <c r="T146">
        <f>IF(NETWORKDAYS.INTL([@data_factura],[@data_factura],1,tbl_SarbatoriLegale[data])=0,"ZI NELUCRATOARE","")</f>
        <v/>
      </c>
      <c r="U146">
        <f>IF([@motiv_anomalie]="","OK","DE INVESTIGAT")</f>
        <v/>
      </c>
      <c r="V146">
        <f>TEXTJOIN("; ",TRUE,[@flag_oras],[@flag_tva],[@flag_scadenta],[@flag_zi])</f>
        <v/>
      </c>
    </row>
    <row r="147">
      <c r="A147" t="inlineStr">
        <is>
          <t>F-2025-00146</t>
        </is>
      </c>
      <c r="B147" s="12" t="n">
        <v>46204</v>
      </c>
      <c r="C147" t="inlineStr">
        <is>
          <t>SC RAPID LOGISTIC SA</t>
        </is>
      </c>
      <c r="D147" t="inlineStr">
        <is>
          <t>Prahova</t>
        </is>
      </c>
      <c r="E147" t="inlineStr">
        <is>
          <t>PRD-009</t>
        </is>
      </c>
      <c r="F147" t="inlineStr">
        <is>
          <t>Tocator documente</t>
        </is>
      </c>
      <c r="G147" t="inlineStr">
        <is>
          <t>Echipamente birou</t>
        </is>
      </c>
      <c r="H147" t="n">
        <v>5</v>
      </c>
      <c r="I147" t="n">
        <v>27.79</v>
      </c>
      <c r="J147" t="n">
        <v>138.95</v>
      </c>
      <c r="K147" s="13" t="n">
        <v>0.19</v>
      </c>
      <c r="L147" t="n">
        <v>26.4</v>
      </c>
      <c r="M147" t="n">
        <v>165.35</v>
      </c>
      <c r="N147" t="inlineStr">
        <is>
          <t>EUR</t>
        </is>
      </c>
      <c r="O147" t="inlineStr">
        <is>
          <t>Ploiești</t>
        </is>
      </c>
      <c r="P147" s="12" t="n">
        <v>46264</v>
      </c>
      <c r="Q147">
        <f>IF(COUNTIF(tbl_Localitati[oras_oficial],[@oras])=0,"ORAS NEALINIAT",IF(XLOOKUP([@oras],tbl_Localitati[oras_oficial],tbl_Localitati[judet],"?")&lt;&gt;[@judet],"JUDET NECORESPUNZATOR",""))</f>
        <v/>
      </c>
      <c r="R147">
        <f>IF(XLOOKUP([@categorie],tbl_RegulriTVA[categorie],tbl_RegulriTVA[cota_legala],-1)&lt;&gt;[@cota_tva],"TVA GRESIT","")</f>
        <v/>
      </c>
      <c r="S147">
        <f>IF([@data_scadentei]&lt;[@data_factura],"SCADENTA INAINTEA FACTURII","")</f>
        <v/>
      </c>
      <c r="T147">
        <f>IF(NETWORKDAYS.INTL([@data_factura],[@data_factura],1,tbl_SarbatoriLegale[data])=0,"ZI NELUCRATOARE","")</f>
        <v/>
      </c>
      <c r="U147">
        <f>IF([@motiv_anomalie]="","OK","DE INVESTIGAT")</f>
        <v/>
      </c>
      <c r="V147">
        <f>TEXTJOIN("; ",TRUE,[@flag_oras],[@flag_tva],[@flag_scadenta],[@flag_zi])</f>
        <v/>
      </c>
    </row>
    <row r="148">
      <c r="A148" t="inlineStr">
        <is>
          <t>F-2025-00147</t>
        </is>
      </c>
      <c r="B148" s="12" t="n">
        <v>46058</v>
      </c>
      <c r="C148" t="inlineStr">
        <is>
          <t>SC ZENITH AUTO SRL</t>
        </is>
      </c>
      <c r="D148" t="inlineStr">
        <is>
          <t>București</t>
        </is>
      </c>
      <c r="E148" t="inlineStr">
        <is>
          <t>PRD-004</t>
        </is>
      </c>
      <c r="F148" t="inlineStr">
        <is>
          <t>Pachet protocol sedinte</t>
        </is>
      </c>
      <c r="G148" t="inlineStr">
        <is>
          <t>Alimente</t>
        </is>
      </c>
      <c r="H148" t="n">
        <v>2</v>
      </c>
      <c r="I148" t="n">
        <v>913.29</v>
      </c>
      <c r="J148" t="n">
        <v>1826.58</v>
      </c>
      <c r="K148" s="13" t="n">
        <v>0.05</v>
      </c>
      <c r="L148" t="n">
        <v>91.33</v>
      </c>
      <c r="M148" t="n">
        <v>1917.91</v>
      </c>
      <c r="N148" t="inlineStr">
        <is>
          <t>RON</t>
        </is>
      </c>
      <c r="O148" t="inlineStr">
        <is>
          <t>București</t>
        </is>
      </c>
      <c r="P148" s="12" t="n">
        <v>46088</v>
      </c>
      <c r="Q148">
        <f>IF(COUNTIF(tbl_Localitati[oras_oficial],[@oras])=0,"ORAS NEALINIAT",IF(XLOOKUP([@oras],tbl_Localitati[oras_oficial],tbl_Localitati[judet],"?")&lt;&gt;[@judet],"JUDET NECORESPUNZATOR",""))</f>
        <v/>
      </c>
      <c r="R148">
        <f>IF(XLOOKUP([@categorie],tbl_RegulriTVA[categorie],tbl_RegulriTVA[cota_legala],-1)&lt;&gt;[@cota_tva],"TVA GRESIT","")</f>
        <v/>
      </c>
      <c r="S148">
        <f>IF([@data_scadentei]&lt;[@data_factura],"SCADENTA INAINTEA FACTURII","")</f>
        <v/>
      </c>
      <c r="T148">
        <f>IF(NETWORKDAYS.INTL([@data_factura],[@data_factura],1,tbl_SarbatoriLegale[data])=0,"ZI NELUCRATOARE","")</f>
        <v/>
      </c>
      <c r="U148">
        <f>IF([@motiv_anomalie]="","OK","DE INVESTIGAT")</f>
        <v/>
      </c>
      <c r="V148">
        <f>TEXTJOIN("; ",TRUE,[@flag_oras],[@flag_tva],[@flag_scadenta],[@flag_zi])</f>
        <v/>
      </c>
    </row>
    <row r="149">
      <c r="A149" t="inlineStr">
        <is>
          <t>F-2025-00148</t>
        </is>
      </c>
      <c r="B149" s="12" t="n">
        <v>46328</v>
      </c>
      <c r="C149" t="inlineStr">
        <is>
          <t>SC METALPLAST INVEST SA</t>
        </is>
      </c>
      <c r="D149" t="inlineStr">
        <is>
          <t>Cluj</t>
        </is>
      </c>
      <c r="E149" t="inlineStr">
        <is>
          <t>PRD-009</t>
        </is>
      </c>
      <c r="F149" t="inlineStr">
        <is>
          <t>Monitor 27" 4K</t>
        </is>
      </c>
      <c r="G149" t="inlineStr">
        <is>
          <t>Hardware IT</t>
        </is>
      </c>
      <c r="H149" t="n">
        <v>10</v>
      </c>
      <c r="I149" t="n">
        <v>27.47</v>
      </c>
      <c r="J149" t="n">
        <v>274.7</v>
      </c>
      <c r="K149" s="13" t="n">
        <v>0.19</v>
      </c>
      <c r="L149" t="n">
        <v>52.19</v>
      </c>
      <c r="M149" t="n">
        <v>326.89</v>
      </c>
      <c r="N149" t="inlineStr">
        <is>
          <t>RON</t>
        </is>
      </c>
      <c r="O149" t="inlineStr">
        <is>
          <t>Turda</t>
        </is>
      </c>
      <c r="P149" s="12" t="n">
        <v>46358</v>
      </c>
      <c r="Q149">
        <f>IF(COUNTIF(tbl_Localitati[oras_oficial],[@oras])=0,"ORAS NEALINIAT",IF(XLOOKUP([@oras],tbl_Localitati[oras_oficial],tbl_Localitati[judet],"?")&lt;&gt;[@judet],"JUDET NECORESPUNZATOR",""))</f>
        <v/>
      </c>
      <c r="R149">
        <f>IF(XLOOKUP([@categorie],tbl_RegulriTVA[categorie],tbl_RegulriTVA[cota_legala],-1)&lt;&gt;[@cota_tva],"TVA GRESIT","")</f>
        <v/>
      </c>
      <c r="S149">
        <f>IF([@data_scadentei]&lt;[@data_factura],"SCADENTA INAINTEA FACTURII","")</f>
        <v/>
      </c>
      <c r="T149">
        <f>IF(NETWORKDAYS.INTL([@data_factura],[@data_factura],1,tbl_SarbatoriLegale[data])=0,"ZI NELUCRATOARE","")</f>
        <v/>
      </c>
      <c r="U149">
        <f>IF([@motiv_anomalie]="","OK","DE INVESTIGAT")</f>
        <v/>
      </c>
      <c r="V149">
        <f>TEXTJOIN("; ",TRUE,[@flag_oras],[@flag_tva],[@flag_scadenta],[@flag_zi])</f>
        <v/>
      </c>
    </row>
    <row r="150">
      <c r="A150" t="inlineStr">
        <is>
          <t>F-2025-00149</t>
        </is>
      </c>
      <c r="B150" s="12" t="n">
        <v>46323</v>
      </c>
      <c r="C150" t="inlineStr">
        <is>
          <t>SC SOLARIS ENERGY SRL</t>
        </is>
      </c>
      <c r="D150" t="inlineStr">
        <is>
          <t>Prahova</t>
        </is>
      </c>
      <c r="E150" t="inlineStr">
        <is>
          <t>PRD-005</t>
        </is>
      </c>
      <c r="F150" t="inlineStr">
        <is>
          <t>Statie de lucru desktop</t>
        </is>
      </c>
      <c r="G150" t="inlineStr">
        <is>
          <t>Hardware IT</t>
        </is>
      </c>
      <c r="H150" t="n">
        <v>2</v>
      </c>
      <c r="I150" t="n">
        <v>261.43</v>
      </c>
      <c r="J150" t="n">
        <v>522.86</v>
      </c>
      <c r="K150" s="13" t="n">
        <v>0.19</v>
      </c>
      <c r="L150" t="n">
        <v>99.34</v>
      </c>
      <c r="M150" t="n">
        <v>622.2</v>
      </c>
      <c r="N150" t="inlineStr">
        <is>
          <t>RON</t>
        </is>
      </c>
      <c r="O150" t="inlineStr">
        <is>
          <t>Câmpina</t>
        </is>
      </c>
      <c r="P150" s="12" t="n">
        <v>46353</v>
      </c>
      <c r="Q150">
        <f>IF(COUNTIF(tbl_Localitati[oras_oficial],[@oras])=0,"ORAS NEALINIAT",IF(XLOOKUP([@oras],tbl_Localitati[oras_oficial],tbl_Localitati[judet],"?")&lt;&gt;[@judet],"JUDET NECORESPUNZATOR",""))</f>
        <v/>
      </c>
      <c r="R150">
        <f>IF(XLOOKUP([@categorie],tbl_RegulriTVA[categorie],tbl_RegulriTVA[cota_legala],-1)&lt;&gt;[@cota_tva],"TVA GRESIT","")</f>
        <v/>
      </c>
      <c r="S150">
        <f>IF([@data_scadentei]&lt;[@data_factura],"SCADENTA INAINTEA FACTURII","")</f>
        <v/>
      </c>
      <c r="T150">
        <f>IF(NETWORKDAYS.INTL([@data_factura],[@data_factura],1,tbl_SarbatoriLegale[data])=0,"ZI NELUCRATOARE","")</f>
        <v/>
      </c>
      <c r="U150">
        <f>IF([@motiv_anomalie]="","OK","DE INVESTIGAT")</f>
        <v/>
      </c>
      <c r="V150">
        <f>TEXTJOIN("; ",TRUE,[@flag_oras],[@flag_tva],[@flag_scadenta],[@flag_zi])</f>
        <v/>
      </c>
    </row>
    <row r="151">
      <c r="A151" t="inlineStr">
        <is>
          <t>F-2025-00150</t>
        </is>
      </c>
      <c r="B151" s="12" t="n">
        <v>46044</v>
      </c>
      <c r="C151" t="inlineStr">
        <is>
          <t>SC DACTECH SOLUTIONS SRL</t>
        </is>
      </c>
      <c r="D151" t="inlineStr">
        <is>
          <t>Argeș</t>
        </is>
      </c>
      <c r="E151" t="inlineStr">
        <is>
          <t>PRD-008</t>
        </is>
      </c>
      <c r="F151" t="inlineStr">
        <is>
          <t>Server rack 1U</t>
        </is>
      </c>
      <c r="G151" t="inlineStr">
        <is>
          <t>Hardware IT</t>
        </is>
      </c>
      <c r="H151" t="n">
        <v>5</v>
      </c>
      <c r="I151" t="n">
        <v>439.45</v>
      </c>
      <c r="J151" t="n">
        <v>2197.25</v>
      </c>
      <c r="K151" s="13" t="n">
        <v>0.19</v>
      </c>
      <c r="L151" t="n">
        <v>417.48</v>
      </c>
      <c r="M151" t="n">
        <v>2614.73</v>
      </c>
      <c r="N151" t="inlineStr">
        <is>
          <t>RON</t>
        </is>
      </c>
      <c r="O151" t="inlineStr">
        <is>
          <t>Pitești</t>
        </is>
      </c>
      <c r="P151" s="12" t="n">
        <v>46074</v>
      </c>
      <c r="Q151">
        <f>IF(COUNTIF(tbl_Localitati[oras_oficial],[@oras])=0,"ORAS NEALINIAT",IF(XLOOKUP([@oras],tbl_Localitati[oras_oficial],tbl_Localitati[judet],"?")&lt;&gt;[@judet],"JUDET NECORESPUNZATOR",""))</f>
        <v/>
      </c>
      <c r="R151">
        <f>IF(XLOOKUP([@categorie],tbl_RegulriTVA[categorie],tbl_RegulriTVA[cota_legala],-1)&lt;&gt;[@cota_tva],"TVA GRESIT","")</f>
        <v/>
      </c>
      <c r="S151">
        <f>IF([@data_scadentei]&lt;[@data_factura],"SCADENTA INAINTEA FACTURII","")</f>
        <v/>
      </c>
      <c r="T151">
        <f>IF(NETWORKDAYS.INTL([@data_factura],[@data_factura],1,tbl_SarbatoriLegale[data])=0,"ZI NELUCRATOARE","")</f>
        <v/>
      </c>
      <c r="U151">
        <f>IF([@motiv_anomalie]="","OK","DE INVESTIGAT")</f>
        <v/>
      </c>
      <c r="V151">
        <f>TEXTJOIN("; ",TRUE,[@flag_oras],[@flag_tva],[@flag_scadenta],[@flag_zi])</f>
        <v/>
      </c>
    </row>
    <row r="152">
      <c r="A152" t="inlineStr">
        <is>
          <t>F-2025-00151</t>
        </is>
      </c>
      <c r="B152" s="12" t="n">
        <v>46338</v>
      </c>
      <c r="C152" t="inlineStr">
        <is>
          <t>SC AROMET TRADING SRL</t>
        </is>
      </c>
      <c r="D152" t="inlineStr">
        <is>
          <t>Alba</t>
        </is>
      </c>
      <c r="E152" t="inlineStr">
        <is>
          <t>PRD-004</t>
        </is>
      </c>
      <c r="F152" t="inlineStr">
        <is>
          <t>Ceai cutie 100buc</t>
        </is>
      </c>
      <c r="G152" t="inlineStr">
        <is>
          <t>Alimente</t>
        </is>
      </c>
      <c r="H152" t="n">
        <v>10</v>
      </c>
      <c r="I152" t="n">
        <v>925.83</v>
      </c>
      <c r="J152" t="n">
        <v>9258.299999999999</v>
      </c>
      <c r="K152" s="13" t="n">
        <v>0.09</v>
      </c>
      <c r="L152" t="n">
        <v>833.25</v>
      </c>
      <c r="M152" t="n">
        <v>10091.55</v>
      </c>
      <c r="N152" t="inlineStr">
        <is>
          <t>RON</t>
        </is>
      </c>
      <c r="O152" t="inlineStr">
        <is>
          <t>Alba Iulia</t>
        </is>
      </c>
      <c r="P152" s="12" t="n">
        <v>46353</v>
      </c>
      <c r="Q152">
        <f>IF(COUNTIF(tbl_Localitati[oras_oficial],[@oras])=0,"ORAS NEALINIAT",IF(XLOOKUP([@oras],tbl_Localitati[oras_oficial],tbl_Localitati[judet],"?")&lt;&gt;[@judet],"JUDET NECORESPUNZATOR",""))</f>
        <v/>
      </c>
      <c r="R152">
        <f>IF(XLOOKUP([@categorie],tbl_RegulriTVA[categorie],tbl_RegulriTVA[cota_legala],-1)&lt;&gt;[@cota_tva],"TVA GRESIT","")</f>
        <v/>
      </c>
      <c r="S152">
        <f>IF([@data_scadentei]&lt;[@data_factura],"SCADENTA INAINTEA FACTURII","")</f>
        <v/>
      </c>
      <c r="T152">
        <f>IF(NETWORKDAYS.INTL([@data_factura],[@data_factura],1,tbl_SarbatoriLegale[data])=0,"ZI NELUCRATOARE","")</f>
        <v/>
      </c>
      <c r="U152">
        <f>IF([@motiv_anomalie]="","OK","DE INVESTIGAT")</f>
        <v/>
      </c>
      <c r="V152">
        <f>TEXTJOIN("; ",TRUE,[@flag_oras],[@flag_tva],[@flag_scadenta],[@flag_zi])</f>
        <v/>
      </c>
    </row>
    <row r="153">
      <c r="A153" t="inlineStr">
        <is>
          <t>F-2025-00152</t>
        </is>
      </c>
      <c r="B153" s="12" t="n">
        <v>46351</v>
      </c>
      <c r="C153" t="inlineStr">
        <is>
          <t>SC DACTECH SOLUTIONS SRL</t>
        </is>
      </c>
      <c r="D153" t="inlineStr">
        <is>
          <t>Argeș</t>
        </is>
      </c>
      <c r="E153" t="inlineStr">
        <is>
          <t>PRD-012</t>
        </is>
      </c>
      <c r="F153" t="inlineStr">
        <is>
          <t>Tocator documente</t>
        </is>
      </c>
      <c r="G153" t="inlineStr">
        <is>
          <t>Echipamente birou</t>
        </is>
      </c>
      <c r="H153" t="n">
        <v>16</v>
      </c>
      <c r="I153" t="n">
        <v>180.72</v>
      </c>
      <c r="J153" t="n">
        <v>2891.52</v>
      </c>
      <c r="K153" s="13" t="n">
        <v>0.19</v>
      </c>
      <c r="L153" t="n">
        <v>549.39</v>
      </c>
      <c r="M153" t="n">
        <v>3440.91</v>
      </c>
      <c r="N153" t="inlineStr">
        <is>
          <t>RON</t>
        </is>
      </c>
      <c r="O153" t="inlineStr">
        <is>
          <t>Pitești</t>
        </is>
      </c>
      <c r="P153" s="12" t="n">
        <v>46411</v>
      </c>
      <c r="Q153">
        <f>IF(COUNTIF(tbl_Localitati[oras_oficial],[@oras])=0,"ORAS NEALINIAT",IF(XLOOKUP([@oras],tbl_Localitati[oras_oficial],tbl_Localitati[judet],"?")&lt;&gt;[@judet],"JUDET NECORESPUNZATOR",""))</f>
        <v/>
      </c>
      <c r="R153">
        <f>IF(XLOOKUP([@categorie],tbl_RegulriTVA[categorie],tbl_RegulriTVA[cota_legala],-1)&lt;&gt;[@cota_tva],"TVA GRESIT","")</f>
        <v/>
      </c>
      <c r="S153">
        <f>IF([@data_scadentei]&lt;[@data_factura],"SCADENTA INAINTEA FACTURII","")</f>
        <v/>
      </c>
      <c r="T153">
        <f>IF(NETWORKDAYS.INTL([@data_factura],[@data_factura],1,tbl_SarbatoriLegale[data])=0,"ZI NELUCRATOARE","")</f>
        <v/>
      </c>
      <c r="U153">
        <f>IF([@motiv_anomalie]="","OK","DE INVESTIGAT")</f>
        <v/>
      </c>
      <c r="V153">
        <f>TEXTJOIN("; ",TRUE,[@flag_oras],[@flag_tva],[@flag_scadenta],[@flag_zi])</f>
        <v/>
      </c>
    </row>
    <row r="154">
      <c r="A154" t="inlineStr">
        <is>
          <t>F-2025-00153</t>
        </is>
      </c>
      <c r="B154" s="12" t="n">
        <v>46283</v>
      </c>
      <c r="C154" t="inlineStr">
        <is>
          <t>SC DACTECH SOLUTIONS SRL</t>
        </is>
      </c>
      <c r="D154" t="inlineStr">
        <is>
          <t>Argeș</t>
        </is>
      </c>
      <c r="E154" t="inlineStr">
        <is>
          <t>PRD-001</t>
        </is>
      </c>
      <c r="F154" t="inlineStr">
        <is>
          <t>Termometru digital</t>
        </is>
      </c>
      <c r="G154" t="inlineStr">
        <is>
          <t>Produse farmaceutice</t>
        </is>
      </c>
      <c r="H154" t="n">
        <v>3</v>
      </c>
      <c r="I154" t="n">
        <v>2360.47</v>
      </c>
      <c r="J154" t="n">
        <v>7081.41</v>
      </c>
      <c r="K154" s="13" t="n">
        <v>0.09</v>
      </c>
      <c r="L154" t="n">
        <v>637.33</v>
      </c>
      <c r="M154" t="n">
        <v>7718.74</v>
      </c>
      <c r="N154" t="inlineStr">
        <is>
          <t>RON</t>
        </is>
      </c>
      <c r="O154" t="inlineStr">
        <is>
          <t>Pitești</t>
        </is>
      </c>
      <c r="P154" s="12" t="n">
        <v>46313</v>
      </c>
      <c r="Q154">
        <f>IF(COUNTIF(tbl_Localitati[oras_oficial],[@oras])=0,"ORAS NEALINIAT",IF(XLOOKUP([@oras],tbl_Localitati[oras_oficial],tbl_Localitati[judet],"?")&lt;&gt;[@judet],"JUDET NECORESPUNZATOR",""))</f>
        <v/>
      </c>
      <c r="R154">
        <f>IF(XLOOKUP([@categorie],tbl_RegulriTVA[categorie],tbl_RegulriTVA[cota_legala],-1)&lt;&gt;[@cota_tva],"TVA GRESIT","")</f>
        <v/>
      </c>
      <c r="S154">
        <f>IF([@data_scadentei]&lt;[@data_factura],"SCADENTA INAINTEA FACTURII","")</f>
        <v/>
      </c>
      <c r="T154">
        <f>IF(NETWORKDAYS.INTL([@data_factura],[@data_factura],1,tbl_SarbatoriLegale[data])=0,"ZI NELUCRATOARE","")</f>
        <v/>
      </c>
      <c r="U154">
        <f>IF([@motiv_anomalie]="","OK","DE INVESTIGAT")</f>
        <v/>
      </c>
      <c r="V154">
        <f>TEXTJOIN("; ",TRUE,[@flag_oras],[@flag_tva],[@flag_scadenta],[@flag_zi])</f>
        <v/>
      </c>
    </row>
    <row r="155">
      <c r="A155" t="inlineStr">
        <is>
          <t>F-2025-00154</t>
        </is>
      </c>
      <c r="B155" s="12" t="n">
        <v>46115</v>
      </c>
      <c r="C155" t="inlineStr">
        <is>
          <t>SC NORDIS DISTRIBUTIE SRL</t>
        </is>
      </c>
      <c r="D155" t="inlineStr">
        <is>
          <t>Constanța</t>
        </is>
      </c>
      <c r="E155" t="inlineStr">
        <is>
          <t>PRD-009</t>
        </is>
      </c>
      <c r="F155" t="inlineStr">
        <is>
          <t>Multifunctionala laser</t>
        </is>
      </c>
      <c r="G155" t="inlineStr">
        <is>
          <t>Echipamente birou</t>
        </is>
      </c>
      <c r="H155" t="n">
        <v>20</v>
      </c>
      <c r="I155" t="n">
        <v>27.5</v>
      </c>
      <c r="J155" t="n">
        <v>550</v>
      </c>
      <c r="K155" s="13" t="n">
        <v>0.19</v>
      </c>
      <c r="L155" t="n">
        <v>104.5</v>
      </c>
      <c r="M155" t="n">
        <v>654.5</v>
      </c>
      <c r="N155" t="inlineStr">
        <is>
          <t>RON</t>
        </is>
      </c>
      <c r="O155" t="inlineStr">
        <is>
          <t>Mangalia</t>
        </is>
      </c>
      <c r="P155" s="12" t="n">
        <v>46145</v>
      </c>
      <c r="Q155">
        <f>IF(COUNTIF(tbl_Localitati[oras_oficial],[@oras])=0,"ORAS NEALINIAT",IF(XLOOKUP([@oras],tbl_Localitati[oras_oficial],tbl_Localitati[judet],"?")&lt;&gt;[@judet],"JUDET NECORESPUNZATOR",""))</f>
        <v/>
      </c>
      <c r="R155">
        <f>IF(XLOOKUP([@categorie],tbl_RegulriTVA[categorie],tbl_RegulriTVA[cota_legala],-1)&lt;&gt;[@cota_tva],"TVA GRESIT","")</f>
        <v/>
      </c>
      <c r="S155">
        <f>IF([@data_scadentei]&lt;[@data_factura],"SCADENTA INAINTEA FACTURII","")</f>
        <v/>
      </c>
      <c r="T155">
        <f>IF(NETWORKDAYS.INTL([@data_factura],[@data_factura],1,tbl_SarbatoriLegale[data])=0,"ZI NELUCRATOARE","")</f>
        <v/>
      </c>
      <c r="U155">
        <f>IF([@motiv_anomalie]="","OK","DE INVESTIGAT")</f>
        <v/>
      </c>
      <c r="V155">
        <f>TEXTJOIN("; ",TRUE,[@flag_oras],[@flag_tva],[@flag_scadenta],[@flag_zi])</f>
        <v/>
      </c>
    </row>
    <row r="156">
      <c r="A156" t="inlineStr">
        <is>
          <t>F-2025-00155</t>
        </is>
      </c>
      <c r="B156" s="12" t="n">
        <v>46343</v>
      </c>
      <c r="C156" t="inlineStr">
        <is>
          <t>SC NORDIS DISTRIBUTIE SRL</t>
        </is>
      </c>
      <c r="D156" t="inlineStr">
        <is>
          <t>Constanța</t>
        </is>
      </c>
      <c r="E156" t="inlineStr">
        <is>
          <t>PRD-009</t>
        </is>
      </c>
      <c r="F156" t="inlineStr">
        <is>
          <t>Set carti formare</t>
        </is>
      </c>
      <c r="G156" t="inlineStr">
        <is>
          <t>Cărți și manuale</t>
        </is>
      </c>
      <c r="H156" t="n">
        <v>50</v>
      </c>
      <c r="I156" t="n">
        <v>29.35</v>
      </c>
      <c r="J156" t="n">
        <v>1467.5</v>
      </c>
      <c r="K156" s="13" t="n">
        <v>0.05</v>
      </c>
      <c r="L156" t="n">
        <v>73.38</v>
      </c>
      <c r="M156" t="n">
        <v>1540.88</v>
      </c>
      <c r="N156" t="inlineStr">
        <is>
          <t>RON</t>
        </is>
      </c>
      <c r="O156" t="inlineStr">
        <is>
          <t>Mangalia</t>
        </is>
      </c>
      <c r="P156" s="12" t="n">
        <v>46358</v>
      </c>
      <c r="Q156">
        <f>IF(COUNTIF(tbl_Localitati[oras_oficial],[@oras])=0,"ORAS NEALINIAT",IF(XLOOKUP([@oras],tbl_Localitati[oras_oficial],tbl_Localitati[judet],"?")&lt;&gt;[@judet],"JUDET NECORESPUNZATOR",""))</f>
        <v/>
      </c>
      <c r="R156">
        <f>IF(XLOOKUP([@categorie],tbl_RegulriTVA[categorie],tbl_RegulriTVA[cota_legala],-1)&lt;&gt;[@cota_tva],"TVA GRESIT","")</f>
        <v/>
      </c>
      <c r="S156">
        <f>IF([@data_scadentei]&lt;[@data_factura],"SCADENTA INAINTEA FACTURII","")</f>
        <v/>
      </c>
      <c r="T156">
        <f>IF(NETWORKDAYS.INTL([@data_factura],[@data_factura],1,tbl_SarbatoriLegale[data])=0,"ZI NELUCRATOARE","")</f>
        <v/>
      </c>
      <c r="U156">
        <f>IF([@motiv_anomalie]="","OK","DE INVESTIGAT")</f>
        <v/>
      </c>
      <c r="V156">
        <f>TEXTJOIN("; ",TRUE,[@flag_oras],[@flag_tva],[@flag_scadenta],[@flag_zi])</f>
        <v/>
      </c>
    </row>
    <row r="157">
      <c r="A157" t="inlineStr">
        <is>
          <t>F-2025-00156</t>
        </is>
      </c>
      <c r="B157" s="12" t="n">
        <v>46092</v>
      </c>
      <c r="C157" t="inlineStr">
        <is>
          <t>SC DACTECH SOLUTIONS SRL</t>
        </is>
      </c>
      <c r="D157" t="inlineStr">
        <is>
          <t>Argeș</t>
        </is>
      </c>
      <c r="E157" t="inlineStr">
        <is>
          <t>PRD-005</t>
        </is>
      </c>
      <c r="F157" t="inlineStr">
        <is>
          <t>Switch gigabit 24p</t>
        </is>
      </c>
      <c r="G157" t="inlineStr">
        <is>
          <t>Hardware IT</t>
        </is>
      </c>
      <c r="H157" t="n">
        <v>2</v>
      </c>
      <c r="I157" t="n">
        <v>250.57</v>
      </c>
      <c r="J157" t="n">
        <v>501.14</v>
      </c>
      <c r="K157" s="13" t="n">
        <v>0.19</v>
      </c>
      <c r="L157" t="n">
        <v>95.22</v>
      </c>
      <c r="M157" t="n">
        <v>596.36</v>
      </c>
      <c r="N157" t="inlineStr">
        <is>
          <t>RON</t>
        </is>
      </c>
      <c r="O157" t="inlineStr">
        <is>
          <t>Pitești</t>
        </is>
      </c>
      <c r="P157" s="12" t="n">
        <v>46152</v>
      </c>
      <c r="Q157">
        <f>IF(COUNTIF(tbl_Localitati[oras_oficial],[@oras])=0,"ORAS NEALINIAT",IF(XLOOKUP([@oras],tbl_Localitati[oras_oficial],tbl_Localitati[judet],"?")&lt;&gt;[@judet],"JUDET NECORESPUNZATOR",""))</f>
        <v/>
      </c>
      <c r="R157">
        <f>IF(XLOOKUP([@categorie],tbl_RegulriTVA[categorie],tbl_RegulriTVA[cota_legala],-1)&lt;&gt;[@cota_tva],"TVA GRESIT","")</f>
        <v/>
      </c>
      <c r="S157">
        <f>IF([@data_scadentei]&lt;[@data_factura],"SCADENTA INAINTEA FACTURII","")</f>
        <v/>
      </c>
      <c r="T157">
        <f>IF(NETWORKDAYS.INTL([@data_factura],[@data_factura],1,tbl_SarbatoriLegale[data])=0,"ZI NELUCRATOARE","")</f>
        <v/>
      </c>
      <c r="U157">
        <f>IF([@motiv_anomalie]="","OK","DE INVESTIGAT")</f>
        <v/>
      </c>
      <c r="V157">
        <f>TEXTJOIN("; ",TRUE,[@flag_oras],[@flag_tva],[@flag_scadenta],[@flag_zi])</f>
        <v/>
      </c>
    </row>
    <row r="158">
      <c r="A158" t="inlineStr">
        <is>
          <t>F-2025-00157</t>
        </is>
      </c>
      <c r="B158" s="12" t="n">
        <v>46045</v>
      </c>
      <c r="C158" t="inlineStr">
        <is>
          <t>SC RAPID LOGISTIC SA</t>
        </is>
      </c>
      <c r="D158" t="inlineStr">
        <is>
          <t>Prahova</t>
        </is>
      </c>
      <c r="E158" t="inlineStr">
        <is>
          <t>PRD-002</t>
        </is>
      </c>
      <c r="F158" t="inlineStr">
        <is>
          <t>Tocator documente</t>
        </is>
      </c>
      <c r="G158" t="inlineStr">
        <is>
          <t>Echipamente birou</t>
        </is>
      </c>
      <c r="H158" t="n">
        <v>1</v>
      </c>
      <c r="I158" t="n">
        <v>1130.89</v>
      </c>
      <c r="J158" t="n">
        <v>1130.89</v>
      </c>
      <c r="K158" s="13" t="n">
        <v>0.19</v>
      </c>
      <c r="L158" t="n">
        <v>214.87</v>
      </c>
      <c r="M158" t="n">
        <v>1345.76</v>
      </c>
      <c r="N158" t="inlineStr">
        <is>
          <t>RON</t>
        </is>
      </c>
      <c r="O158" t="inlineStr">
        <is>
          <t>Ploiești</t>
        </is>
      </c>
      <c r="P158" s="12" t="n">
        <v>46090</v>
      </c>
      <c r="Q158">
        <f>IF(COUNTIF(tbl_Localitati[oras_oficial],[@oras])=0,"ORAS NEALINIAT",IF(XLOOKUP([@oras],tbl_Localitati[oras_oficial],tbl_Localitati[judet],"?")&lt;&gt;[@judet],"JUDET NECORESPUNZATOR",""))</f>
        <v/>
      </c>
      <c r="R158">
        <f>IF(XLOOKUP([@categorie],tbl_RegulriTVA[categorie],tbl_RegulriTVA[cota_legala],-1)&lt;&gt;[@cota_tva],"TVA GRESIT","")</f>
        <v/>
      </c>
      <c r="S158">
        <f>IF([@data_scadentei]&lt;[@data_factura],"SCADENTA INAINTEA FACTURII","")</f>
        <v/>
      </c>
      <c r="T158">
        <f>IF(NETWORKDAYS.INTL([@data_factura],[@data_factura],1,tbl_SarbatoriLegale[data])=0,"ZI NELUCRATOARE","")</f>
        <v/>
      </c>
      <c r="U158">
        <f>IF([@motiv_anomalie]="","OK","DE INVESTIGAT")</f>
        <v/>
      </c>
      <c r="V158">
        <f>TEXTJOIN("; ",TRUE,[@flag_oras],[@flag_tva],[@flag_scadenta],[@flag_zi])</f>
        <v/>
      </c>
    </row>
    <row r="159">
      <c r="A159" t="inlineStr">
        <is>
          <t>F-2025-00158</t>
        </is>
      </c>
      <c r="B159" s="12" t="n">
        <v>46197</v>
      </c>
      <c r="C159" t="inlineStr">
        <is>
          <t>SC DACTECH SOLUTIONS SRL</t>
        </is>
      </c>
      <c r="D159" t="inlineStr">
        <is>
          <t>Argeș</t>
        </is>
      </c>
      <c r="E159" t="inlineStr">
        <is>
          <t>PRD-005</t>
        </is>
      </c>
      <c r="F159" t="inlineStr">
        <is>
          <t>Server rack 1U</t>
        </is>
      </c>
      <c r="G159" t="inlineStr">
        <is>
          <t>Hardware IT</t>
        </is>
      </c>
      <c r="H159" t="n">
        <v>1</v>
      </c>
      <c r="I159" t="n">
        <v>258.29</v>
      </c>
      <c r="J159" t="n">
        <v>258.29</v>
      </c>
      <c r="K159" s="13" t="n">
        <v>0.19</v>
      </c>
      <c r="L159" t="n">
        <v>49.08</v>
      </c>
      <c r="M159" t="n">
        <v>307.37</v>
      </c>
      <c r="N159" t="inlineStr">
        <is>
          <t>RON</t>
        </is>
      </c>
      <c r="O159" t="inlineStr">
        <is>
          <t>Pitești</t>
        </is>
      </c>
      <c r="P159" s="12" t="n">
        <v>46227</v>
      </c>
      <c r="Q159">
        <f>IF(COUNTIF(tbl_Localitati[oras_oficial],[@oras])=0,"ORAS NEALINIAT",IF(XLOOKUP([@oras],tbl_Localitati[oras_oficial],tbl_Localitati[judet],"?")&lt;&gt;[@judet],"JUDET NECORESPUNZATOR",""))</f>
        <v/>
      </c>
      <c r="R159">
        <f>IF(XLOOKUP([@categorie],tbl_RegulriTVA[categorie],tbl_RegulriTVA[cota_legala],-1)&lt;&gt;[@cota_tva],"TVA GRESIT","")</f>
        <v/>
      </c>
      <c r="S159">
        <f>IF([@data_scadentei]&lt;[@data_factura],"SCADENTA INAINTEA FACTURII","")</f>
        <v/>
      </c>
      <c r="T159">
        <f>IF(NETWORKDAYS.INTL([@data_factura],[@data_factura],1,tbl_SarbatoriLegale[data])=0,"ZI NELUCRATOARE","")</f>
        <v/>
      </c>
      <c r="U159">
        <f>IF([@motiv_anomalie]="","OK","DE INVESTIGAT")</f>
        <v/>
      </c>
      <c r="V159">
        <f>TEXTJOIN("; ",TRUE,[@flag_oras],[@flag_tva],[@flag_scadenta],[@flag_zi])</f>
        <v/>
      </c>
    </row>
    <row r="160">
      <c r="A160" t="inlineStr">
        <is>
          <t>F-2025-00159</t>
        </is>
      </c>
      <c r="B160" s="12" t="n">
        <v>46224</v>
      </c>
      <c r="C160" t="inlineStr">
        <is>
          <t>SC AROMET TRADING SRL</t>
        </is>
      </c>
      <c r="D160" t="inlineStr">
        <is>
          <t>Alba</t>
        </is>
      </c>
      <c r="E160" t="inlineStr">
        <is>
          <t>PRD-002</t>
        </is>
      </c>
      <c r="F160" t="inlineStr">
        <is>
          <t>Pachet protocol sedinte</t>
        </is>
      </c>
      <c r="G160" t="inlineStr">
        <is>
          <t>Alimente</t>
        </is>
      </c>
      <c r="H160" t="n">
        <v>1</v>
      </c>
      <c r="I160" t="n">
        <v>1148.42</v>
      </c>
      <c r="J160" t="n">
        <v>1148.42</v>
      </c>
      <c r="K160" s="13" t="n">
        <v>0.09</v>
      </c>
      <c r="L160" t="n">
        <v>103.36</v>
      </c>
      <c r="M160" t="n">
        <v>1251.78</v>
      </c>
      <c r="N160" t="inlineStr">
        <is>
          <t>RON</t>
        </is>
      </c>
      <c r="O160" t="inlineStr">
        <is>
          <t>Alba Iulia</t>
        </is>
      </c>
      <c r="P160" s="12" t="n">
        <v>46269</v>
      </c>
      <c r="Q160">
        <f>IF(COUNTIF(tbl_Localitati[oras_oficial],[@oras])=0,"ORAS NEALINIAT",IF(XLOOKUP([@oras],tbl_Localitati[oras_oficial],tbl_Localitati[judet],"?")&lt;&gt;[@judet],"JUDET NECORESPUNZATOR",""))</f>
        <v/>
      </c>
      <c r="R160">
        <f>IF(XLOOKUP([@categorie],tbl_RegulriTVA[categorie],tbl_RegulriTVA[cota_legala],-1)&lt;&gt;[@cota_tva],"TVA GRESIT","")</f>
        <v/>
      </c>
      <c r="S160">
        <f>IF([@data_scadentei]&lt;[@data_factura],"SCADENTA INAINTEA FACTURII","")</f>
        <v/>
      </c>
      <c r="T160">
        <f>IF(NETWORKDAYS.INTL([@data_factura],[@data_factura],1,tbl_SarbatoriLegale[data])=0,"ZI NELUCRATOARE","")</f>
        <v/>
      </c>
      <c r="U160">
        <f>IF([@motiv_anomalie]="","OK","DE INVESTIGAT")</f>
        <v/>
      </c>
      <c r="V160">
        <f>TEXTJOIN("; ",TRUE,[@flag_oras],[@flag_tva],[@flag_scadenta],[@flag_zi])</f>
        <v/>
      </c>
    </row>
    <row r="161">
      <c r="A161" t="inlineStr">
        <is>
          <t>F-2025-00160</t>
        </is>
      </c>
      <c r="B161" s="12" t="n">
        <v>46353</v>
      </c>
      <c r="C161" t="inlineStr">
        <is>
          <t>SC NORDIS DISTRIBUTIE SRL</t>
        </is>
      </c>
      <c r="D161" t="inlineStr">
        <is>
          <t>Constanța</t>
        </is>
      </c>
      <c r="E161" t="inlineStr">
        <is>
          <t>PRD-013</t>
        </is>
      </c>
      <c r="F161" t="inlineStr">
        <is>
          <t>Set carti formare</t>
        </is>
      </c>
      <c r="G161" t="inlineStr">
        <is>
          <t>Cărți și manuale</t>
        </is>
      </c>
      <c r="H161" t="n">
        <v>1</v>
      </c>
      <c r="I161" t="n">
        <v>1175.25</v>
      </c>
      <c r="J161" t="n">
        <v>1175.25</v>
      </c>
      <c r="K161" s="13" t="n">
        <v>0.05</v>
      </c>
      <c r="L161" t="n">
        <v>58.76</v>
      </c>
      <c r="M161" t="n">
        <v>1234.01</v>
      </c>
      <c r="N161" t="inlineStr">
        <is>
          <t>RON</t>
        </is>
      </c>
      <c r="O161" t="inlineStr">
        <is>
          <t>Mangalia</t>
        </is>
      </c>
      <c r="P161" s="12" t="n">
        <v>46383</v>
      </c>
      <c r="Q161">
        <f>IF(COUNTIF(tbl_Localitati[oras_oficial],[@oras])=0,"ORAS NEALINIAT",IF(XLOOKUP([@oras],tbl_Localitati[oras_oficial],tbl_Localitati[judet],"?")&lt;&gt;[@judet],"JUDET NECORESPUNZATOR",""))</f>
        <v/>
      </c>
      <c r="R161">
        <f>IF(XLOOKUP([@categorie],tbl_RegulriTVA[categorie],tbl_RegulriTVA[cota_legala],-1)&lt;&gt;[@cota_tva],"TVA GRESIT","")</f>
        <v/>
      </c>
      <c r="S161">
        <f>IF([@data_scadentei]&lt;[@data_factura],"SCADENTA INAINTEA FACTURII","")</f>
        <v/>
      </c>
      <c r="T161">
        <f>IF(NETWORKDAYS.INTL([@data_factura],[@data_factura],1,tbl_SarbatoriLegale[data])=0,"ZI NELUCRATOARE","")</f>
        <v/>
      </c>
      <c r="U161">
        <f>IF([@motiv_anomalie]="","OK","DE INVESTIGAT")</f>
        <v/>
      </c>
      <c r="V161">
        <f>TEXTJOIN("; ",TRUE,[@flag_oras],[@flag_tva],[@flag_scadenta],[@flag_zi])</f>
        <v/>
      </c>
    </row>
    <row r="162">
      <c r="A162" t="inlineStr">
        <is>
          <t>F-2025-00161</t>
        </is>
      </c>
      <c r="B162" s="12" t="n">
        <v>46195</v>
      </c>
      <c r="C162" t="inlineStr">
        <is>
          <t>SC AROMET TRADING SRL</t>
        </is>
      </c>
      <c r="D162" t="inlineStr">
        <is>
          <t>Alba</t>
        </is>
      </c>
      <c r="E162" t="inlineStr">
        <is>
          <t>PRD-007</t>
        </is>
      </c>
      <c r="F162" t="inlineStr">
        <is>
          <t>Training utilizatori</t>
        </is>
      </c>
      <c r="G162" t="inlineStr">
        <is>
          <t>Servicii consultanță</t>
        </is>
      </c>
      <c r="H162" t="n">
        <v>10</v>
      </c>
      <c r="I162" t="n">
        <v>182.72</v>
      </c>
      <c r="J162" t="n">
        <v>1827.2</v>
      </c>
      <c r="K162" s="13" t="n">
        <v>0.19</v>
      </c>
      <c r="L162" t="n">
        <v>347.17</v>
      </c>
      <c r="M162" t="n">
        <v>2174.37</v>
      </c>
      <c r="N162" t="inlineStr">
        <is>
          <t>RON</t>
        </is>
      </c>
      <c r="O162" t="inlineStr">
        <is>
          <t>Alba Iulia</t>
        </is>
      </c>
      <c r="P162" s="12" t="n">
        <v>46225</v>
      </c>
      <c r="Q162">
        <f>IF(COUNTIF(tbl_Localitati[oras_oficial],[@oras])=0,"ORAS NEALINIAT",IF(XLOOKUP([@oras],tbl_Localitati[oras_oficial],tbl_Localitati[judet],"?")&lt;&gt;[@judet],"JUDET NECORESPUNZATOR",""))</f>
        <v/>
      </c>
      <c r="R162">
        <f>IF(XLOOKUP([@categorie],tbl_RegulriTVA[categorie],tbl_RegulriTVA[cota_legala],-1)&lt;&gt;[@cota_tva],"TVA GRESIT","")</f>
        <v/>
      </c>
      <c r="S162">
        <f>IF([@data_scadentei]&lt;[@data_factura],"SCADENTA INAINTEA FACTURII","")</f>
        <v/>
      </c>
      <c r="T162">
        <f>IF(NETWORKDAYS.INTL([@data_factura],[@data_factura],1,tbl_SarbatoriLegale[data])=0,"ZI NELUCRATOARE","")</f>
        <v/>
      </c>
      <c r="U162">
        <f>IF([@motiv_anomalie]="","OK","DE INVESTIGAT")</f>
        <v/>
      </c>
      <c r="V162">
        <f>TEXTJOIN("; ",TRUE,[@flag_oras],[@flag_tva],[@flag_scadenta],[@flag_zi])</f>
        <v/>
      </c>
    </row>
    <row r="163">
      <c r="A163" t="inlineStr">
        <is>
          <t>F-2025-00162</t>
        </is>
      </c>
      <c r="B163" s="12" t="n">
        <v>46121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Videoproiector sala</t>
        </is>
      </c>
      <c r="G163" t="inlineStr">
        <is>
          <t>Echipamente birou</t>
        </is>
      </c>
      <c r="H163" t="n">
        <v>5</v>
      </c>
      <c r="I163" t="n">
        <v>759.9</v>
      </c>
      <c r="J163" t="n">
        <v>3799.5</v>
      </c>
      <c r="K163" s="13" t="n">
        <v>0.19</v>
      </c>
      <c r="L163" t="n">
        <v>721.9</v>
      </c>
      <c r="M163" t="n">
        <v>4521.4</v>
      </c>
      <c r="N163" t="inlineStr">
        <is>
          <t>RON</t>
        </is>
      </c>
      <c r="O163" t="inlineStr">
        <is>
          <t>Sibiu</t>
        </is>
      </c>
      <c r="P163" s="12" t="n">
        <v>46151</v>
      </c>
      <c r="Q163">
        <f>IF(COUNTIF(tbl_Localitati[oras_oficial],[@oras])=0,"ORAS NEALINIAT",IF(XLOOKUP([@oras],tbl_Localitati[oras_oficial],tbl_Localitati[judet],"?")&lt;&gt;[@judet],"JUDET NECORESPUNZATOR",""))</f>
        <v/>
      </c>
      <c r="R163">
        <f>IF(XLOOKUP([@categorie],tbl_RegulriTVA[categorie],tbl_RegulriTVA[cota_legala],-1)&lt;&gt;[@cota_tva],"TVA GRESIT","")</f>
        <v/>
      </c>
      <c r="S163">
        <f>IF([@data_scadentei]&lt;[@data_factura],"SCADENTA INAINTEA FACTURII","")</f>
        <v/>
      </c>
      <c r="T163">
        <f>IF(NETWORKDAYS.INTL([@data_factura],[@data_factura],1,tbl_SarbatoriLegale[data])=0,"ZI NELUCRATOARE","")</f>
        <v/>
      </c>
      <c r="U163">
        <f>IF([@motiv_anomalie]="","OK","DE INVESTIGAT")</f>
        <v/>
      </c>
      <c r="V163">
        <f>TEXTJOIN("; ",TRUE,[@flag_oras],[@flag_tva],[@flag_scadenta],[@flag_zi])</f>
        <v/>
      </c>
    </row>
    <row r="164">
      <c r="A164" t="inlineStr">
        <is>
          <t>F-2025-00163</t>
        </is>
      </c>
      <c r="B164" s="12" t="n">
        <v>46314</v>
      </c>
      <c r="C164" t="inlineStr">
        <is>
          <t>SC SOLARIS ENERGY SRL</t>
        </is>
      </c>
      <c r="D164" t="inlineStr">
        <is>
          <t>Prahova</t>
        </is>
      </c>
      <c r="E164" t="inlineStr">
        <is>
          <t>PRD-005</t>
        </is>
      </c>
      <c r="F164" t="inlineStr">
        <is>
          <t>Set carti formare</t>
        </is>
      </c>
      <c r="G164" t="inlineStr">
        <is>
          <t>Cărți și manuale</t>
        </is>
      </c>
      <c r="H164" t="n">
        <v>2</v>
      </c>
      <c r="I164" t="n">
        <v>248.49</v>
      </c>
      <c r="J164" t="n">
        <v>496.98</v>
      </c>
      <c r="K164" s="13" t="n">
        <v>0.05</v>
      </c>
      <c r="L164" t="n">
        <v>24.85</v>
      </c>
      <c r="M164" t="n">
        <v>521.83</v>
      </c>
      <c r="N164" t="inlineStr">
        <is>
          <t>RON</t>
        </is>
      </c>
      <c r="O164" t="inlineStr">
        <is>
          <t>Galati Port</t>
        </is>
      </c>
      <c r="P164" s="12" t="n">
        <v>46359</v>
      </c>
      <c r="Q164">
        <f>IF(COUNTIF(tbl_Localitati[oras_oficial],[@oras])=0,"ORAS NEALINIAT",IF(XLOOKUP([@oras],tbl_Localitati[oras_oficial],tbl_Localitati[judet],"?")&lt;&gt;[@judet],"JUDET NECORESPUNZATOR",""))</f>
        <v/>
      </c>
      <c r="R164">
        <f>IF(XLOOKUP([@categorie],tbl_RegulriTVA[categorie],tbl_RegulriTVA[cota_legala],-1)&lt;&gt;[@cota_tva],"TVA GRESIT","")</f>
        <v/>
      </c>
      <c r="S164">
        <f>IF([@data_scadentei]&lt;[@data_factura],"SCADENTA INAINTEA FACTURII","")</f>
        <v/>
      </c>
      <c r="T164">
        <f>IF(NETWORKDAYS.INTL([@data_factura],[@data_factura],1,tbl_SarbatoriLegale[data])=0,"ZI NELUCRATOARE","")</f>
        <v/>
      </c>
      <c r="U164">
        <f>IF([@motiv_anomalie]="","OK","DE INVESTIGAT")</f>
        <v/>
      </c>
      <c r="V164">
        <f>TEXTJOIN("; ",TRUE,[@flag_oras],[@flag_tva],[@flag_scadenta],[@flag_zi])</f>
        <v/>
      </c>
    </row>
    <row r="165">
      <c r="A165" t="inlineStr">
        <is>
          <t>F-2025-00164</t>
        </is>
      </c>
      <c r="B165" s="12" t="n">
        <v>46114</v>
      </c>
      <c r="C165" t="inlineStr">
        <is>
          <t>SC INTEGROMED SA</t>
        </is>
      </c>
      <c r="D165" t="inlineStr">
        <is>
          <t>Cluj</t>
        </is>
      </c>
      <c r="E165" t="inlineStr">
        <is>
          <t>PRD-009</t>
        </is>
      </c>
      <c r="F165" t="inlineStr">
        <is>
          <t>Ceai cutie 100buc</t>
        </is>
      </c>
      <c r="G165" t="inlineStr">
        <is>
          <t>Alimente</t>
        </is>
      </c>
      <c r="H165" t="n">
        <v>10</v>
      </c>
      <c r="I165" t="n">
        <v>29.23</v>
      </c>
      <c r="J165" t="n">
        <v>292.3</v>
      </c>
      <c r="K165" s="13" t="n">
        <v>0.09</v>
      </c>
      <c r="L165" t="n">
        <v>26.31</v>
      </c>
      <c r="M165" t="n">
        <v>318.61</v>
      </c>
      <c r="N165" t="inlineStr">
        <is>
          <t>RON</t>
        </is>
      </c>
      <c r="O165" t="inlineStr">
        <is>
          <t>Cluj-Napoca</t>
        </is>
      </c>
      <c r="P165" s="12" t="n">
        <v>46144</v>
      </c>
      <c r="Q165">
        <f>IF(COUNTIF(tbl_Localitati[oras_oficial],[@oras])=0,"ORAS NEALINIAT",IF(XLOOKUP([@oras],tbl_Localitati[oras_oficial],tbl_Localitati[judet],"?")&lt;&gt;[@judet],"JUDET NECORESPUNZATOR",""))</f>
        <v/>
      </c>
      <c r="R165">
        <f>IF(XLOOKUP([@categorie],tbl_RegulriTVA[categorie],tbl_RegulriTVA[cota_legala],-1)&lt;&gt;[@cota_tva],"TVA GRESIT","")</f>
        <v/>
      </c>
      <c r="S165">
        <f>IF([@data_scadentei]&lt;[@data_factura],"SCADENTA INAINTEA FACTURII","")</f>
        <v/>
      </c>
      <c r="T165">
        <f>IF(NETWORKDAYS.INTL([@data_factura],[@data_factura],1,tbl_SarbatoriLegale[data])=0,"ZI NELUCRATOARE","")</f>
        <v/>
      </c>
      <c r="U165">
        <f>IF([@motiv_anomalie]="","OK","DE INVESTIGAT")</f>
        <v/>
      </c>
      <c r="V165">
        <f>TEXTJOIN("; ",TRUE,[@flag_oras],[@flag_tva],[@flag_scadenta],[@flag_zi])</f>
        <v/>
      </c>
    </row>
    <row r="166">
      <c r="A166" t="inlineStr">
        <is>
          <t>F-2025-00165</t>
        </is>
      </c>
      <c r="B166" s="12" t="n">
        <v>46289</v>
      </c>
      <c r="C166" t="inlineStr">
        <is>
          <t>SC AROMET TRADING SRL</t>
        </is>
      </c>
      <c r="D166" t="inlineStr">
        <is>
          <t>Alba</t>
        </is>
      </c>
      <c r="E166" t="inlineStr">
        <is>
          <t>PRD-009</t>
        </is>
      </c>
      <c r="F166" t="inlineStr">
        <is>
          <t>Statie de lucru desktop</t>
        </is>
      </c>
      <c r="G166" t="inlineStr">
        <is>
          <t>Hardware IT</t>
        </is>
      </c>
      <c r="H166" t="n">
        <v>10</v>
      </c>
      <c r="I166" t="n">
        <v>27.51</v>
      </c>
      <c r="J166" t="n">
        <v>275.1</v>
      </c>
      <c r="K166" s="13" t="n">
        <v>0.19</v>
      </c>
      <c r="L166" t="n">
        <v>52.27</v>
      </c>
      <c r="M166" t="n">
        <v>327.37</v>
      </c>
      <c r="N166" t="inlineStr">
        <is>
          <t>RON</t>
        </is>
      </c>
      <c r="O166" t="inlineStr">
        <is>
          <t>Alba Iulia</t>
        </is>
      </c>
      <c r="P166" s="12" t="n">
        <v>46319</v>
      </c>
      <c r="Q166">
        <f>IF(COUNTIF(tbl_Localitati[oras_oficial],[@oras])=0,"ORAS NEALINIAT",IF(XLOOKUP([@oras],tbl_Localitati[oras_oficial],tbl_Localitati[judet],"?")&lt;&gt;[@judet],"JUDET NECORESPUNZATOR",""))</f>
        <v/>
      </c>
      <c r="R166">
        <f>IF(XLOOKUP([@categorie],tbl_RegulriTVA[categorie],tbl_RegulriTVA[cota_legala],-1)&lt;&gt;[@cota_tva],"TVA GRESIT","")</f>
        <v/>
      </c>
      <c r="S166">
        <f>IF([@data_scadentei]&lt;[@data_factura],"SCADENTA INAINTEA FACTURII","")</f>
        <v/>
      </c>
      <c r="T166">
        <f>IF(NETWORKDAYS.INTL([@data_factura],[@data_factura],1,tbl_SarbatoriLegale[data])=0,"ZI NELUCRATOARE","")</f>
        <v/>
      </c>
      <c r="U166">
        <f>IF([@motiv_anomalie]="","OK","DE INVESTIGAT")</f>
        <v/>
      </c>
      <c r="V166">
        <f>TEXTJOIN("; ",TRUE,[@flag_oras],[@flag_tva],[@flag_scadenta],[@flag_zi])</f>
        <v/>
      </c>
    </row>
    <row r="167">
      <c r="A167" t="inlineStr">
        <is>
          <t>F-2025-00166</t>
        </is>
      </c>
      <c r="B167" s="12" t="n">
        <v>46153</v>
      </c>
      <c r="C167" t="inlineStr">
        <is>
          <t>SC PROVITA MEDICAL SRL</t>
        </is>
      </c>
      <c r="D167" t="inlineStr">
        <is>
          <t>Mureș</t>
        </is>
      </c>
      <c r="E167" t="inlineStr">
        <is>
          <t>PRD-003</t>
        </is>
      </c>
      <c r="F167" t="inlineStr">
        <is>
          <t>Licenta Office 365 anuala</t>
        </is>
      </c>
      <c r="G167" t="inlineStr">
        <is>
          <t>Licențe software</t>
        </is>
      </c>
      <c r="H167" t="n">
        <v>1</v>
      </c>
      <c r="I167" t="n">
        <v>4345.06</v>
      </c>
      <c r="J167" t="n">
        <v>4345.06</v>
      </c>
      <c r="K167" s="13" t="n">
        <v>0.19</v>
      </c>
      <c r="L167" t="n">
        <v>825.5599999999999</v>
      </c>
      <c r="M167" t="n">
        <v>5170.62</v>
      </c>
      <c r="N167" t="inlineStr">
        <is>
          <t>RON</t>
        </is>
      </c>
      <c r="O167" t="inlineStr">
        <is>
          <t>Târgu Mureș</t>
        </is>
      </c>
      <c r="P167" s="12" t="n">
        <v>46183</v>
      </c>
      <c r="Q167">
        <f>IF(COUNTIF(tbl_Localitati[oras_oficial],[@oras])=0,"ORAS NEALINIAT",IF(XLOOKUP([@oras],tbl_Localitati[oras_oficial],tbl_Localitati[judet],"?")&lt;&gt;[@judet],"JUDET NECORESPUNZATOR",""))</f>
        <v/>
      </c>
      <c r="R167">
        <f>IF(XLOOKUP([@categorie],tbl_RegulriTVA[categorie],tbl_RegulriTVA[cota_legala],-1)&lt;&gt;[@cota_tva],"TVA GRESIT","")</f>
        <v/>
      </c>
      <c r="S167">
        <f>IF([@data_scadentei]&lt;[@data_factura],"SCADENTA INAINTEA FACTURII","")</f>
        <v/>
      </c>
      <c r="T167">
        <f>IF(NETWORKDAYS.INTL([@data_factura],[@data_factura],1,tbl_SarbatoriLegale[data])=0,"ZI NELUCRATOARE","")</f>
        <v/>
      </c>
      <c r="U167">
        <f>IF([@motiv_anomalie]="","OK","DE INVESTIGAT")</f>
        <v/>
      </c>
      <c r="V167">
        <f>TEXTJOIN("; ",TRUE,[@flag_oras],[@flag_tva],[@flag_scadenta],[@flag_zi])</f>
        <v/>
      </c>
    </row>
    <row r="168">
      <c r="A168" t="inlineStr">
        <is>
          <t>F-2025-00167</t>
        </is>
      </c>
      <c r="B168" s="12" t="n">
        <v>46083</v>
      </c>
      <c r="C168" t="inlineStr">
        <is>
          <t>SC INTEGROMED SA</t>
        </is>
      </c>
      <c r="D168" t="inlineStr">
        <is>
          <t>Cluj</t>
        </is>
      </c>
      <c r="E168" t="inlineStr">
        <is>
          <t>PRD-009</t>
        </is>
      </c>
      <c r="F168" t="inlineStr">
        <is>
          <t>Server rack 1U</t>
        </is>
      </c>
      <c r="G168" t="inlineStr">
        <is>
          <t>Hardware IT</t>
        </is>
      </c>
      <c r="H168" t="n">
        <v>20</v>
      </c>
      <c r="I168" t="n">
        <v>28.93</v>
      </c>
      <c r="J168" t="n">
        <v>578.6</v>
      </c>
      <c r="K168" s="13" t="n">
        <v>0.19</v>
      </c>
      <c r="L168" t="n">
        <v>109.93</v>
      </c>
      <c r="M168" t="n">
        <v>688.53</v>
      </c>
      <c r="N168" t="inlineStr">
        <is>
          <t>RON</t>
        </is>
      </c>
      <c r="O168" t="inlineStr">
        <is>
          <t>Cluj-Napoca</t>
        </is>
      </c>
      <c r="P168" s="12" t="n">
        <v>46113</v>
      </c>
      <c r="Q168">
        <f>IF(COUNTIF(tbl_Localitati[oras_oficial],[@oras])=0,"ORAS NEALINIAT",IF(XLOOKUP([@oras],tbl_Localitati[oras_oficial],tbl_Localitati[judet],"?")&lt;&gt;[@judet],"JUDET NECORESPUNZATOR",""))</f>
        <v/>
      </c>
      <c r="R168">
        <f>IF(XLOOKUP([@categorie],tbl_RegulriTVA[categorie],tbl_RegulriTVA[cota_legala],-1)&lt;&gt;[@cota_tva],"TVA GRESIT","")</f>
        <v/>
      </c>
      <c r="S168">
        <f>IF([@data_scadentei]&lt;[@data_factura],"SCADENTA INAINTEA FACTURII","")</f>
        <v/>
      </c>
      <c r="T168">
        <f>IF(NETWORKDAYS.INTL([@data_factura],[@data_factura],1,tbl_SarbatoriLegale[data])=0,"ZI NELUCRATOARE","")</f>
        <v/>
      </c>
      <c r="U168">
        <f>IF([@motiv_anomalie]="","OK","DE INVESTIGAT")</f>
        <v/>
      </c>
      <c r="V168">
        <f>TEXTJOIN("; ",TRUE,[@flag_oras],[@flag_tva],[@flag_scadenta],[@flag_zi])</f>
        <v/>
      </c>
    </row>
    <row r="169">
      <c r="A169" t="inlineStr">
        <is>
          <t>F-2025-00168</t>
        </is>
      </c>
      <c r="B169" s="12" t="n">
        <v>46084</v>
      </c>
      <c r="C169" t="inlineStr">
        <is>
          <t>SC NORDIS DISTRIBUTIE SRL</t>
        </is>
      </c>
      <c r="D169" t="inlineStr">
        <is>
          <t>Constanța</t>
        </is>
      </c>
      <c r="E169" t="inlineStr">
        <is>
          <t>PRD-006</t>
        </is>
      </c>
      <c r="F169" t="inlineStr">
        <is>
          <t>Dezinfectant maini 5L</t>
        </is>
      </c>
      <c r="G169" t="inlineStr">
        <is>
          <t>Produse farmaceutice</t>
        </is>
      </c>
      <c r="H169" t="n">
        <v>10</v>
      </c>
      <c r="I169" t="n">
        <v>772.22</v>
      </c>
      <c r="J169" t="n">
        <v>7722.2</v>
      </c>
      <c r="K169" s="13" t="n">
        <v>0.09</v>
      </c>
      <c r="L169" t="n">
        <v>695</v>
      </c>
      <c r="M169" t="n">
        <v>8417.200000000001</v>
      </c>
      <c r="N169" t="inlineStr">
        <is>
          <t>RON</t>
        </is>
      </c>
      <c r="O169" t="inlineStr">
        <is>
          <t>Mangalia</t>
        </is>
      </c>
      <c r="P169" s="12" t="n">
        <v>46144</v>
      </c>
      <c r="Q169">
        <f>IF(COUNTIF(tbl_Localitati[oras_oficial],[@oras])=0,"ORAS NEALINIAT",IF(XLOOKUP([@oras],tbl_Localitati[oras_oficial],tbl_Localitati[judet],"?")&lt;&gt;[@judet],"JUDET NECORESPUNZATOR",""))</f>
        <v/>
      </c>
      <c r="R169">
        <f>IF(XLOOKUP([@categorie],tbl_RegulriTVA[categorie],tbl_RegulriTVA[cota_legala],-1)&lt;&gt;[@cota_tva],"TVA GRESIT","")</f>
        <v/>
      </c>
      <c r="S169">
        <f>IF([@data_scadentei]&lt;[@data_factura],"SCADENTA INAINTEA FACTURII","")</f>
        <v/>
      </c>
      <c r="T169">
        <f>IF(NETWORKDAYS.INTL([@data_factura],[@data_factura],1,tbl_SarbatoriLegale[data])=0,"ZI NELUCRATOARE","")</f>
        <v/>
      </c>
      <c r="U169">
        <f>IF([@motiv_anomalie]="","OK","DE INVESTIGAT")</f>
        <v/>
      </c>
      <c r="V169">
        <f>TEXTJOIN("; ",TRUE,[@flag_oras],[@flag_tva],[@flag_scadenta],[@flag_zi])</f>
        <v/>
      </c>
    </row>
    <row r="170">
      <c r="A170" t="inlineStr">
        <is>
          <t>F-2025-00169</t>
        </is>
      </c>
      <c r="B170" s="12" t="n">
        <v>46183</v>
      </c>
      <c r="C170" t="inlineStr">
        <is>
          <t>SC ELECTROBUILD SRL</t>
        </is>
      </c>
      <c r="D170" t="inlineStr">
        <is>
          <t>Bacău</t>
        </is>
      </c>
      <c r="E170" t="inlineStr">
        <is>
          <t>PRD-007</t>
        </is>
      </c>
      <c r="F170" t="inlineStr">
        <is>
          <t>Monitor 27" 4K</t>
        </is>
      </c>
      <c r="G170" t="inlineStr">
        <is>
          <t>Hardware IT</t>
        </is>
      </c>
      <c r="H170" t="n">
        <v>5</v>
      </c>
      <c r="I170" t="n">
        <v>183.24</v>
      </c>
      <c r="J170" t="n">
        <v>916.2</v>
      </c>
      <c r="K170" s="13" t="n">
        <v>0.19</v>
      </c>
      <c r="L170" t="n">
        <v>174.08</v>
      </c>
      <c r="M170" t="n">
        <v>1090.28</v>
      </c>
      <c r="N170" t="inlineStr">
        <is>
          <t>RON</t>
        </is>
      </c>
      <c r="O170" t="inlineStr">
        <is>
          <t>Bacău</t>
        </is>
      </c>
      <c r="P170" s="12" t="n">
        <v>46213</v>
      </c>
      <c r="Q170">
        <f>IF(COUNTIF(tbl_Localitati[oras_oficial],[@oras])=0,"ORAS NEALINIAT",IF(XLOOKUP([@oras],tbl_Localitati[oras_oficial],tbl_Localitati[judet],"?")&lt;&gt;[@judet],"JUDET NECORESPUNZATOR",""))</f>
        <v/>
      </c>
      <c r="R170">
        <f>IF(XLOOKUP([@categorie],tbl_RegulriTVA[categorie],tbl_RegulriTVA[cota_legala],-1)&lt;&gt;[@cota_tva],"TVA GRESIT","")</f>
        <v/>
      </c>
      <c r="S170">
        <f>IF([@data_scadentei]&lt;[@data_factura],"SCADENTA INAINTEA FACTURII","")</f>
        <v/>
      </c>
      <c r="T170">
        <f>IF(NETWORKDAYS.INTL([@data_factura],[@data_factura],1,tbl_SarbatoriLegale[data])=0,"ZI NELUCRATOARE","")</f>
        <v/>
      </c>
      <c r="U170">
        <f>IF([@motiv_anomalie]="","OK","DE INVESTIGAT")</f>
        <v/>
      </c>
      <c r="V170">
        <f>TEXTJOIN("; ",TRUE,[@flag_oras],[@flag_tva],[@flag_scadenta],[@flag_zi])</f>
        <v/>
      </c>
    </row>
    <row r="171">
      <c r="A171" t="inlineStr">
        <is>
          <t>F-2025-00170</t>
        </is>
      </c>
      <c r="B171" s="12" t="n">
        <v>46202</v>
      </c>
      <c r="C171" t="inlineStr">
        <is>
          <t>SC OMEGA SOFT SRL</t>
        </is>
      </c>
      <c r="D171" t="inlineStr">
        <is>
          <t>Dolj</t>
        </is>
      </c>
      <c r="E171" t="inlineStr">
        <is>
          <t>PRD-006</t>
        </is>
      </c>
      <c r="F171" t="inlineStr">
        <is>
          <t>Consultanta implementare IT</t>
        </is>
      </c>
      <c r="G171" t="inlineStr">
        <is>
          <t>Servicii consultanță</t>
        </is>
      </c>
      <c r="H171" t="n">
        <v>5</v>
      </c>
      <c r="I171" t="n">
        <v>758.48</v>
      </c>
      <c r="J171" t="n">
        <v>3792.4</v>
      </c>
      <c r="K171" s="13" t="n">
        <v>0.19</v>
      </c>
      <c r="L171" t="n">
        <v>720.5599999999999</v>
      </c>
      <c r="M171" t="n">
        <v>4512.96</v>
      </c>
      <c r="N171" t="inlineStr">
        <is>
          <t>USD</t>
        </is>
      </c>
      <c r="O171" t="inlineStr">
        <is>
          <t>Pitesci</t>
        </is>
      </c>
      <c r="P171" s="12" t="n">
        <v>46232</v>
      </c>
      <c r="Q171">
        <f>IF(COUNTIF(tbl_Localitati[oras_oficial],[@oras])=0,"ORAS NEALINIAT",IF(XLOOKUP([@oras],tbl_Localitati[oras_oficial],tbl_Localitati[judet],"?")&lt;&gt;[@judet],"JUDET NECORESPUNZATOR",""))</f>
        <v/>
      </c>
      <c r="R171">
        <f>IF(XLOOKUP([@categorie],tbl_RegulriTVA[categorie],tbl_RegulriTVA[cota_legala],-1)&lt;&gt;[@cota_tva],"TVA GRESIT","")</f>
        <v/>
      </c>
      <c r="S171">
        <f>IF([@data_scadentei]&lt;[@data_factura],"SCADENTA INAINTEA FACTURII","")</f>
        <v/>
      </c>
      <c r="T171">
        <f>IF(NETWORKDAYS.INTL([@data_factura],[@data_factura],1,tbl_SarbatoriLegale[data])=0,"ZI NELUCRATOARE","")</f>
        <v/>
      </c>
      <c r="U171">
        <f>IF([@motiv_anomalie]="","OK","DE INVESTIGAT")</f>
        <v/>
      </c>
      <c r="V171">
        <f>TEXTJOIN("; ",TRUE,[@flag_oras],[@flag_tva],[@flag_scadenta],[@flag_zi])</f>
        <v/>
      </c>
    </row>
    <row r="172">
      <c r="A172" t="inlineStr">
        <is>
          <t>F-2025-00171</t>
        </is>
      </c>
      <c r="B172" s="12" t="n">
        <v>46332</v>
      </c>
      <c r="C172" t="inlineStr">
        <is>
          <t>SC DACTECH SOLUTIONS SRL</t>
        </is>
      </c>
      <c r="D172" t="inlineStr">
        <is>
          <t>Argeș</t>
        </is>
      </c>
      <c r="E172" t="inlineStr">
        <is>
          <t>PRD-008</t>
        </is>
      </c>
      <c r="F172" t="inlineStr">
        <is>
          <t>Server rack 1U</t>
        </is>
      </c>
      <c r="G172" t="inlineStr">
        <is>
          <t>Hardware IT</t>
        </is>
      </c>
      <c r="H172" t="n">
        <v>10</v>
      </c>
      <c r="I172" t="n">
        <v>468.12</v>
      </c>
      <c r="J172" t="n">
        <v>4681.2</v>
      </c>
      <c r="K172" s="13" t="n">
        <v>0.19</v>
      </c>
      <c r="L172" t="n">
        <v>889.4299999999999</v>
      </c>
      <c r="M172" t="n">
        <v>5570.63</v>
      </c>
      <c r="N172" t="inlineStr">
        <is>
          <t>RON</t>
        </is>
      </c>
      <c r="O172" t="inlineStr">
        <is>
          <t>Pitești</t>
        </is>
      </c>
      <c r="P172" s="12" t="n">
        <v>46362</v>
      </c>
      <c r="Q172">
        <f>IF(COUNTIF(tbl_Localitati[oras_oficial],[@oras])=0,"ORAS NEALINIAT",IF(XLOOKUP([@oras],tbl_Localitati[oras_oficial],tbl_Localitati[judet],"?")&lt;&gt;[@judet],"JUDET NECORESPUNZATOR",""))</f>
        <v/>
      </c>
      <c r="R172">
        <f>IF(XLOOKUP([@categorie],tbl_RegulriTVA[categorie],tbl_RegulriTVA[cota_legala],-1)&lt;&gt;[@cota_tva],"TVA GRESIT","")</f>
        <v/>
      </c>
      <c r="S172">
        <f>IF([@data_scadentei]&lt;[@data_factura],"SCADENTA INAINTEA FACTURII","")</f>
        <v/>
      </c>
      <c r="T172">
        <f>IF(NETWORKDAYS.INTL([@data_factura],[@data_factura],1,tbl_SarbatoriLegale[data])=0,"ZI NELUCRATOARE","")</f>
        <v/>
      </c>
      <c r="U172">
        <f>IF([@motiv_anomalie]="","OK","DE INVESTIGAT")</f>
        <v/>
      </c>
      <c r="V172">
        <f>TEXTJOIN("; ",TRUE,[@flag_oras],[@flag_tva],[@flag_scadenta],[@flag_zi])</f>
        <v/>
      </c>
    </row>
    <row r="173">
      <c r="A173" t="inlineStr">
        <is>
          <t>F-2025-00172</t>
        </is>
      </c>
      <c r="B173" s="12" t="n">
        <v>46244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Manual proceduri interne</t>
        </is>
      </c>
      <c r="G173" t="inlineStr">
        <is>
          <t>Cărți și manuale</t>
        </is>
      </c>
      <c r="H173" t="n">
        <v>3</v>
      </c>
      <c r="I173" t="n">
        <v>2389.84</v>
      </c>
      <c r="J173" t="n">
        <v>7169.52</v>
      </c>
      <c r="K173" s="13" t="n">
        <v>0.05</v>
      </c>
      <c r="L173" t="n">
        <v>358.48</v>
      </c>
      <c r="M173" t="n">
        <v>7528</v>
      </c>
      <c r="N173" t="inlineStr">
        <is>
          <t>RON</t>
        </is>
      </c>
      <c r="O173" t="inlineStr">
        <is>
          <t>Sibiu</t>
        </is>
      </c>
      <c r="P173" s="12" t="n">
        <v>46304</v>
      </c>
      <c r="Q173">
        <f>IF(COUNTIF(tbl_Localitati[oras_oficial],[@oras])=0,"ORAS NEALINIAT",IF(XLOOKUP([@oras],tbl_Localitati[oras_oficial],tbl_Localitati[judet],"?")&lt;&gt;[@judet],"JUDET NECORESPUNZATOR",""))</f>
        <v/>
      </c>
      <c r="R173">
        <f>IF(XLOOKUP([@categorie],tbl_RegulriTVA[categorie],tbl_RegulriTVA[cota_legala],-1)&lt;&gt;[@cota_tva],"TVA GRESIT","")</f>
        <v/>
      </c>
      <c r="S173">
        <f>IF([@data_scadentei]&lt;[@data_factura],"SCADENTA INAINTEA FACTURII","")</f>
        <v/>
      </c>
      <c r="T173">
        <f>IF(NETWORKDAYS.INTL([@data_factura],[@data_factura],1,tbl_SarbatoriLegale[data])=0,"ZI NELUCRATOARE","")</f>
        <v/>
      </c>
      <c r="U173">
        <f>IF([@motiv_anomalie]="","OK","DE INVESTIGAT")</f>
        <v/>
      </c>
      <c r="V173">
        <f>TEXTJOIN("; ",TRUE,[@flag_oras],[@flag_tva],[@flag_scadenta],[@flag_zi])</f>
        <v/>
      </c>
    </row>
    <row r="174">
      <c r="A174" t="inlineStr">
        <is>
          <t>F-2025-00173</t>
        </is>
      </c>
      <c r="B174" s="12" t="n">
        <v>46240</v>
      </c>
      <c r="C174" t="inlineStr">
        <is>
          <t>SC NORDIS DISTRIBUTIE SRL</t>
        </is>
      </c>
      <c r="D174" t="inlineStr">
        <is>
          <t>Constanța</t>
        </is>
      </c>
      <c r="E174" t="inlineStr">
        <is>
          <t>PRD-006</t>
        </is>
      </c>
      <c r="F174" t="inlineStr">
        <is>
          <t>Set carti formare</t>
        </is>
      </c>
      <c r="G174" t="inlineStr">
        <is>
          <t>Cărți și manuale</t>
        </is>
      </c>
      <c r="H174" t="n">
        <v>25</v>
      </c>
      <c r="I174" t="n">
        <v>751.45</v>
      </c>
      <c r="J174" t="n">
        <v>18786.25</v>
      </c>
      <c r="K174" s="13" t="n">
        <v>0.05</v>
      </c>
      <c r="L174" t="n">
        <v>939.3099999999999</v>
      </c>
      <c r="M174" t="n">
        <v>19725.56</v>
      </c>
      <c r="N174" t="inlineStr">
        <is>
          <t>RON</t>
        </is>
      </c>
      <c r="O174" t="inlineStr">
        <is>
          <t>Mangalia</t>
        </is>
      </c>
      <c r="P174" s="12" t="n">
        <v>46270</v>
      </c>
      <c r="Q174">
        <f>IF(COUNTIF(tbl_Localitati[oras_oficial],[@oras])=0,"ORAS NEALINIAT",IF(XLOOKUP([@oras],tbl_Localitati[oras_oficial],tbl_Localitati[judet],"?")&lt;&gt;[@judet],"JUDET NECORESPUNZATOR",""))</f>
        <v/>
      </c>
      <c r="R174">
        <f>IF(XLOOKUP([@categorie],tbl_RegulriTVA[categorie],tbl_RegulriTVA[cota_legala],-1)&lt;&gt;[@cota_tva],"TVA GRESIT","")</f>
        <v/>
      </c>
      <c r="S174">
        <f>IF([@data_scadentei]&lt;[@data_factura],"SCADENTA INAINTEA FACTURII","")</f>
        <v/>
      </c>
      <c r="T174">
        <f>IF(NETWORKDAYS.INTL([@data_factura],[@data_factura],1,tbl_SarbatoriLegale[data])=0,"ZI NELUCRATOARE","")</f>
        <v/>
      </c>
      <c r="U174">
        <f>IF([@motiv_anomalie]="","OK","DE INVESTIGAT")</f>
        <v/>
      </c>
      <c r="V174">
        <f>TEXTJOIN("; ",TRUE,[@flag_oras],[@flag_tva],[@flag_scadenta],[@flag_zi])</f>
        <v/>
      </c>
    </row>
    <row r="175">
      <c r="A175" t="inlineStr">
        <is>
          <t>F-2025-00174</t>
        </is>
      </c>
      <c r="B175" s="12" t="n">
        <v>46374</v>
      </c>
      <c r="C175" t="inlineStr">
        <is>
          <t>SC NORDIS DISTRIBUTIE SRL</t>
        </is>
      </c>
      <c r="D175" t="inlineStr">
        <is>
          <t>Constanța</t>
        </is>
      </c>
      <c r="E175" t="inlineStr">
        <is>
          <t>PRD-005</t>
        </is>
      </c>
      <c r="F175" t="inlineStr">
        <is>
          <t>Monitor 27" 4K</t>
        </is>
      </c>
      <c r="G175" t="inlineStr">
        <is>
          <t>Hardware IT</t>
        </is>
      </c>
      <c r="H175" t="n">
        <v>2</v>
      </c>
      <c r="I175" t="n">
        <v>244.04</v>
      </c>
      <c r="J175" t="n">
        <v>488.08</v>
      </c>
      <c r="K175" s="13" t="n">
        <v>0.19</v>
      </c>
      <c r="L175" t="n">
        <v>92.73999999999999</v>
      </c>
      <c r="M175" t="n">
        <v>580.8200000000001</v>
      </c>
      <c r="N175" t="inlineStr">
        <is>
          <t>RON</t>
        </is>
      </c>
      <c r="O175" t="inlineStr">
        <is>
          <t>Mangalia</t>
        </is>
      </c>
      <c r="P175" s="12" t="n">
        <v>46404</v>
      </c>
      <c r="Q175">
        <f>IF(COUNTIF(tbl_Localitati[oras_oficial],[@oras])=0,"ORAS NEALINIAT",IF(XLOOKUP([@oras],tbl_Localitati[oras_oficial],tbl_Localitati[judet],"?")&lt;&gt;[@judet],"JUDET NECORESPUNZATOR",""))</f>
        <v/>
      </c>
      <c r="R175">
        <f>IF(XLOOKUP([@categorie],tbl_RegulriTVA[categorie],tbl_RegulriTVA[cota_legala],-1)&lt;&gt;[@cota_tva],"TVA GRESIT","")</f>
        <v/>
      </c>
      <c r="S175">
        <f>IF([@data_scadentei]&lt;[@data_factura],"SCADENTA INAINTEA FACTURII","")</f>
        <v/>
      </c>
      <c r="T175">
        <f>IF(NETWORKDAYS.INTL([@data_factura],[@data_factura],1,tbl_SarbatoriLegale[data])=0,"ZI NELUCRATOARE","")</f>
        <v/>
      </c>
      <c r="U175">
        <f>IF([@motiv_anomalie]="","OK","DE INVESTIGAT")</f>
        <v/>
      </c>
      <c r="V175">
        <f>TEXTJOIN("; ",TRUE,[@flag_oras],[@flag_tva],[@flag_scadenta],[@flag_zi])</f>
        <v/>
      </c>
    </row>
    <row r="176">
      <c r="A176" t="inlineStr">
        <is>
          <t>F-2025-00175</t>
        </is>
      </c>
      <c r="B176" s="12" t="n">
        <v>46171</v>
      </c>
      <c r="C176" t="inlineStr">
        <is>
          <t>SC ELECTROBUILD SRL</t>
        </is>
      </c>
      <c r="D176" t="inlineStr">
        <is>
          <t>Bacău</t>
        </is>
      </c>
      <c r="E176" t="inlineStr">
        <is>
          <t>PRD-011</t>
        </is>
      </c>
      <c r="F176" t="inlineStr">
        <is>
          <t>Carte tehnica IT</t>
        </is>
      </c>
      <c r="G176" t="inlineStr">
        <is>
          <t>Cărți și manuale</t>
        </is>
      </c>
      <c r="H176" t="n">
        <v>50</v>
      </c>
      <c r="I176" t="n">
        <v>43.16</v>
      </c>
      <c r="J176" t="n">
        <v>2158</v>
      </c>
      <c r="K176" s="13" t="n">
        <v>0.05</v>
      </c>
      <c r="L176" t="n">
        <v>107.9</v>
      </c>
      <c r="M176" t="n">
        <v>2265.9</v>
      </c>
      <c r="N176" t="inlineStr">
        <is>
          <t>RON</t>
        </is>
      </c>
      <c r="O176" t="inlineStr">
        <is>
          <t>Bacău</t>
        </is>
      </c>
      <c r="P176" s="12" t="n">
        <v>46201</v>
      </c>
      <c r="Q176">
        <f>IF(COUNTIF(tbl_Localitati[oras_oficial],[@oras])=0,"ORAS NEALINIAT",IF(XLOOKUP([@oras],tbl_Localitati[oras_oficial],tbl_Localitati[judet],"?")&lt;&gt;[@judet],"JUDET NECORESPUNZATOR",""))</f>
        <v/>
      </c>
      <c r="R176">
        <f>IF(XLOOKUP([@categorie],tbl_RegulriTVA[categorie],tbl_RegulriTVA[cota_legala],-1)&lt;&gt;[@cota_tva],"TVA GRESIT","")</f>
        <v/>
      </c>
      <c r="S176">
        <f>IF([@data_scadentei]&lt;[@data_factura],"SCADENTA INAINTEA FACTURII","")</f>
        <v/>
      </c>
      <c r="T176">
        <f>IF(NETWORKDAYS.INTL([@data_factura],[@data_factura],1,tbl_SarbatoriLegale[data])=0,"ZI NELUCRATOARE","")</f>
        <v/>
      </c>
      <c r="U176">
        <f>IF([@motiv_anomalie]="","OK","DE INVESTIGAT")</f>
        <v/>
      </c>
      <c r="V176">
        <f>TEXTJOIN("; ",TRUE,[@flag_oras],[@flag_tva],[@flag_scadenta],[@flag_zi])</f>
        <v/>
      </c>
    </row>
    <row r="177">
      <c r="A177" t="inlineStr">
        <is>
          <t>F-2025-00176</t>
        </is>
      </c>
      <c r="B177" s="12" t="n">
        <v>46107</v>
      </c>
      <c r="C177" t="inlineStr">
        <is>
          <t>SC NORDIS DISTRIBUTIE SRL</t>
        </is>
      </c>
      <c r="D177" t="inlineStr">
        <is>
          <t>Constanța</t>
        </is>
      </c>
      <c r="E177" t="inlineStr">
        <is>
          <t>PRD-010</t>
        </is>
      </c>
      <c r="F177" t="inlineStr">
        <is>
          <t>Telefon IP birou</t>
        </is>
      </c>
      <c r="G177" t="inlineStr">
        <is>
          <t>Echipamente birou</t>
        </is>
      </c>
      <c r="H177" t="n">
        <v>10</v>
      </c>
      <c r="I177" t="n">
        <v>361.46</v>
      </c>
      <c r="J177" t="n">
        <v>3614.6</v>
      </c>
      <c r="K177" s="13" t="n">
        <v>0.19</v>
      </c>
      <c r="L177" t="n">
        <v>686.77</v>
      </c>
      <c r="M177" t="n">
        <v>4301.37</v>
      </c>
      <c r="N177" t="inlineStr">
        <is>
          <t>RON</t>
        </is>
      </c>
      <c r="O177" t="inlineStr">
        <is>
          <t>Clum Napoca</t>
        </is>
      </c>
      <c r="P177" s="12" t="n">
        <v>46137</v>
      </c>
      <c r="Q177">
        <f>IF(COUNTIF(tbl_Localitati[oras_oficial],[@oras])=0,"ORAS NEALINIAT",IF(XLOOKUP([@oras],tbl_Localitati[oras_oficial],tbl_Localitati[judet],"?")&lt;&gt;[@judet],"JUDET NECORESPUNZATOR",""))</f>
        <v/>
      </c>
      <c r="R177">
        <f>IF(XLOOKUP([@categorie],tbl_RegulriTVA[categorie],tbl_RegulriTVA[cota_legala],-1)&lt;&gt;[@cota_tva],"TVA GRESIT","")</f>
        <v/>
      </c>
      <c r="S177">
        <f>IF([@data_scadentei]&lt;[@data_factura],"SCADENTA INAINTEA FACTURII","")</f>
        <v/>
      </c>
      <c r="T177">
        <f>IF(NETWORKDAYS.INTL([@data_factura],[@data_factura],1,tbl_SarbatoriLegale[data])=0,"ZI NELUCRATOARE","")</f>
        <v/>
      </c>
      <c r="U177">
        <f>IF([@motiv_anomalie]="","OK","DE INVESTIGAT")</f>
        <v/>
      </c>
      <c r="V177">
        <f>TEXTJOIN("; ",TRUE,[@flag_oras],[@flag_tva],[@flag_scadenta],[@flag_zi])</f>
        <v/>
      </c>
    </row>
    <row r="178">
      <c r="A178" t="inlineStr">
        <is>
          <t>F-2025-00177</t>
        </is>
      </c>
      <c r="B178" s="12" t="n">
        <v>46038</v>
      </c>
      <c r="C178" t="inlineStr">
        <is>
          <t>SC SOLARIS ENERGY SRL</t>
        </is>
      </c>
      <c r="D178" t="inlineStr">
        <is>
          <t>Prahova</t>
        </is>
      </c>
      <c r="E178" t="inlineStr">
        <is>
          <t>PRD-009</t>
        </is>
      </c>
      <c r="F178" t="inlineStr">
        <is>
          <t>Videoproiector sala</t>
        </is>
      </c>
      <c r="G178" t="inlineStr">
        <is>
          <t>Echipamente birou</t>
        </is>
      </c>
      <c r="H178" t="n">
        <v>10</v>
      </c>
      <c r="I178" t="n">
        <v>26.94</v>
      </c>
      <c r="J178" t="n">
        <v>269.4</v>
      </c>
      <c r="K178" s="13" t="n">
        <v>0.19</v>
      </c>
      <c r="L178" t="n">
        <v>51.19</v>
      </c>
      <c r="M178" t="n">
        <v>320.59</v>
      </c>
      <c r="N178" t="inlineStr">
        <is>
          <t>RON</t>
        </is>
      </c>
      <c r="O178" t="inlineStr">
        <is>
          <t>Câmpina</t>
        </is>
      </c>
      <c r="P178" s="12" t="n">
        <v>46068</v>
      </c>
      <c r="Q178">
        <f>IF(COUNTIF(tbl_Localitati[oras_oficial],[@oras])=0,"ORAS NEALINIAT",IF(XLOOKUP([@oras],tbl_Localitati[oras_oficial],tbl_Localitati[judet],"?")&lt;&gt;[@judet],"JUDET NECORESPUNZATOR",""))</f>
        <v/>
      </c>
      <c r="R178">
        <f>IF(XLOOKUP([@categorie],tbl_RegulriTVA[categorie],tbl_RegulriTVA[cota_legala],-1)&lt;&gt;[@cota_tva],"TVA GRESIT","")</f>
        <v/>
      </c>
      <c r="S178">
        <f>IF([@data_scadentei]&lt;[@data_factura],"SCADENTA INAINTEA FACTURII","")</f>
        <v/>
      </c>
      <c r="T178">
        <f>IF(NETWORKDAYS.INTL([@data_factura],[@data_factura],1,tbl_SarbatoriLegale[data])=0,"ZI NELUCRATOARE","")</f>
        <v/>
      </c>
      <c r="U178">
        <f>IF([@motiv_anomalie]="","OK","DE INVESTIGAT")</f>
        <v/>
      </c>
      <c r="V178">
        <f>TEXTJOIN("; ",TRUE,[@flag_oras],[@flag_tva],[@flag_scadenta],[@flag_zi])</f>
        <v/>
      </c>
    </row>
    <row r="179">
      <c r="A179" t="inlineStr">
        <is>
          <t>F-2025-00178</t>
        </is>
      </c>
      <c r="B179" s="12" t="n">
        <v>46276</v>
      </c>
      <c r="C179" t="inlineStr">
        <is>
          <t>SC UNIFOOD DISTRIBUTION SA</t>
        </is>
      </c>
      <c r="D179" t="inlineStr">
        <is>
          <t>Sibiu</t>
        </is>
      </c>
      <c r="E179" t="inlineStr">
        <is>
          <t>PRD-004</t>
        </is>
      </c>
      <c r="F179" t="inlineStr">
        <is>
          <t>Apa plata bax</t>
        </is>
      </c>
      <c r="G179" t="inlineStr">
        <is>
          <t>Alimente</t>
        </is>
      </c>
      <c r="H179" t="n">
        <v>1</v>
      </c>
      <c r="I179" t="n">
        <v>890.84</v>
      </c>
      <c r="J179" t="n">
        <v>890.84</v>
      </c>
      <c r="K179" s="13" t="n">
        <v>0.09</v>
      </c>
      <c r="L179" t="n">
        <v>80.18000000000001</v>
      </c>
      <c r="M179" t="n">
        <v>971.02</v>
      </c>
      <c r="N179" t="inlineStr">
        <is>
          <t>RON</t>
        </is>
      </c>
      <c r="O179" t="inlineStr">
        <is>
          <t>Mediaș</t>
        </is>
      </c>
      <c r="P179" s="12" t="n">
        <v>46306</v>
      </c>
      <c r="Q179">
        <f>IF(COUNTIF(tbl_Localitati[oras_oficial],[@oras])=0,"ORAS NEALINIAT",IF(XLOOKUP([@oras],tbl_Localitati[oras_oficial],tbl_Localitati[judet],"?")&lt;&gt;[@judet],"JUDET NECORESPUNZATOR",""))</f>
        <v/>
      </c>
      <c r="R179">
        <f>IF(XLOOKUP([@categorie],tbl_RegulriTVA[categorie],tbl_RegulriTVA[cota_legala],-1)&lt;&gt;[@cota_tva],"TVA GRESIT","")</f>
        <v/>
      </c>
      <c r="S179">
        <f>IF([@data_scadentei]&lt;[@data_factura],"SCADENTA INAINTEA FACTURII","")</f>
        <v/>
      </c>
      <c r="T179">
        <f>IF(NETWORKDAYS.INTL([@data_factura],[@data_factura],1,tbl_SarbatoriLegale[data])=0,"ZI NELUCRATOARE","")</f>
        <v/>
      </c>
      <c r="U179">
        <f>IF([@motiv_anomalie]="","OK","DE INVESTIGAT")</f>
        <v/>
      </c>
      <c r="V179">
        <f>TEXTJOIN("; ",TRUE,[@flag_oras],[@flag_tva],[@flag_scadenta],[@flag_zi])</f>
        <v/>
      </c>
    </row>
    <row r="180">
      <c r="A180" t="inlineStr">
        <is>
          <t>F-2025-00179</t>
        </is>
      </c>
      <c r="B180" s="12" t="n">
        <v>46366</v>
      </c>
      <c r="C180" t="inlineStr">
        <is>
          <t>SC INTEGROMED SA</t>
        </is>
      </c>
      <c r="D180" t="inlineStr">
        <is>
          <t>Cluj</t>
        </is>
      </c>
      <c r="E180" t="inlineStr">
        <is>
          <t>PRD-002</t>
        </is>
      </c>
      <c r="F180" t="inlineStr">
        <is>
          <t>Multifunctionala laser</t>
        </is>
      </c>
      <c r="G180" t="inlineStr">
        <is>
          <t>Echipamente birou</t>
        </is>
      </c>
      <c r="H180" t="n">
        <v>5</v>
      </c>
      <c r="I180" t="n">
        <v>1080.12</v>
      </c>
      <c r="J180" t="n">
        <v>5400.6</v>
      </c>
      <c r="K180" s="13" t="n">
        <v>0.19</v>
      </c>
      <c r="L180" t="n">
        <v>1026.11</v>
      </c>
      <c r="M180" t="n">
        <v>6426.71</v>
      </c>
      <c r="N180" t="inlineStr">
        <is>
          <t>RON</t>
        </is>
      </c>
      <c r="O180" t="inlineStr">
        <is>
          <t>Cluj-Napoca</t>
        </is>
      </c>
      <c r="P180" s="12" t="n">
        <v>46396</v>
      </c>
      <c r="Q180">
        <f>IF(COUNTIF(tbl_Localitati[oras_oficial],[@oras])=0,"ORAS NEALINIAT",IF(XLOOKUP([@oras],tbl_Localitati[oras_oficial],tbl_Localitati[judet],"?")&lt;&gt;[@judet],"JUDET NECORESPUNZATOR",""))</f>
        <v/>
      </c>
      <c r="R180">
        <f>IF(XLOOKUP([@categorie],tbl_RegulriTVA[categorie],tbl_RegulriTVA[cota_legala],-1)&lt;&gt;[@cota_tva],"TVA GRESIT","")</f>
        <v/>
      </c>
      <c r="S180">
        <f>IF([@data_scadentei]&lt;[@data_factura],"SCADENTA INAINTEA FACTURII","")</f>
        <v/>
      </c>
      <c r="T180">
        <f>IF(NETWORKDAYS.INTL([@data_factura],[@data_factura],1,tbl_SarbatoriLegale[data])=0,"ZI NELUCRATOARE","")</f>
        <v/>
      </c>
      <c r="U180">
        <f>IF([@motiv_anomalie]="","OK","DE INVESTIGAT")</f>
        <v/>
      </c>
      <c r="V180">
        <f>TEXTJOIN("; ",TRUE,[@flag_oras],[@flag_tva],[@flag_scadenta],[@flag_zi])</f>
        <v/>
      </c>
    </row>
    <row r="181">
      <c r="A181" t="inlineStr">
        <is>
          <t>F-2025-00180</t>
        </is>
      </c>
      <c r="B181" s="12" t="n">
        <v>46246</v>
      </c>
      <c r="C181" t="inlineStr">
        <is>
          <t>SC RAPID LOGISTIC SA</t>
        </is>
      </c>
      <c r="D181" t="inlineStr">
        <is>
          <t>Prahova</t>
        </is>
      </c>
      <c r="E181" t="inlineStr">
        <is>
          <t>PRD-007</t>
        </is>
      </c>
      <c r="F181" t="inlineStr">
        <is>
          <t>Multifunctionala laser</t>
        </is>
      </c>
      <c r="G181" t="inlineStr">
        <is>
          <t>Echipamente birou</t>
        </is>
      </c>
      <c r="H181" t="n">
        <v>10</v>
      </c>
      <c r="I181" t="n">
        <v>184.23</v>
      </c>
      <c r="J181" t="n">
        <v>1842.3</v>
      </c>
      <c r="K181" s="13" t="n">
        <v>0.19</v>
      </c>
      <c r="L181" t="n">
        <v>350.04</v>
      </c>
      <c r="M181" t="n">
        <v>2192.34</v>
      </c>
      <c r="N181" t="inlineStr">
        <is>
          <t>RON</t>
        </is>
      </c>
      <c r="O181" t="inlineStr">
        <is>
          <t>Ploiești</t>
        </is>
      </c>
      <c r="P181" s="12" t="n">
        <v>46291</v>
      </c>
      <c r="Q181">
        <f>IF(COUNTIF(tbl_Localitati[oras_oficial],[@oras])=0,"ORAS NEALINIAT",IF(XLOOKUP([@oras],tbl_Localitati[oras_oficial],tbl_Localitati[judet],"?")&lt;&gt;[@judet],"JUDET NECORESPUNZATOR",""))</f>
        <v/>
      </c>
      <c r="R181">
        <f>IF(XLOOKUP([@categorie],tbl_RegulriTVA[categorie],tbl_RegulriTVA[cota_legala],-1)&lt;&gt;[@cota_tva],"TVA GRESIT","")</f>
        <v/>
      </c>
      <c r="S181">
        <f>IF([@data_scadentei]&lt;[@data_factura],"SCADENTA INAINTEA FACTURII","")</f>
        <v/>
      </c>
      <c r="T181">
        <f>IF(NETWORKDAYS.INTL([@data_factura],[@data_factura],1,tbl_SarbatoriLegale[data])=0,"ZI NELUCRATOARE","")</f>
        <v/>
      </c>
      <c r="U181">
        <f>IF([@motiv_anomalie]="","OK","DE INVESTIGAT")</f>
        <v/>
      </c>
      <c r="V181">
        <f>TEXTJOIN("; ",TRUE,[@flag_oras],[@flag_tva],[@flag_scadenta],[@flag_zi])</f>
        <v/>
      </c>
    </row>
    <row r="182">
      <c r="A182" t="inlineStr">
        <is>
          <t>F-2025-00181</t>
        </is>
      </c>
      <c r="B182" s="12" t="n">
        <v>46265</v>
      </c>
      <c r="C182" t="inlineStr">
        <is>
          <t>SC AROMET TRADING SRL</t>
        </is>
      </c>
      <c r="D182" t="inlineStr">
        <is>
          <t>Alba</t>
        </is>
      </c>
      <c r="E182" t="inlineStr">
        <is>
          <t>PRD-001</t>
        </is>
      </c>
      <c r="F182" t="inlineStr">
        <is>
          <t>Statie de lucru desktop</t>
        </is>
      </c>
      <c r="G182" t="inlineStr">
        <is>
          <t>Hardware IT</t>
        </is>
      </c>
      <c r="H182" t="n">
        <v>5</v>
      </c>
      <c r="I182" t="n">
        <v>2487.4</v>
      </c>
      <c r="J182" t="n">
        <v>12437</v>
      </c>
      <c r="K182" s="13" t="n">
        <v>0.19</v>
      </c>
      <c r="L182" t="n">
        <v>2363.03</v>
      </c>
      <c r="M182" t="n">
        <v>14800.03</v>
      </c>
      <c r="N182" t="inlineStr">
        <is>
          <t>EUR</t>
        </is>
      </c>
      <c r="O182" t="inlineStr">
        <is>
          <t>Alba Iulia</t>
        </is>
      </c>
      <c r="P182" s="12" t="n">
        <v>46295</v>
      </c>
      <c r="Q182">
        <f>IF(COUNTIF(tbl_Localitati[oras_oficial],[@oras])=0,"ORAS NEALINIAT",IF(XLOOKUP([@oras],tbl_Localitati[oras_oficial],tbl_Localitati[judet],"?")&lt;&gt;[@judet],"JUDET NECORESPUNZATOR",""))</f>
        <v/>
      </c>
      <c r="R182">
        <f>IF(XLOOKUP([@categorie],tbl_RegulriTVA[categorie],tbl_RegulriTVA[cota_legala],-1)&lt;&gt;[@cota_tva],"TVA GRESIT","")</f>
        <v/>
      </c>
      <c r="S182">
        <f>IF([@data_scadentei]&lt;[@data_factura],"SCADENTA INAINTEA FACTURII","")</f>
        <v/>
      </c>
      <c r="T182">
        <f>IF(NETWORKDAYS.INTL([@data_factura],[@data_factura],1,tbl_SarbatoriLegale[data])=0,"ZI NELUCRATOARE","")</f>
        <v/>
      </c>
      <c r="U182">
        <f>IF([@motiv_anomalie]="","OK","DE INVESTIGAT")</f>
        <v/>
      </c>
      <c r="V182">
        <f>TEXTJOIN("; ",TRUE,[@flag_oras],[@flag_tva],[@flag_scadenta],[@flag_zi])</f>
        <v/>
      </c>
    </row>
    <row r="183">
      <c r="A183" t="inlineStr">
        <is>
          <t>F-2025-00182</t>
        </is>
      </c>
      <c r="B183" s="12" t="n">
        <v>46093</v>
      </c>
      <c r="C183" t="inlineStr">
        <is>
          <t>SC DACTECH SOLUTIONS SRL</t>
        </is>
      </c>
      <c r="D183" t="inlineStr">
        <is>
          <t>Argeș</t>
        </is>
      </c>
      <c r="E183" t="inlineStr">
        <is>
          <t>PRD-005</t>
        </is>
      </c>
      <c r="F183" t="inlineStr">
        <is>
          <t>Videoproiector sala</t>
        </is>
      </c>
      <c r="G183" t="inlineStr">
        <is>
          <t>Echipamente birou</t>
        </is>
      </c>
      <c r="H183" t="n">
        <v>1</v>
      </c>
      <c r="I183" t="n">
        <v>249.87</v>
      </c>
      <c r="J183" t="n">
        <v>249.87</v>
      </c>
      <c r="K183" s="13" t="n">
        <v>0.19</v>
      </c>
      <c r="L183" t="n">
        <v>47.48</v>
      </c>
      <c r="M183" t="n">
        <v>297.35</v>
      </c>
      <c r="N183" t="inlineStr">
        <is>
          <t>RON</t>
        </is>
      </c>
      <c r="O183" t="inlineStr">
        <is>
          <t>Pitești</t>
        </is>
      </c>
      <c r="P183" s="12" t="n">
        <v>46108</v>
      </c>
      <c r="Q183">
        <f>IF(COUNTIF(tbl_Localitati[oras_oficial],[@oras])=0,"ORAS NEALINIAT",IF(XLOOKUP([@oras],tbl_Localitati[oras_oficial],tbl_Localitati[judet],"?")&lt;&gt;[@judet],"JUDET NECORESPUNZATOR",""))</f>
        <v/>
      </c>
      <c r="R183">
        <f>IF(XLOOKUP([@categorie],tbl_RegulriTVA[categorie],tbl_RegulriTVA[cota_legala],-1)&lt;&gt;[@cota_tva],"TVA GRESIT","")</f>
        <v/>
      </c>
      <c r="S183">
        <f>IF([@data_scadentei]&lt;[@data_factura],"SCADENTA INAINTEA FACTURII","")</f>
        <v/>
      </c>
      <c r="T183">
        <f>IF(NETWORKDAYS.INTL([@data_factura],[@data_factura],1,tbl_SarbatoriLegale[data])=0,"ZI NELUCRATOARE","")</f>
        <v/>
      </c>
      <c r="U183">
        <f>IF([@motiv_anomalie]="","OK","DE INVESTIGAT")</f>
        <v/>
      </c>
      <c r="V183">
        <f>TEXTJOIN("; ",TRUE,[@flag_oras],[@flag_tva],[@flag_scadenta],[@flag_zi])</f>
        <v/>
      </c>
    </row>
    <row r="184">
      <c r="A184" t="inlineStr">
        <is>
          <t>F-2025-00183</t>
        </is>
      </c>
      <c r="B184" s="12" t="n">
        <v>46149</v>
      </c>
      <c r="C184" t="inlineStr">
        <is>
          <t>SC DACTECH SOLUTIONS SRL</t>
        </is>
      </c>
      <c r="D184" t="inlineStr">
        <is>
          <t>Argeș</t>
        </is>
      </c>
      <c r="E184" t="inlineStr">
        <is>
          <t>PRD-006</t>
        </is>
      </c>
      <c r="F184" t="inlineStr">
        <is>
          <t>Telefon IP birou</t>
        </is>
      </c>
      <c r="G184" t="inlineStr">
        <is>
          <t>Echipamente birou</t>
        </is>
      </c>
      <c r="H184" t="n">
        <v>5</v>
      </c>
      <c r="I184" t="n">
        <v>720.8200000000001</v>
      </c>
      <c r="J184" t="n">
        <v>3604.1</v>
      </c>
      <c r="K184" s="13" t="n">
        <v>0.19</v>
      </c>
      <c r="L184" t="n">
        <v>684.78</v>
      </c>
      <c r="M184" t="n">
        <v>4288.88</v>
      </c>
      <c r="N184" t="inlineStr">
        <is>
          <t>RON</t>
        </is>
      </c>
      <c r="O184" t="inlineStr">
        <is>
          <t>Pitești</t>
        </is>
      </c>
      <c r="P184" s="12" t="n">
        <v>46179</v>
      </c>
      <c r="Q184">
        <f>IF(COUNTIF(tbl_Localitati[oras_oficial],[@oras])=0,"ORAS NEALINIAT",IF(XLOOKUP([@oras],tbl_Localitati[oras_oficial],tbl_Localitati[judet],"?")&lt;&gt;[@judet],"JUDET NECORESPUNZATOR",""))</f>
        <v/>
      </c>
      <c r="R184">
        <f>IF(XLOOKUP([@categorie],tbl_RegulriTVA[categorie],tbl_RegulriTVA[cota_legala],-1)&lt;&gt;[@cota_tva],"TVA GRESIT","")</f>
        <v/>
      </c>
      <c r="S184">
        <f>IF([@data_scadentei]&lt;[@data_factura],"SCADENTA INAINTEA FACTURII","")</f>
        <v/>
      </c>
      <c r="T184">
        <f>IF(NETWORKDAYS.INTL([@data_factura],[@data_factura],1,tbl_SarbatoriLegale[data])=0,"ZI NELUCRATOARE","")</f>
        <v/>
      </c>
      <c r="U184">
        <f>IF([@motiv_anomalie]="","OK","DE INVESTIGAT")</f>
        <v/>
      </c>
      <c r="V184">
        <f>TEXTJOIN("; ",TRUE,[@flag_oras],[@flag_tva],[@flag_scadenta],[@flag_zi])</f>
        <v/>
      </c>
    </row>
    <row r="185">
      <c r="A185" t="inlineStr">
        <is>
          <t>F-2025-00184</t>
        </is>
      </c>
      <c r="B185" s="12" t="n">
        <v>46154</v>
      </c>
      <c r="C185" t="inlineStr">
        <is>
          <t>SC ZENITH AUTO SRL</t>
        </is>
      </c>
      <c r="D185" t="inlineStr">
        <is>
          <t>București</t>
        </is>
      </c>
      <c r="E185" t="inlineStr">
        <is>
          <t>PRD-005</t>
        </is>
      </c>
      <c r="F185" t="inlineStr">
        <is>
          <t>Licenta ERP contabilitate</t>
        </is>
      </c>
      <c r="G185" t="inlineStr">
        <is>
          <t>Licențe software</t>
        </is>
      </c>
      <c r="H185" t="n">
        <v>1</v>
      </c>
      <c r="I185" t="n">
        <v>241.08</v>
      </c>
      <c r="J185" t="n">
        <v>241.08</v>
      </c>
      <c r="K185" s="13" t="n">
        <v>0.19</v>
      </c>
      <c r="L185" t="n">
        <v>45.81</v>
      </c>
      <c r="M185" t="n">
        <v>286.89</v>
      </c>
      <c r="N185" t="inlineStr">
        <is>
          <t>RON</t>
        </is>
      </c>
      <c r="O185" t="inlineStr">
        <is>
          <t>București</t>
        </is>
      </c>
      <c r="P185" s="12" t="n">
        <v>46184</v>
      </c>
      <c r="Q185">
        <f>IF(COUNTIF(tbl_Localitati[oras_oficial],[@oras])=0,"ORAS NEALINIAT",IF(XLOOKUP([@oras],tbl_Localitati[oras_oficial],tbl_Localitati[judet],"?")&lt;&gt;[@judet],"JUDET NECORESPUNZATOR",""))</f>
        <v/>
      </c>
      <c r="R185">
        <f>IF(XLOOKUP([@categorie],tbl_RegulriTVA[categorie],tbl_RegulriTVA[cota_legala],-1)&lt;&gt;[@cota_tva],"TVA GRESIT","")</f>
        <v/>
      </c>
      <c r="S185">
        <f>IF([@data_scadentei]&lt;[@data_factura],"SCADENTA INAINTEA FACTURII","")</f>
        <v/>
      </c>
      <c r="T185">
        <f>IF(NETWORKDAYS.INTL([@data_factura],[@data_factura],1,tbl_SarbatoriLegale[data])=0,"ZI NELUCRATOARE","")</f>
        <v/>
      </c>
      <c r="U185">
        <f>IF([@motiv_anomalie]="","OK","DE INVESTIGAT")</f>
        <v/>
      </c>
      <c r="V185">
        <f>TEXTJOIN("; ",TRUE,[@flag_oras],[@flag_tva],[@flag_scadenta],[@flag_zi])</f>
        <v/>
      </c>
    </row>
    <row r="186">
      <c r="A186" t="inlineStr">
        <is>
          <t>F-2025-00185</t>
        </is>
      </c>
      <c r="B186" s="12" t="n">
        <v>46378</v>
      </c>
      <c r="C186" t="inlineStr">
        <is>
          <t>SC INTEGROMED SA</t>
        </is>
      </c>
      <c r="D186" t="inlineStr">
        <is>
          <t>Cluj</t>
        </is>
      </c>
      <c r="E186" t="inlineStr">
        <is>
          <t>PRD-009</t>
        </is>
      </c>
      <c r="F186" t="inlineStr">
        <is>
          <t>Ghid legislatie GDPR</t>
        </is>
      </c>
      <c r="G186" t="inlineStr">
        <is>
          <t>Cărți și manuale</t>
        </is>
      </c>
      <c r="H186" t="n">
        <v>20</v>
      </c>
      <c r="I186" t="n">
        <v>26.75</v>
      </c>
      <c r="J186" t="n">
        <v>535</v>
      </c>
      <c r="K186" s="13" t="n">
        <v>0.05</v>
      </c>
      <c r="L186" t="n">
        <v>26.75</v>
      </c>
      <c r="M186" t="n">
        <v>561.75</v>
      </c>
      <c r="N186" t="inlineStr">
        <is>
          <t>RON</t>
        </is>
      </c>
      <c r="O186" t="inlineStr">
        <is>
          <t>Cluj-Napoca</t>
        </is>
      </c>
      <c r="P186" s="12" t="n">
        <v>46408</v>
      </c>
      <c r="Q186">
        <f>IF(COUNTIF(tbl_Localitati[oras_oficial],[@oras])=0,"ORAS NEALINIAT",IF(XLOOKUP([@oras],tbl_Localitati[oras_oficial],tbl_Localitati[judet],"?")&lt;&gt;[@judet],"JUDET NECORESPUNZATOR",""))</f>
        <v/>
      </c>
      <c r="R186">
        <f>IF(XLOOKUP([@categorie],tbl_RegulriTVA[categorie],tbl_RegulriTVA[cota_legala],-1)&lt;&gt;[@cota_tva],"TVA GRESIT","")</f>
        <v/>
      </c>
      <c r="S186">
        <f>IF([@data_scadentei]&lt;[@data_factura],"SCADENTA INAINTEA FACTURII","")</f>
        <v/>
      </c>
      <c r="T186">
        <f>IF(NETWORKDAYS.INTL([@data_factura],[@data_factura],1,tbl_SarbatoriLegale[data])=0,"ZI NELUCRATOARE","")</f>
        <v/>
      </c>
      <c r="U186">
        <f>IF([@motiv_anomalie]="","OK","DE INVESTIGAT")</f>
        <v/>
      </c>
      <c r="V186">
        <f>TEXTJOIN("; ",TRUE,[@flag_oras],[@flag_tva],[@flag_scadenta],[@flag_zi])</f>
        <v/>
      </c>
    </row>
    <row r="187">
      <c r="A187" t="inlineStr">
        <is>
          <t>F-2025-00186</t>
        </is>
      </c>
      <c r="B187" s="12" t="n">
        <v>46203</v>
      </c>
      <c r="C187" t="inlineStr">
        <is>
          <t>SC NORDIS DISTRIBUTIE SRL</t>
        </is>
      </c>
      <c r="D187" t="inlineStr">
        <is>
          <t>Constanța</t>
        </is>
      </c>
      <c r="E187" t="inlineStr">
        <is>
          <t>PRD-007</t>
        </is>
      </c>
      <c r="F187" t="inlineStr">
        <is>
          <t>Switch gigabit 24p</t>
        </is>
      </c>
      <c r="G187" t="inlineStr">
        <is>
          <t>Hardware IT</t>
        </is>
      </c>
      <c r="H187" t="n">
        <v>1</v>
      </c>
      <c r="I187" t="n">
        <v>178.5</v>
      </c>
      <c r="J187" t="n">
        <v>178.5</v>
      </c>
      <c r="K187" s="13" t="n">
        <v>0.19</v>
      </c>
      <c r="L187" t="n">
        <v>33.91</v>
      </c>
      <c r="M187" t="n">
        <v>212.41</v>
      </c>
      <c r="N187" t="inlineStr">
        <is>
          <t>RON</t>
        </is>
      </c>
      <c r="O187" t="inlineStr">
        <is>
          <t>Mangalia</t>
        </is>
      </c>
      <c r="P187" s="12" t="n">
        <v>46218</v>
      </c>
      <c r="Q187">
        <f>IF(COUNTIF(tbl_Localitati[oras_oficial],[@oras])=0,"ORAS NEALINIAT",IF(XLOOKUP([@oras],tbl_Localitati[oras_oficial],tbl_Localitati[judet],"?")&lt;&gt;[@judet],"JUDET NECORESPUNZATOR",""))</f>
        <v/>
      </c>
      <c r="R187">
        <f>IF(XLOOKUP([@categorie],tbl_RegulriTVA[categorie],tbl_RegulriTVA[cota_legala],-1)&lt;&gt;[@cota_tva],"TVA GRESIT","")</f>
        <v/>
      </c>
      <c r="S187">
        <f>IF([@data_scadentei]&lt;[@data_factura],"SCADENTA INAINTEA FACTURII","")</f>
        <v/>
      </c>
      <c r="T187">
        <f>IF(NETWORKDAYS.INTL([@data_factura],[@data_factura],1,tbl_SarbatoriLegale[data])=0,"ZI NELUCRATOARE","")</f>
        <v/>
      </c>
      <c r="U187">
        <f>IF([@motiv_anomalie]="","OK","DE INVESTIGAT")</f>
        <v/>
      </c>
      <c r="V187">
        <f>TEXTJOIN("; ",TRUE,[@flag_oras],[@flag_tva],[@flag_scadenta],[@flag_zi])</f>
        <v/>
      </c>
    </row>
    <row r="188">
      <c r="A188" t="inlineStr">
        <is>
          <t>F-2025-00187</t>
        </is>
      </c>
      <c r="B188" s="12" t="n">
        <v>46378</v>
      </c>
      <c r="C188" t="inlineStr">
        <is>
          <t>SC DACTECH SOLUTIONS SRL</t>
        </is>
      </c>
      <c r="D188" t="inlineStr">
        <is>
          <t>Argeș</t>
        </is>
      </c>
      <c r="E188" t="inlineStr">
        <is>
          <t>PRD-007</t>
        </is>
      </c>
      <c r="F188" t="inlineStr">
        <is>
          <t>Statie de lucru desktop</t>
        </is>
      </c>
      <c r="G188" t="inlineStr">
        <is>
          <t>Hardware IT</t>
        </is>
      </c>
      <c r="H188" t="n">
        <v>5</v>
      </c>
      <c r="I188" t="n">
        <v>183.42</v>
      </c>
      <c r="J188" t="n">
        <v>917.1</v>
      </c>
      <c r="K188" s="13" t="n">
        <v>0.19</v>
      </c>
      <c r="L188" t="n">
        <v>174.25</v>
      </c>
      <c r="M188" t="n">
        <v>1091.35</v>
      </c>
      <c r="N188" t="inlineStr">
        <is>
          <t>RON</t>
        </is>
      </c>
      <c r="O188" t="inlineStr">
        <is>
          <t>Pitești</t>
        </is>
      </c>
      <c r="P188" s="12" t="n">
        <v>46408</v>
      </c>
      <c r="Q188">
        <f>IF(COUNTIF(tbl_Localitati[oras_oficial],[@oras])=0,"ORAS NEALINIAT",IF(XLOOKUP([@oras],tbl_Localitati[oras_oficial],tbl_Localitati[judet],"?")&lt;&gt;[@judet],"JUDET NECORESPUNZATOR",""))</f>
        <v/>
      </c>
      <c r="R188">
        <f>IF(XLOOKUP([@categorie],tbl_RegulriTVA[categorie],tbl_RegulriTVA[cota_legala],-1)&lt;&gt;[@cota_tva],"TVA GRESIT","")</f>
        <v/>
      </c>
      <c r="S188">
        <f>IF([@data_scadentei]&lt;[@data_factura],"SCADENTA INAINTEA FACTURII","")</f>
        <v/>
      </c>
      <c r="T188">
        <f>IF(NETWORKDAYS.INTL([@data_factura],[@data_factura],1,tbl_SarbatoriLegale[data])=0,"ZI NELUCRATOARE","")</f>
        <v/>
      </c>
      <c r="U188">
        <f>IF([@motiv_anomalie]="","OK","DE INVESTIGAT")</f>
        <v/>
      </c>
      <c r="V188">
        <f>TEXTJOIN("; ",TRUE,[@flag_oras],[@flag_tva],[@flag_scadenta],[@flag_zi])</f>
        <v/>
      </c>
    </row>
    <row r="189">
      <c r="A189" t="inlineStr">
        <is>
          <t>F-2025-00188</t>
        </is>
      </c>
      <c r="B189" s="12" t="n">
        <v>46052</v>
      </c>
      <c r="C189" t="inlineStr">
        <is>
          <t>SC INTEGROMED SA</t>
        </is>
      </c>
      <c r="D189" t="inlineStr">
        <is>
          <t>Cluj</t>
        </is>
      </c>
      <c r="E189" t="inlineStr">
        <is>
          <t>PRD-009</t>
        </is>
      </c>
      <c r="F189" t="inlineStr">
        <is>
          <t>Cafea boabe 1kg</t>
        </is>
      </c>
      <c r="G189" t="inlineStr">
        <is>
          <t>Alimente</t>
        </is>
      </c>
      <c r="H189" t="n">
        <v>10</v>
      </c>
      <c r="I189" t="n">
        <v>27.75</v>
      </c>
      <c r="J189" t="n">
        <v>277.5</v>
      </c>
      <c r="K189" s="13" t="n">
        <v>0.09</v>
      </c>
      <c r="L189" t="n">
        <v>24.97</v>
      </c>
      <c r="M189" t="n">
        <v>302.47</v>
      </c>
      <c r="N189" t="inlineStr">
        <is>
          <t>RON</t>
        </is>
      </c>
      <c r="O189" t="inlineStr">
        <is>
          <t>Cluj-Napoca</t>
        </is>
      </c>
      <c r="P189" s="12" t="n">
        <v>46112</v>
      </c>
      <c r="Q189">
        <f>IF(COUNTIF(tbl_Localitati[oras_oficial],[@oras])=0,"ORAS NEALINIAT",IF(XLOOKUP([@oras],tbl_Localitati[oras_oficial],tbl_Localitati[judet],"?")&lt;&gt;[@judet],"JUDET NECORESPUNZATOR",""))</f>
        <v/>
      </c>
      <c r="R189">
        <f>IF(XLOOKUP([@categorie],tbl_RegulriTVA[categorie],tbl_RegulriTVA[cota_legala],-1)&lt;&gt;[@cota_tva],"TVA GRESIT","")</f>
        <v/>
      </c>
      <c r="S189">
        <f>IF([@data_scadentei]&lt;[@data_factura],"SCADENTA INAINTEA FACTURII","")</f>
        <v/>
      </c>
      <c r="T189">
        <f>IF(NETWORKDAYS.INTL([@data_factura],[@data_factura],1,tbl_SarbatoriLegale[data])=0,"ZI NELUCRATOARE","")</f>
        <v/>
      </c>
      <c r="U189">
        <f>IF([@motiv_anomalie]="","OK","DE INVESTIGAT")</f>
        <v/>
      </c>
      <c r="V189">
        <f>TEXTJOIN("; ",TRUE,[@flag_oras],[@flag_tva],[@flag_scadenta],[@flag_zi])</f>
        <v/>
      </c>
    </row>
    <row r="190">
      <c r="A190" t="inlineStr">
        <is>
          <t>F-2025-00189</t>
        </is>
      </c>
      <c r="B190" s="12" t="n">
        <v>46038</v>
      </c>
      <c r="C190" t="inlineStr">
        <is>
          <t>SC NORDIS DISTRIBUTIE SRL</t>
        </is>
      </c>
      <c r="D190" t="inlineStr">
        <is>
          <t>Constanța</t>
        </is>
      </c>
      <c r="E190" t="inlineStr">
        <is>
          <t>PRD-008</t>
        </is>
      </c>
      <c r="F190" t="inlineStr">
        <is>
          <t>Carte tehnica IT</t>
        </is>
      </c>
      <c r="G190" t="inlineStr">
        <is>
          <t>Cărți și manuale</t>
        </is>
      </c>
      <c r="H190" t="n">
        <v>5</v>
      </c>
      <c r="I190" t="n">
        <v>434.37</v>
      </c>
      <c r="J190" t="n">
        <v>2171.85</v>
      </c>
      <c r="K190" s="13" t="n">
        <v>0.05</v>
      </c>
      <c r="L190" t="n">
        <v>108.59</v>
      </c>
      <c r="M190" t="n">
        <v>2280.44</v>
      </c>
      <c r="N190" t="inlineStr">
        <is>
          <t>RON</t>
        </is>
      </c>
      <c r="O190" t="inlineStr">
        <is>
          <t>Mangalia</t>
        </is>
      </c>
      <c r="P190" s="12" t="n">
        <v>46068</v>
      </c>
      <c r="Q190">
        <f>IF(COUNTIF(tbl_Localitati[oras_oficial],[@oras])=0,"ORAS NEALINIAT",IF(XLOOKUP([@oras],tbl_Localitati[oras_oficial],tbl_Localitati[judet],"?")&lt;&gt;[@judet],"JUDET NECORESPUNZATOR",""))</f>
        <v/>
      </c>
      <c r="R190">
        <f>IF(XLOOKUP([@categorie],tbl_RegulriTVA[categorie],tbl_RegulriTVA[cota_legala],-1)&lt;&gt;[@cota_tva],"TVA GRESIT","")</f>
        <v/>
      </c>
      <c r="S190">
        <f>IF([@data_scadentei]&lt;[@data_factura],"SCADENTA INAINTEA FACTURII","")</f>
        <v/>
      </c>
      <c r="T190">
        <f>IF(NETWORKDAYS.INTL([@data_factura],[@data_factura],1,tbl_SarbatoriLegale[data])=0,"ZI NELUCRATOARE","")</f>
        <v/>
      </c>
      <c r="U190">
        <f>IF([@motiv_anomalie]="","OK","DE INVESTIGAT")</f>
        <v/>
      </c>
      <c r="V190">
        <f>TEXTJOIN("; ",TRUE,[@flag_oras],[@flag_tva],[@flag_scadenta],[@flag_zi])</f>
        <v/>
      </c>
    </row>
    <row r="191">
      <c r="A191" t="inlineStr">
        <is>
          <t>F-2025-00190</t>
        </is>
      </c>
      <c r="B191" s="12" t="n">
        <v>46258</v>
      </c>
      <c r="C191" t="inlineStr">
        <is>
          <t>SC AROMET TRADING SRL</t>
        </is>
      </c>
      <c r="D191" t="inlineStr">
        <is>
          <t>Alba</t>
        </is>
      </c>
      <c r="E191" t="inlineStr">
        <is>
          <t>PRD-008</t>
        </is>
      </c>
      <c r="F191" t="inlineStr">
        <is>
          <t>Statie de lucru desktop</t>
        </is>
      </c>
      <c r="G191" t="inlineStr">
        <is>
          <t>Hardware IT</t>
        </is>
      </c>
      <c r="H191" t="n">
        <v>1</v>
      </c>
      <c r="I191" t="n">
        <v>460.07</v>
      </c>
      <c r="J191" t="n">
        <v>460.07</v>
      </c>
      <c r="K191" s="13" t="n">
        <v>0.19</v>
      </c>
      <c r="L191" t="n">
        <v>87.41</v>
      </c>
      <c r="M191" t="n">
        <v>547.48</v>
      </c>
      <c r="N191" t="inlineStr">
        <is>
          <t>RON</t>
        </is>
      </c>
      <c r="O191" t="inlineStr">
        <is>
          <t>Alba Iulia</t>
        </is>
      </c>
      <c r="P191" s="12" t="n">
        <v>46288</v>
      </c>
      <c r="Q191">
        <f>IF(COUNTIF(tbl_Localitati[oras_oficial],[@oras])=0,"ORAS NEALINIAT",IF(XLOOKUP([@oras],tbl_Localitati[oras_oficial],tbl_Localitati[judet],"?")&lt;&gt;[@judet],"JUDET NECORESPUNZATOR",""))</f>
        <v/>
      </c>
      <c r="R191">
        <f>IF(XLOOKUP([@categorie],tbl_RegulriTVA[categorie],tbl_RegulriTVA[cota_legala],-1)&lt;&gt;[@cota_tva],"TVA GRESIT","")</f>
        <v/>
      </c>
      <c r="S191">
        <f>IF([@data_scadentei]&lt;[@data_factura],"SCADENTA INAINTEA FACTURII","")</f>
        <v/>
      </c>
      <c r="T191">
        <f>IF(NETWORKDAYS.INTL([@data_factura],[@data_factura],1,tbl_SarbatoriLegale[data])=0,"ZI NELUCRATOARE","")</f>
        <v/>
      </c>
      <c r="U191">
        <f>IF([@motiv_anomalie]="","OK","DE INVESTIGAT")</f>
        <v/>
      </c>
      <c r="V191">
        <f>TEXTJOIN("; ",TRUE,[@flag_oras],[@flag_tva],[@flag_scadenta],[@flag_zi])</f>
        <v/>
      </c>
    </row>
    <row r="192">
      <c r="A192" t="inlineStr">
        <is>
          <t>F-2025-00191</t>
        </is>
      </c>
      <c r="B192" s="12" t="n">
        <v>46204</v>
      </c>
      <c r="C192" t="inlineStr">
        <is>
          <t>SC AROMET TRADING SRL</t>
        </is>
      </c>
      <c r="D192" t="inlineStr">
        <is>
          <t>Alba</t>
        </is>
      </c>
      <c r="E192" t="inlineStr">
        <is>
          <t>PRD-008</t>
        </is>
      </c>
      <c r="F192" t="inlineStr">
        <is>
          <t>Laptop business 15"</t>
        </is>
      </c>
      <c r="G192" t="inlineStr">
        <is>
          <t>Hardware IT</t>
        </is>
      </c>
      <c r="H192" t="n">
        <v>5</v>
      </c>
      <c r="I192" t="n">
        <v>471.5</v>
      </c>
      <c r="J192" t="n">
        <v>2357.5</v>
      </c>
      <c r="K192" s="13" t="n">
        <v>0.19</v>
      </c>
      <c r="L192" t="n">
        <v>447.93</v>
      </c>
      <c r="M192" t="n">
        <v>2805.43</v>
      </c>
      <c r="N192" t="inlineStr">
        <is>
          <t>RON</t>
        </is>
      </c>
      <c r="O192" t="inlineStr">
        <is>
          <t>Alba Iulia</t>
        </is>
      </c>
      <c r="P192" s="12" t="n">
        <v>46264</v>
      </c>
      <c r="Q192">
        <f>IF(COUNTIF(tbl_Localitati[oras_oficial],[@oras])=0,"ORAS NEALINIAT",IF(XLOOKUP([@oras],tbl_Localitati[oras_oficial],tbl_Localitati[judet],"?")&lt;&gt;[@judet],"JUDET NECORESPUNZATOR",""))</f>
        <v/>
      </c>
      <c r="R192">
        <f>IF(XLOOKUP([@categorie],tbl_RegulriTVA[categorie],tbl_RegulriTVA[cota_legala],-1)&lt;&gt;[@cota_tva],"TVA GRESIT","")</f>
        <v/>
      </c>
      <c r="S192">
        <f>IF([@data_scadentei]&lt;[@data_factura],"SCADENTA INAINTEA FACTURII","")</f>
        <v/>
      </c>
      <c r="T192">
        <f>IF(NETWORKDAYS.INTL([@data_factura],[@data_factura],1,tbl_SarbatoriLegale[data])=0,"ZI NELUCRATOARE","")</f>
        <v/>
      </c>
      <c r="U192">
        <f>IF([@motiv_anomalie]="","OK","DE INVESTIGAT")</f>
        <v/>
      </c>
      <c r="V192">
        <f>TEXTJOIN("; ",TRUE,[@flag_oras],[@flag_tva],[@flag_scadenta],[@flag_zi])</f>
        <v/>
      </c>
    </row>
    <row r="193">
      <c r="A193" t="inlineStr">
        <is>
          <t>F-2025-00192</t>
        </is>
      </c>
      <c r="B193" s="12" t="n">
        <v>46377</v>
      </c>
      <c r="C193" t="inlineStr">
        <is>
          <t>SC DACTECH SOLUTIONS SRL</t>
        </is>
      </c>
      <c r="D193" t="inlineStr">
        <is>
          <t>Argeș</t>
        </is>
      </c>
      <c r="E193" t="inlineStr">
        <is>
          <t>PRD-004</t>
        </is>
      </c>
      <c r="F193" t="inlineStr">
        <is>
          <t>Training utilizatori</t>
        </is>
      </c>
      <c r="G193" t="inlineStr">
        <is>
          <t>Servicii consultanță</t>
        </is>
      </c>
      <c r="H193" t="n">
        <v>5</v>
      </c>
      <c r="I193" t="n">
        <v>908.66</v>
      </c>
      <c r="J193" t="n">
        <v>4543.3</v>
      </c>
      <c r="K193" s="13" t="n">
        <v>0.19</v>
      </c>
      <c r="L193" t="n">
        <v>863.23</v>
      </c>
      <c r="M193" t="n">
        <v>5406.53</v>
      </c>
      <c r="N193" t="inlineStr">
        <is>
          <t>RON</t>
        </is>
      </c>
      <c r="O193" t="inlineStr">
        <is>
          <t>Pitești</t>
        </is>
      </c>
      <c r="P193" s="12" t="n">
        <v>46407</v>
      </c>
      <c r="Q193">
        <f>IF(COUNTIF(tbl_Localitati[oras_oficial],[@oras])=0,"ORAS NEALINIAT",IF(XLOOKUP([@oras],tbl_Localitati[oras_oficial],tbl_Localitati[judet],"?")&lt;&gt;[@judet],"JUDET NECORESPUNZATOR",""))</f>
        <v/>
      </c>
      <c r="R193">
        <f>IF(XLOOKUP([@categorie],tbl_RegulriTVA[categorie],tbl_RegulriTVA[cota_legala],-1)&lt;&gt;[@cota_tva],"TVA GRESIT","")</f>
        <v/>
      </c>
      <c r="S193">
        <f>IF([@data_scadentei]&lt;[@data_factura],"SCADENTA INAINTEA FACTURII","")</f>
        <v/>
      </c>
      <c r="T193">
        <f>IF(NETWORKDAYS.INTL([@data_factura],[@data_factura],1,tbl_SarbatoriLegale[data])=0,"ZI NELUCRATOARE","")</f>
        <v/>
      </c>
      <c r="U193">
        <f>IF([@motiv_anomalie]="","OK","DE INVESTIGAT")</f>
        <v/>
      </c>
      <c r="V193">
        <f>TEXTJOIN("; ",TRUE,[@flag_oras],[@flag_tva],[@flag_scadenta],[@flag_zi])</f>
        <v/>
      </c>
    </row>
    <row r="194">
      <c r="A194" t="inlineStr">
        <is>
          <t>F-2025-00193</t>
        </is>
      </c>
      <c r="B194" s="12" t="n">
        <v>46120</v>
      </c>
      <c r="C194" t="inlineStr">
        <is>
          <t>SC PROVITA MEDICAL SRL</t>
        </is>
      </c>
      <c r="D194" t="inlineStr">
        <is>
          <t>Mureș</t>
        </is>
      </c>
      <c r="E194" t="inlineStr">
        <is>
          <t>PRD-003</t>
        </is>
      </c>
      <c r="F194" t="inlineStr">
        <is>
          <t>Dezinfectant maini 5L</t>
        </is>
      </c>
      <c r="G194" t="inlineStr">
        <is>
          <t>Produse farmaceutice</t>
        </is>
      </c>
      <c r="H194" t="n">
        <v>2</v>
      </c>
      <c r="I194" t="n">
        <v>4109.67</v>
      </c>
      <c r="J194" t="n">
        <v>8219.34</v>
      </c>
      <c r="K194" s="13" t="n">
        <v>0.09</v>
      </c>
      <c r="L194" t="n">
        <v>739.74</v>
      </c>
      <c r="M194" t="n">
        <v>8959.08</v>
      </c>
      <c r="N194" t="inlineStr">
        <is>
          <t>RON</t>
        </is>
      </c>
      <c r="O194" t="inlineStr">
        <is>
          <t>Târgu Mureș</t>
        </is>
      </c>
      <c r="P194" s="12" t="n">
        <v>46150</v>
      </c>
      <c r="Q194">
        <f>IF(COUNTIF(tbl_Localitati[oras_oficial],[@oras])=0,"ORAS NEALINIAT",IF(XLOOKUP([@oras],tbl_Localitati[oras_oficial],tbl_Localitati[judet],"?")&lt;&gt;[@judet],"JUDET NECORESPUNZATOR",""))</f>
        <v/>
      </c>
      <c r="R194">
        <f>IF(XLOOKUP([@categorie],tbl_RegulriTVA[categorie],tbl_RegulriTVA[cota_legala],-1)&lt;&gt;[@cota_tva],"TVA GRESIT","")</f>
        <v/>
      </c>
      <c r="S194">
        <f>IF([@data_scadentei]&lt;[@data_factura],"SCADENTA INAINTEA FACTURII","")</f>
        <v/>
      </c>
      <c r="T194">
        <f>IF(NETWORKDAYS.INTL([@data_factura],[@data_factura],1,tbl_SarbatoriLegale[data])=0,"ZI NELUCRATOARE","")</f>
        <v/>
      </c>
      <c r="U194">
        <f>IF([@motiv_anomalie]="","OK","DE INVESTIGAT")</f>
        <v/>
      </c>
      <c r="V194">
        <f>TEXTJOIN("; ",TRUE,[@flag_oras],[@flag_tva],[@flag_scadenta],[@flag_zi])</f>
        <v/>
      </c>
    </row>
    <row r="195">
      <c r="A195" t="inlineStr">
        <is>
          <t>F-2025-00194</t>
        </is>
      </c>
      <c r="B195" s="12" t="n">
        <v>46252</v>
      </c>
      <c r="C195" t="inlineStr">
        <is>
          <t>SC AROMET TRADING SRL</t>
        </is>
      </c>
      <c r="D195" t="inlineStr">
        <is>
          <t>Alba</t>
        </is>
      </c>
      <c r="E195" t="inlineStr">
        <is>
          <t>PRD-006</t>
        </is>
      </c>
      <c r="F195" t="inlineStr">
        <is>
          <t>Consultanta implementare IT</t>
        </is>
      </c>
      <c r="G195" t="inlineStr">
        <is>
          <t>Servicii consultanță</t>
        </is>
      </c>
      <c r="H195" t="n">
        <v>5</v>
      </c>
      <c r="I195" t="n">
        <v>786.62</v>
      </c>
      <c r="J195" t="n">
        <v>3933.1</v>
      </c>
      <c r="K195" s="13" t="n">
        <v>0.19</v>
      </c>
      <c r="L195" t="n">
        <v>747.29</v>
      </c>
      <c r="M195" t="n">
        <v>4680.39</v>
      </c>
      <c r="N195" t="inlineStr">
        <is>
          <t>RON</t>
        </is>
      </c>
      <c r="O195" t="inlineStr">
        <is>
          <t>Alba Iulia</t>
        </is>
      </c>
      <c r="P195" s="12" t="n">
        <v>46312</v>
      </c>
      <c r="Q195">
        <f>IF(COUNTIF(tbl_Localitati[oras_oficial],[@oras])=0,"ORAS NEALINIAT",IF(XLOOKUP([@oras],tbl_Localitati[oras_oficial],tbl_Localitati[judet],"?")&lt;&gt;[@judet],"JUDET NECORESPUNZATOR",""))</f>
        <v/>
      </c>
      <c r="R195">
        <f>IF(XLOOKUP([@categorie],tbl_RegulriTVA[categorie],tbl_RegulriTVA[cota_legala],-1)&lt;&gt;[@cota_tva],"TVA GRESIT","")</f>
        <v/>
      </c>
      <c r="S195">
        <f>IF([@data_scadentei]&lt;[@data_factura],"SCADENTA INAINTEA FACTURII","")</f>
        <v/>
      </c>
      <c r="T195">
        <f>IF(NETWORKDAYS.INTL([@data_factura],[@data_factura],1,tbl_SarbatoriLegale[data])=0,"ZI NELUCRATOARE","")</f>
        <v/>
      </c>
      <c r="U195">
        <f>IF([@motiv_anomalie]="","OK","DE INVESTIGAT")</f>
        <v/>
      </c>
      <c r="V195">
        <f>TEXTJOIN("; ",TRUE,[@flag_oras],[@flag_tva],[@flag_scadenta],[@flag_zi])</f>
        <v/>
      </c>
    </row>
    <row r="196">
      <c r="A196" t="inlineStr">
        <is>
          <t>F-2025-00195</t>
        </is>
      </c>
      <c r="B196" s="12" t="n">
        <v>46328</v>
      </c>
      <c r="C196" t="inlineStr">
        <is>
          <t>SC METALPLAST INVEST SA</t>
        </is>
      </c>
      <c r="D196" t="inlineStr">
        <is>
          <t>Cluj</t>
        </is>
      </c>
      <c r="E196" t="inlineStr">
        <is>
          <t>PRD-005</t>
        </is>
      </c>
      <c r="F196" t="inlineStr">
        <is>
          <t>Ghid legislatie GDPR</t>
        </is>
      </c>
      <c r="G196" t="inlineStr">
        <is>
          <t>Cărți și manuale</t>
        </is>
      </c>
      <c r="H196" t="n">
        <v>5</v>
      </c>
      <c r="I196" t="n">
        <v>251.29</v>
      </c>
      <c r="J196" t="n">
        <v>1256.45</v>
      </c>
      <c r="K196" s="13" t="n">
        <v>0.05</v>
      </c>
      <c r="L196" t="n">
        <v>62.82</v>
      </c>
      <c r="M196" t="n">
        <v>1319.27</v>
      </c>
      <c r="N196" t="inlineStr">
        <is>
          <t>RON</t>
        </is>
      </c>
      <c r="O196" t="inlineStr">
        <is>
          <t>Cluj</t>
        </is>
      </c>
      <c r="P196" s="12" t="n">
        <v>46358</v>
      </c>
      <c r="Q196">
        <f>IF(COUNTIF(tbl_Localitati[oras_oficial],[@oras])=0,"ORAS NEALINIAT",IF(XLOOKUP([@oras],tbl_Localitati[oras_oficial],tbl_Localitati[judet],"?")&lt;&gt;[@judet],"JUDET NECORESPUNZATOR",""))</f>
        <v/>
      </c>
      <c r="R196">
        <f>IF(XLOOKUP([@categorie],tbl_RegulriTVA[categorie],tbl_RegulriTVA[cota_legala],-1)&lt;&gt;[@cota_tva],"TVA GRESIT","")</f>
        <v/>
      </c>
      <c r="S196">
        <f>IF([@data_scadentei]&lt;[@data_factura],"SCADENTA INAINTEA FACTURII","")</f>
        <v/>
      </c>
      <c r="T196">
        <f>IF(NETWORKDAYS.INTL([@data_factura],[@data_factura],1,tbl_SarbatoriLegale[data])=0,"ZI NELUCRATOARE","")</f>
        <v/>
      </c>
      <c r="U196">
        <f>IF([@motiv_anomalie]="","OK","DE INVESTIGAT")</f>
        <v/>
      </c>
      <c r="V196">
        <f>TEXTJOIN("; ",TRUE,[@flag_oras],[@flag_tva],[@flag_scadenta],[@flag_zi])</f>
        <v/>
      </c>
    </row>
    <row r="197">
      <c r="A197" t="inlineStr">
        <is>
          <t>F-2025-00196</t>
        </is>
      </c>
      <c r="B197" s="12" t="n">
        <v>46241</v>
      </c>
      <c r="C197" t="inlineStr">
        <is>
          <t>SC RAPID LOGISTIC SA</t>
        </is>
      </c>
      <c r="D197" t="inlineStr">
        <is>
          <t>Prahova</t>
        </is>
      </c>
      <c r="E197" t="inlineStr">
        <is>
          <t>PRD-005</t>
        </is>
      </c>
      <c r="F197" t="inlineStr">
        <is>
          <t>Monitor 27" 4K</t>
        </is>
      </c>
      <c r="G197" t="inlineStr">
        <is>
          <t>Hardware IT</t>
        </is>
      </c>
      <c r="H197" t="n">
        <v>1</v>
      </c>
      <c r="I197" t="n">
        <v>238.02</v>
      </c>
      <c r="J197" t="n">
        <v>238.02</v>
      </c>
      <c r="K197" s="13" t="n">
        <v>0.19</v>
      </c>
      <c r="L197" t="n">
        <v>45.22</v>
      </c>
      <c r="M197" t="n">
        <v>283.24</v>
      </c>
      <c r="N197" t="inlineStr">
        <is>
          <t>RON</t>
        </is>
      </c>
      <c r="O197" t="inlineStr">
        <is>
          <t>Ploiești</t>
        </is>
      </c>
      <c r="P197" s="12" t="n">
        <v>46256</v>
      </c>
      <c r="Q197">
        <f>IF(COUNTIF(tbl_Localitati[oras_oficial],[@oras])=0,"ORAS NEALINIAT",IF(XLOOKUP([@oras],tbl_Localitati[oras_oficial],tbl_Localitati[judet],"?")&lt;&gt;[@judet],"JUDET NECORESPUNZATOR",""))</f>
        <v/>
      </c>
      <c r="R197">
        <f>IF(XLOOKUP([@categorie],tbl_RegulriTVA[categorie],tbl_RegulriTVA[cota_legala],-1)&lt;&gt;[@cota_tva],"TVA GRESIT","")</f>
        <v/>
      </c>
      <c r="S197">
        <f>IF([@data_scadentei]&lt;[@data_factura],"SCADENTA INAINTEA FACTURII","")</f>
        <v/>
      </c>
      <c r="T197">
        <f>IF(NETWORKDAYS.INTL([@data_factura],[@data_factura],1,tbl_SarbatoriLegale[data])=0,"ZI NELUCRATOARE","")</f>
        <v/>
      </c>
      <c r="U197">
        <f>IF([@motiv_anomalie]="","OK","DE INVESTIGAT")</f>
        <v/>
      </c>
      <c r="V197">
        <f>TEXTJOIN("; ",TRUE,[@flag_oras],[@flag_tva],[@flag_scadenta],[@flag_zi])</f>
        <v/>
      </c>
    </row>
    <row r="198">
      <c r="A198" t="inlineStr">
        <is>
          <t>F-2025-00197</t>
        </is>
      </c>
      <c r="B198" s="12" t="n">
        <v>46276</v>
      </c>
      <c r="C198" t="inlineStr">
        <is>
          <t>SC METALPLAST INVEST SA</t>
        </is>
      </c>
      <c r="D198" t="inlineStr">
        <is>
          <t>Cluj</t>
        </is>
      </c>
      <c r="E198" t="inlineStr">
        <is>
          <t>PRD-005</t>
        </is>
      </c>
      <c r="F198" t="inlineStr">
        <is>
          <t>Training utilizatori</t>
        </is>
      </c>
      <c r="G198" t="inlineStr">
        <is>
          <t>Servicii consultanță</t>
        </is>
      </c>
      <c r="H198" t="n">
        <v>1</v>
      </c>
      <c r="I198" t="n">
        <v>245.99</v>
      </c>
      <c r="J198" t="n">
        <v>245.99</v>
      </c>
      <c r="K198" s="13" t="n">
        <v>0.19</v>
      </c>
      <c r="L198" t="n">
        <v>46.74</v>
      </c>
      <c r="M198" t="n">
        <v>292.73</v>
      </c>
      <c r="N198" t="inlineStr">
        <is>
          <t>RON</t>
        </is>
      </c>
      <c r="O198" t="inlineStr">
        <is>
          <t>Turda</t>
        </is>
      </c>
      <c r="P198" s="12" t="n">
        <v>46306</v>
      </c>
      <c r="Q198">
        <f>IF(COUNTIF(tbl_Localitati[oras_oficial],[@oras])=0,"ORAS NEALINIAT",IF(XLOOKUP([@oras],tbl_Localitati[oras_oficial],tbl_Localitati[judet],"?")&lt;&gt;[@judet],"JUDET NECORESPUNZATOR",""))</f>
        <v/>
      </c>
      <c r="R198">
        <f>IF(XLOOKUP([@categorie],tbl_RegulriTVA[categorie],tbl_RegulriTVA[cota_legala],-1)&lt;&gt;[@cota_tva],"TVA GRESIT","")</f>
        <v/>
      </c>
      <c r="S198">
        <f>IF([@data_scadentei]&lt;[@data_factura],"SCADENTA INAINTEA FACTURII","")</f>
        <v/>
      </c>
      <c r="T198">
        <f>IF(NETWORKDAYS.INTL([@data_factura],[@data_factura],1,tbl_SarbatoriLegale[data])=0,"ZI NELUCRATOARE","")</f>
        <v/>
      </c>
      <c r="U198">
        <f>IF([@motiv_anomalie]="","OK","DE INVESTIGAT")</f>
        <v/>
      </c>
      <c r="V198">
        <f>TEXTJOIN("; ",TRUE,[@flag_oras],[@flag_tva],[@flag_scadenta],[@flag_zi])</f>
        <v/>
      </c>
    </row>
    <row r="199">
      <c r="A199" t="inlineStr">
        <is>
          <t>F-2025-00198</t>
        </is>
      </c>
      <c r="B199" s="12" t="n">
        <v>46099</v>
      </c>
      <c r="C199" t="inlineStr">
        <is>
          <t>SC AROMET TRADING SRL</t>
        </is>
      </c>
      <c r="D199" t="inlineStr">
        <is>
          <t>Alba</t>
        </is>
      </c>
      <c r="E199" t="inlineStr">
        <is>
          <t>PRD-005</t>
        </is>
      </c>
      <c r="F199" t="inlineStr">
        <is>
          <t>Dezinfectant maini 5L</t>
        </is>
      </c>
      <c r="G199" t="inlineStr">
        <is>
          <t>Produse farmaceutice</t>
        </is>
      </c>
      <c r="H199" t="n">
        <v>2</v>
      </c>
      <c r="I199" t="n">
        <v>245.48</v>
      </c>
      <c r="J199" t="n">
        <v>490.96</v>
      </c>
      <c r="K199" s="13" t="n">
        <v>0.09</v>
      </c>
      <c r="L199" t="n">
        <v>44.19</v>
      </c>
      <c r="M199" t="n">
        <v>535.15</v>
      </c>
      <c r="N199" t="inlineStr">
        <is>
          <t>RON</t>
        </is>
      </c>
      <c r="O199" t="inlineStr">
        <is>
          <t>Alba Iulia</t>
        </is>
      </c>
      <c r="P199" s="12" t="n">
        <v>46114</v>
      </c>
      <c r="Q199">
        <f>IF(COUNTIF(tbl_Localitati[oras_oficial],[@oras])=0,"ORAS NEALINIAT",IF(XLOOKUP([@oras],tbl_Localitati[oras_oficial],tbl_Localitati[judet],"?")&lt;&gt;[@judet],"JUDET NECORESPUNZATOR",""))</f>
        <v/>
      </c>
      <c r="R199">
        <f>IF(XLOOKUP([@categorie],tbl_RegulriTVA[categorie],tbl_RegulriTVA[cota_legala],-1)&lt;&gt;[@cota_tva],"TVA GRESIT","")</f>
        <v/>
      </c>
      <c r="S199">
        <f>IF([@data_scadentei]&lt;[@data_factura],"SCADENTA INAINTEA FACTURII","")</f>
        <v/>
      </c>
      <c r="T199">
        <f>IF(NETWORKDAYS.INTL([@data_factura],[@data_factura],1,tbl_SarbatoriLegale[data])=0,"ZI NELUCRATOARE","")</f>
        <v/>
      </c>
      <c r="U199">
        <f>IF([@motiv_anomalie]="","OK","DE INVESTIGAT")</f>
        <v/>
      </c>
      <c r="V199">
        <f>TEXTJOIN("; ",TRUE,[@flag_oras],[@flag_tva],[@flag_scadenta],[@flag_zi])</f>
        <v/>
      </c>
    </row>
    <row r="200">
      <c r="A200" t="inlineStr">
        <is>
          <t>F-2025-00199</t>
        </is>
      </c>
      <c r="B200" s="12" t="n">
        <v>46283</v>
      </c>
      <c r="C200" t="inlineStr">
        <is>
          <t>SC INTEGROMED SA</t>
        </is>
      </c>
      <c r="D200" t="inlineStr">
        <is>
          <t>Cluj</t>
        </is>
      </c>
      <c r="E200" t="inlineStr">
        <is>
          <t>PRD-005</t>
        </is>
      </c>
      <c r="F200" t="inlineStr">
        <is>
          <t>Switch gigabit 24p</t>
        </is>
      </c>
      <c r="G200" t="inlineStr">
        <is>
          <t>Hardware IT</t>
        </is>
      </c>
      <c r="H200" t="n">
        <v>2</v>
      </c>
      <c r="I200" t="n">
        <v>242.37</v>
      </c>
      <c r="J200" t="n">
        <v>484.74</v>
      </c>
      <c r="K200" s="13" t="n">
        <v>0.19</v>
      </c>
      <c r="L200" t="n">
        <v>92.09999999999999</v>
      </c>
      <c r="M200" t="n">
        <v>576.84</v>
      </c>
      <c r="N200" t="inlineStr">
        <is>
          <t>RON</t>
        </is>
      </c>
      <c r="O200" t="inlineStr">
        <is>
          <t>Cluj-Napoca</t>
        </is>
      </c>
      <c r="P200" s="12" t="n">
        <v>46313</v>
      </c>
      <c r="Q200">
        <f>IF(COUNTIF(tbl_Localitati[oras_oficial],[@oras])=0,"ORAS NEALINIAT",IF(XLOOKUP([@oras],tbl_Localitati[oras_oficial],tbl_Localitati[judet],"?")&lt;&gt;[@judet],"JUDET NECORESPUNZATOR",""))</f>
        <v/>
      </c>
      <c r="R200">
        <f>IF(XLOOKUP([@categorie],tbl_RegulriTVA[categorie],tbl_RegulriTVA[cota_legala],-1)&lt;&gt;[@cota_tva],"TVA GRESIT","")</f>
        <v/>
      </c>
      <c r="S200">
        <f>IF([@data_scadentei]&lt;[@data_factura],"SCADENTA INAINTEA FACTURII","")</f>
        <v/>
      </c>
      <c r="T200">
        <f>IF(NETWORKDAYS.INTL([@data_factura],[@data_factura],1,tbl_SarbatoriLegale[data])=0,"ZI NELUCRATOARE","")</f>
        <v/>
      </c>
      <c r="U200">
        <f>IF([@motiv_anomalie]="","OK","DE INVESTIGAT")</f>
        <v/>
      </c>
      <c r="V200">
        <f>TEXTJOIN("; ",TRUE,[@flag_oras],[@flag_tva],[@flag_scadenta],[@flag_zi])</f>
        <v/>
      </c>
    </row>
    <row r="201">
      <c r="A201" t="inlineStr">
        <is>
          <t>F-2025-00200</t>
        </is>
      </c>
      <c r="B201" s="12" t="n">
        <v>46318</v>
      </c>
      <c r="C201" t="inlineStr">
        <is>
          <t>SC ZENITH AUTO SRL</t>
        </is>
      </c>
      <c r="D201" t="inlineStr">
        <is>
          <t>București</t>
        </is>
      </c>
      <c r="E201" t="inlineStr">
        <is>
          <t>PRD-004</t>
        </is>
      </c>
      <c r="F201" t="inlineStr">
        <is>
          <t>Laptop business 15"</t>
        </is>
      </c>
      <c r="G201" t="inlineStr">
        <is>
          <t>Hardware IT</t>
        </is>
      </c>
      <c r="H201" t="n">
        <v>3</v>
      </c>
      <c r="I201" t="n">
        <v>874.55</v>
      </c>
      <c r="J201" t="n">
        <v>2623.65</v>
      </c>
      <c r="K201" s="13" t="n">
        <v>0.19</v>
      </c>
      <c r="L201" t="n">
        <v>498.49</v>
      </c>
      <c r="M201" t="n">
        <v>3122.14</v>
      </c>
      <c r="N201" t="inlineStr">
        <is>
          <t>RON</t>
        </is>
      </c>
      <c r="O201" t="inlineStr">
        <is>
          <t>București</t>
        </is>
      </c>
      <c r="P201" s="12" t="n">
        <v>46363</v>
      </c>
      <c r="Q201">
        <f>IF(COUNTIF(tbl_Localitati[oras_oficial],[@oras])=0,"ORAS NEALINIAT",IF(XLOOKUP([@oras],tbl_Localitati[oras_oficial],tbl_Localitati[judet],"?")&lt;&gt;[@judet],"JUDET NECORESPUNZATOR",""))</f>
        <v/>
      </c>
      <c r="R201">
        <f>IF(XLOOKUP([@categorie],tbl_RegulriTVA[categorie],tbl_RegulriTVA[cota_legala],-1)&lt;&gt;[@cota_tva],"TVA GRESIT","")</f>
        <v/>
      </c>
      <c r="S201">
        <f>IF([@data_scadentei]&lt;[@data_factura],"SCADENTA INAINTEA FACTURII","")</f>
        <v/>
      </c>
      <c r="T201">
        <f>IF(NETWORKDAYS.INTL([@data_factura],[@data_factura],1,tbl_SarbatoriLegale[data])=0,"ZI NELUCRATOARE","")</f>
        <v/>
      </c>
      <c r="U201">
        <f>IF([@motiv_anomalie]="","OK","DE INVESTIGAT")</f>
        <v/>
      </c>
      <c r="V201">
        <f>TEXTJOIN("; ",TRUE,[@flag_oras],[@flag_tva],[@flag_scadenta],[@flag_zi])</f>
        <v/>
      </c>
    </row>
    <row r="202">
      <c r="A202" t="inlineStr">
        <is>
          <t>F-2025-00201</t>
        </is>
      </c>
      <c r="B202" s="12" t="n">
        <v>46225</v>
      </c>
      <c r="C202" t="inlineStr">
        <is>
          <t>SC AROMET TRADING SRL</t>
        </is>
      </c>
      <c r="D202" t="inlineStr">
        <is>
          <t>Alba</t>
        </is>
      </c>
      <c r="E202" t="inlineStr">
        <is>
          <t>PRD-008</t>
        </is>
      </c>
      <c r="F202" t="inlineStr">
        <is>
          <t>Licenta ERP contabilitate</t>
        </is>
      </c>
      <c r="G202" t="inlineStr">
        <is>
          <t>Licențe software</t>
        </is>
      </c>
      <c r="H202" t="n">
        <v>25</v>
      </c>
      <c r="I202" t="n">
        <v>456.79</v>
      </c>
      <c r="J202" t="n">
        <v>11419.75</v>
      </c>
      <c r="K202" s="13" t="n">
        <v>0.19</v>
      </c>
      <c r="L202" t="n">
        <v>2169.75</v>
      </c>
      <c r="M202" t="n">
        <v>13589.5</v>
      </c>
      <c r="N202" t="inlineStr">
        <is>
          <t>RON</t>
        </is>
      </c>
      <c r="O202" t="inlineStr">
        <is>
          <t>Alba Iulia</t>
        </is>
      </c>
      <c r="P202" s="12" t="n">
        <v>46255</v>
      </c>
      <c r="Q202">
        <f>IF(COUNTIF(tbl_Localitati[oras_oficial],[@oras])=0,"ORAS NEALINIAT",IF(XLOOKUP([@oras],tbl_Localitati[oras_oficial],tbl_Localitati[judet],"?")&lt;&gt;[@judet],"JUDET NECORESPUNZATOR",""))</f>
        <v/>
      </c>
      <c r="R202">
        <f>IF(XLOOKUP([@categorie],tbl_RegulriTVA[categorie],tbl_RegulriTVA[cota_legala],-1)&lt;&gt;[@cota_tva],"TVA GRESIT","")</f>
        <v/>
      </c>
      <c r="S202">
        <f>IF([@data_scadentei]&lt;[@data_factura],"SCADENTA INAINTEA FACTURII","")</f>
        <v/>
      </c>
      <c r="T202">
        <f>IF(NETWORKDAYS.INTL([@data_factura],[@data_factura],1,tbl_SarbatoriLegale[data])=0,"ZI NELUCRATOARE","")</f>
        <v/>
      </c>
      <c r="U202">
        <f>IF([@motiv_anomalie]="","OK","DE INVESTIGAT")</f>
        <v/>
      </c>
      <c r="V202">
        <f>TEXTJOIN("; ",TRUE,[@flag_oras],[@flag_tva],[@flag_scadenta],[@flag_zi])</f>
        <v/>
      </c>
    </row>
    <row r="203">
      <c r="A203" t="inlineStr">
        <is>
          <t>F-2025-00202</t>
        </is>
      </c>
      <c r="B203" s="12" t="n">
        <v>46216</v>
      </c>
      <c r="C203" t="inlineStr">
        <is>
          <t>SC METALPLAST INVEST SA</t>
        </is>
      </c>
      <c r="D203" t="inlineStr">
        <is>
          <t>Cluj</t>
        </is>
      </c>
      <c r="E203" t="inlineStr">
        <is>
          <t>PRD-011</t>
        </is>
      </c>
      <c r="F203" t="inlineStr">
        <is>
          <t>Monitor 27" 4K</t>
        </is>
      </c>
      <c r="G203" t="inlineStr">
        <is>
          <t>Hardware IT</t>
        </is>
      </c>
      <c r="H203" t="n">
        <v>5</v>
      </c>
      <c r="I203" t="n">
        <v>46.27</v>
      </c>
      <c r="J203" t="n">
        <v>231.35</v>
      </c>
      <c r="K203" s="13" t="n">
        <v>0.19</v>
      </c>
      <c r="L203" t="n">
        <v>43.96</v>
      </c>
      <c r="M203" t="n">
        <v>275.31</v>
      </c>
      <c r="N203" t="inlineStr">
        <is>
          <t>RON</t>
        </is>
      </c>
      <c r="O203" t="inlineStr">
        <is>
          <t>Turda</t>
        </is>
      </c>
      <c r="P203" s="12" t="n">
        <v>46276</v>
      </c>
      <c r="Q203">
        <f>IF(COUNTIF(tbl_Localitati[oras_oficial],[@oras])=0,"ORAS NEALINIAT",IF(XLOOKUP([@oras],tbl_Localitati[oras_oficial],tbl_Localitati[judet],"?")&lt;&gt;[@judet],"JUDET NECORESPUNZATOR",""))</f>
        <v/>
      </c>
      <c r="R203">
        <f>IF(XLOOKUP([@categorie],tbl_RegulriTVA[categorie],tbl_RegulriTVA[cota_legala],-1)&lt;&gt;[@cota_tva],"TVA GRESIT","")</f>
        <v/>
      </c>
      <c r="S203">
        <f>IF([@data_scadentei]&lt;[@data_factura],"SCADENTA INAINTEA FACTURII","")</f>
        <v/>
      </c>
      <c r="T203">
        <f>IF(NETWORKDAYS.INTL([@data_factura],[@data_factura],1,tbl_SarbatoriLegale[data])=0,"ZI NELUCRATOARE","")</f>
        <v/>
      </c>
      <c r="U203">
        <f>IF([@motiv_anomalie]="","OK","DE INVESTIGAT")</f>
        <v/>
      </c>
      <c r="V203">
        <f>TEXTJOIN("; ",TRUE,[@flag_oras],[@flag_tva],[@flag_scadenta],[@flag_zi])</f>
        <v/>
      </c>
    </row>
    <row r="204">
      <c r="A204" t="inlineStr">
        <is>
          <t>F-2025-00203</t>
        </is>
      </c>
      <c r="B204" s="12" t="n">
        <v>46338</v>
      </c>
      <c r="C204" t="inlineStr">
        <is>
          <t>SC PROVITA MEDICAL SRL</t>
        </is>
      </c>
      <c r="D204" t="inlineStr">
        <is>
          <t>Mureș</t>
        </is>
      </c>
      <c r="E204" t="inlineStr">
        <is>
          <t>PRD-001</t>
        </is>
      </c>
      <c r="F204" t="inlineStr">
        <is>
          <t>Server rack 1U</t>
        </is>
      </c>
      <c r="G204" t="inlineStr">
        <is>
          <t>Hardware IT</t>
        </is>
      </c>
      <c r="H204" t="n">
        <v>10</v>
      </c>
      <c r="I204" t="n">
        <v>2483.35</v>
      </c>
      <c r="J204" t="n">
        <v>24833.5</v>
      </c>
      <c r="K204" s="13" t="n">
        <v>0.19</v>
      </c>
      <c r="L204" t="n">
        <v>4718.36</v>
      </c>
      <c r="M204" t="n">
        <v>29551.86</v>
      </c>
      <c r="N204" t="inlineStr">
        <is>
          <t>RON</t>
        </is>
      </c>
      <c r="O204" t="inlineStr">
        <is>
          <t>Târgu Mureș</t>
        </is>
      </c>
      <c r="P204" s="12" t="n">
        <v>46368</v>
      </c>
      <c r="Q204">
        <f>IF(COUNTIF(tbl_Localitati[oras_oficial],[@oras])=0,"ORAS NEALINIAT",IF(XLOOKUP([@oras],tbl_Localitati[oras_oficial],tbl_Localitati[judet],"?")&lt;&gt;[@judet],"JUDET NECORESPUNZATOR",""))</f>
        <v/>
      </c>
      <c r="R204">
        <f>IF(XLOOKUP([@categorie],tbl_RegulriTVA[categorie],tbl_RegulriTVA[cota_legala],-1)&lt;&gt;[@cota_tva],"TVA GRESIT","")</f>
        <v/>
      </c>
      <c r="S204">
        <f>IF([@data_scadentei]&lt;[@data_factura],"SCADENTA INAINTEA FACTURII","")</f>
        <v/>
      </c>
      <c r="T204">
        <f>IF(NETWORKDAYS.INTL([@data_factura],[@data_factura],1,tbl_SarbatoriLegale[data])=0,"ZI NELUCRATOARE","")</f>
        <v/>
      </c>
      <c r="U204">
        <f>IF([@motiv_anomalie]="","OK","DE INVESTIGAT")</f>
        <v/>
      </c>
      <c r="V204">
        <f>TEXTJOIN("; ",TRUE,[@flag_oras],[@flag_tva],[@flag_scadenta],[@flag_zi])</f>
        <v/>
      </c>
    </row>
    <row r="205">
      <c r="A205" t="inlineStr">
        <is>
          <t>F-2025-00204</t>
        </is>
      </c>
      <c r="B205" s="12" t="n">
        <v>46189</v>
      </c>
      <c r="C205" t="inlineStr">
        <is>
          <t>SC DACTECH SOLUTIONS SRL</t>
        </is>
      </c>
      <c r="D205" t="inlineStr">
        <is>
          <t>Argeș</t>
        </is>
      </c>
      <c r="E205" t="inlineStr">
        <is>
          <t>PRD-013</t>
        </is>
      </c>
      <c r="F205" t="inlineStr">
        <is>
          <t>Server rack 1U</t>
        </is>
      </c>
      <c r="G205" t="inlineStr">
        <is>
          <t>Hardware IT</t>
        </is>
      </c>
      <c r="H205" t="n">
        <v>1</v>
      </c>
      <c r="I205" t="n">
        <v>1175.5</v>
      </c>
      <c r="J205" t="n">
        <v>1175.5</v>
      </c>
      <c r="K205" s="13" t="n">
        <v>0.19</v>
      </c>
      <c r="L205" t="n">
        <v>223.34</v>
      </c>
      <c r="M205" t="n">
        <v>1398.84</v>
      </c>
      <c r="N205" t="inlineStr">
        <is>
          <t>RON</t>
        </is>
      </c>
      <c r="O205" t="inlineStr">
        <is>
          <t>Pitești</t>
        </is>
      </c>
      <c r="P205" s="12" t="n">
        <v>46219</v>
      </c>
      <c r="Q205">
        <f>IF(COUNTIF(tbl_Localitati[oras_oficial],[@oras])=0,"ORAS NEALINIAT",IF(XLOOKUP([@oras],tbl_Localitati[oras_oficial],tbl_Localitati[judet],"?")&lt;&gt;[@judet],"JUDET NECORESPUNZATOR",""))</f>
        <v/>
      </c>
      <c r="R205">
        <f>IF(XLOOKUP([@categorie],tbl_RegulriTVA[categorie],tbl_RegulriTVA[cota_legala],-1)&lt;&gt;[@cota_tva],"TVA GRESIT","")</f>
        <v/>
      </c>
      <c r="S205">
        <f>IF([@data_scadentei]&lt;[@data_factura],"SCADENTA INAINTEA FACTURII","")</f>
        <v/>
      </c>
      <c r="T205">
        <f>IF(NETWORKDAYS.INTL([@data_factura],[@data_factura],1,tbl_SarbatoriLegale[data])=0,"ZI NELUCRATOARE","")</f>
        <v/>
      </c>
      <c r="U205">
        <f>IF([@motiv_anomalie]="","OK","DE INVESTIGAT")</f>
        <v/>
      </c>
      <c r="V205">
        <f>TEXTJOIN("; ",TRUE,[@flag_oras],[@flag_tva],[@flag_scadenta],[@flag_zi])</f>
        <v/>
      </c>
    </row>
    <row r="206">
      <c r="A206" t="inlineStr">
        <is>
          <t>F-2025-00205</t>
        </is>
      </c>
      <c r="B206" s="12" t="n">
        <v>46084</v>
      </c>
      <c r="C206" t="inlineStr">
        <is>
          <t>SC AROMET TRADING SRL</t>
        </is>
      </c>
      <c r="D206" t="inlineStr">
        <is>
          <t>Alba</t>
        </is>
      </c>
      <c r="E206" t="inlineStr">
        <is>
          <t>PRD-005</t>
        </is>
      </c>
      <c r="F206" t="inlineStr">
        <is>
          <t>Dezinfectant maini 5L</t>
        </is>
      </c>
      <c r="G206" t="inlineStr">
        <is>
          <t>Produse farmaceutice</t>
        </is>
      </c>
      <c r="H206" t="n">
        <v>1</v>
      </c>
      <c r="I206" t="n">
        <v>256.18</v>
      </c>
      <c r="J206" t="n">
        <v>256.18</v>
      </c>
      <c r="K206" s="13" t="n">
        <v>0.09</v>
      </c>
      <c r="L206" t="n">
        <v>23.06</v>
      </c>
      <c r="M206" t="n">
        <v>279.24</v>
      </c>
      <c r="N206" t="inlineStr">
        <is>
          <t>RON</t>
        </is>
      </c>
      <c r="O206" t="inlineStr">
        <is>
          <t>Alba Iulia</t>
        </is>
      </c>
      <c r="P206" s="12" t="n">
        <v>46114</v>
      </c>
      <c r="Q206">
        <f>IF(COUNTIF(tbl_Localitati[oras_oficial],[@oras])=0,"ORAS NEALINIAT",IF(XLOOKUP([@oras],tbl_Localitati[oras_oficial],tbl_Localitati[judet],"?")&lt;&gt;[@judet],"JUDET NECORESPUNZATOR",""))</f>
        <v/>
      </c>
      <c r="R206">
        <f>IF(XLOOKUP([@categorie],tbl_RegulriTVA[categorie],tbl_RegulriTVA[cota_legala],-1)&lt;&gt;[@cota_tva],"TVA GRESIT","")</f>
        <v/>
      </c>
      <c r="S206">
        <f>IF([@data_scadentei]&lt;[@data_factura],"SCADENTA INAINTEA FACTURII","")</f>
        <v/>
      </c>
      <c r="T206">
        <f>IF(NETWORKDAYS.INTL([@data_factura],[@data_factura],1,tbl_SarbatoriLegale[data])=0,"ZI NELUCRATOARE","")</f>
        <v/>
      </c>
      <c r="U206">
        <f>IF([@motiv_anomalie]="","OK","DE INVESTIGAT")</f>
        <v/>
      </c>
      <c r="V206">
        <f>TEXTJOIN("; ",TRUE,[@flag_oras],[@flag_tva],[@flag_scadenta],[@flag_zi])</f>
        <v/>
      </c>
    </row>
    <row r="207">
      <c r="A207" t="inlineStr">
        <is>
          <t>F-2025-00206</t>
        </is>
      </c>
      <c r="B207" s="12" t="n">
        <v>46220</v>
      </c>
      <c r="C207" t="inlineStr">
        <is>
          <t>SC DACTECH SOLUTIONS SRL</t>
        </is>
      </c>
      <c r="D207" t="inlineStr">
        <is>
          <t>Argeș</t>
        </is>
      </c>
      <c r="E207" t="inlineStr">
        <is>
          <t>PRD-001</t>
        </is>
      </c>
      <c r="F207" t="inlineStr">
        <is>
          <t>Masti protectie cutie</t>
        </is>
      </c>
      <c r="G207" t="inlineStr">
        <is>
          <t>Produse farmaceutice</t>
        </is>
      </c>
      <c r="H207" t="n">
        <v>1</v>
      </c>
      <c r="I207" t="n">
        <v>2312.14</v>
      </c>
      <c r="J207" t="n">
        <v>2312.14</v>
      </c>
      <c r="K207" s="13" t="n">
        <v>0.09</v>
      </c>
      <c r="L207" t="n">
        <v>208.09</v>
      </c>
      <c r="M207" t="n">
        <v>2520.23</v>
      </c>
      <c r="N207" t="inlineStr">
        <is>
          <t>RON</t>
        </is>
      </c>
      <c r="O207" t="inlineStr">
        <is>
          <t>Pitești</t>
        </is>
      </c>
      <c r="P207" s="12" t="n">
        <v>46280</v>
      </c>
      <c r="Q207">
        <f>IF(COUNTIF(tbl_Localitati[oras_oficial],[@oras])=0,"ORAS NEALINIAT",IF(XLOOKUP([@oras],tbl_Localitati[oras_oficial],tbl_Localitati[judet],"?")&lt;&gt;[@judet],"JUDET NECORESPUNZATOR",""))</f>
        <v/>
      </c>
      <c r="R207">
        <f>IF(XLOOKUP([@categorie],tbl_RegulriTVA[categorie],tbl_RegulriTVA[cota_legala],-1)&lt;&gt;[@cota_tva],"TVA GRESIT","")</f>
        <v/>
      </c>
      <c r="S207">
        <f>IF([@data_scadentei]&lt;[@data_factura],"SCADENTA INAINTEA FACTURII","")</f>
        <v/>
      </c>
      <c r="T207">
        <f>IF(NETWORKDAYS.INTL([@data_factura],[@data_factura],1,tbl_SarbatoriLegale[data])=0,"ZI NELUCRATOARE","")</f>
        <v/>
      </c>
      <c r="U207">
        <f>IF([@motiv_anomalie]="","OK","DE INVESTIGAT")</f>
        <v/>
      </c>
      <c r="V207">
        <f>TEXTJOIN("; ",TRUE,[@flag_oras],[@flag_tva],[@flag_scadenta],[@flag_zi])</f>
        <v/>
      </c>
    </row>
    <row r="208">
      <c r="A208" t="inlineStr">
        <is>
          <t>F-2025-00207</t>
        </is>
      </c>
      <c r="B208" s="12" t="n">
        <v>46323</v>
      </c>
      <c r="C208" t="inlineStr">
        <is>
          <t>SC PROVITA MEDICAL SRL</t>
        </is>
      </c>
      <c r="D208" t="inlineStr">
        <is>
          <t>Mureș</t>
        </is>
      </c>
      <c r="E208" t="inlineStr">
        <is>
          <t>PRD-001</t>
        </is>
      </c>
      <c r="F208" t="inlineStr">
        <is>
          <t>Ceai cutie 100buc</t>
        </is>
      </c>
      <c r="G208" t="inlineStr">
        <is>
          <t>Alimente</t>
        </is>
      </c>
      <c r="H208" t="n">
        <v>1</v>
      </c>
      <c r="I208" t="n">
        <v>2423.84</v>
      </c>
      <c r="J208" t="n">
        <v>2423.84</v>
      </c>
      <c r="K208" s="13" t="n">
        <v>0.09</v>
      </c>
      <c r="L208" t="n">
        <v>218.15</v>
      </c>
      <c r="M208" t="n">
        <v>2641.99</v>
      </c>
      <c r="N208" t="inlineStr">
        <is>
          <t>RON</t>
        </is>
      </c>
      <c r="O208" t="inlineStr">
        <is>
          <t>Târgu Mureș</t>
        </is>
      </c>
      <c r="P208" s="12" t="n">
        <v>46368</v>
      </c>
      <c r="Q208">
        <f>IF(COUNTIF(tbl_Localitati[oras_oficial],[@oras])=0,"ORAS NEALINIAT",IF(XLOOKUP([@oras],tbl_Localitati[oras_oficial],tbl_Localitati[judet],"?")&lt;&gt;[@judet],"JUDET NECORESPUNZATOR",""))</f>
        <v/>
      </c>
      <c r="R208">
        <f>IF(XLOOKUP([@categorie],tbl_RegulriTVA[categorie],tbl_RegulriTVA[cota_legala],-1)&lt;&gt;[@cota_tva],"TVA GRESIT","")</f>
        <v/>
      </c>
      <c r="S208">
        <f>IF([@data_scadentei]&lt;[@data_factura],"SCADENTA INAINTEA FACTURII","")</f>
        <v/>
      </c>
      <c r="T208">
        <f>IF(NETWORKDAYS.INTL([@data_factura],[@data_factura],1,tbl_SarbatoriLegale[data])=0,"ZI NELUCRATOARE","")</f>
        <v/>
      </c>
      <c r="U208">
        <f>IF([@motiv_anomalie]="","OK","DE INVESTIGAT")</f>
        <v/>
      </c>
      <c r="V208">
        <f>TEXTJOIN("; ",TRUE,[@flag_oras],[@flag_tva],[@flag_scadenta],[@flag_zi])</f>
        <v/>
      </c>
    </row>
    <row r="209">
      <c r="A209" t="inlineStr">
        <is>
          <t>F-2025-00208</t>
        </is>
      </c>
      <c r="B209" s="12" t="n">
        <v>46190</v>
      </c>
      <c r="C209" t="inlineStr">
        <is>
          <t>SC OMEGA SOFT SRL</t>
        </is>
      </c>
      <c r="D209" t="inlineStr">
        <is>
          <t>Dolj</t>
        </is>
      </c>
      <c r="E209" t="inlineStr">
        <is>
          <t>PRD-006</t>
        </is>
      </c>
      <c r="F209" t="inlineStr">
        <is>
          <t>Videoproiector sala</t>
        </is>
      </c>
      <c r="G209" t="inlineStr">
        <is>
          <t>Echipamente birou</t>
        </is>
      </c>
      <c r="H209" t="n">
        <v>1</v>
      </c>
      <c r="I209" t="n">
        <v>770.72</v>
      </c>
      <c r="J209" t="n">
        <v>770.72</v>
      </c>
      <c r="K209" s="13" t="n">
        <v>0.19</v>
      </c>
      <c r="L209" t="n">
        <v>146.44</v>
      </c>
      <c r="M209" t="n">
        <v>917.16</v>
      </c>
      <c r="N209" t="inlineStr">
        <is>
          <t>EUR</t>
        </is>
      </c>
      <c r="O209" t="inlineStr">
        <is>
          <t>Craiova</t>
        </is>
      </c>
      <c r="P209" s="12" t="n">
        <v>46250</v>
      </c>
      <c r="Q209">
        <f>IF(COUNTIF(tbl_Localitati[oras_oficial],[@oras])=0,"ORAS NEALINIAT",IF(XLOOKUP([@oras],tbl_Localitati[oras_oficial],tbl_Localitati[judet],"?")&lt;&gt;[@judet],"JUDET NECORESPUNZATOR",""))</f>
        <v/>
      </c>
      <c r="R209">
        <f>IF(XLOOKUP([@categorie],tbl_RegulriTVA[categorie],tbl_RegulriTVA[cota_legala],-1)&lt;&gt;[@cota_tva],"TVA GRESIT","")</f>
        <v/>
      </c>
      <c r="S209">
        <f>IF([@data_scadentei]&lt;[@data_factura],"SCADENTA INAINTEA FACTURII","")</f>
        <v/>
      </c>
      <c r="T209">
        <f>IF(NETWORKDAYS.INTL([@data_factura],[@data_factura],1,tbl_SarbatoriLegale[data])=0,"ZI NELUCRATOARE","")</f>
        <v/>
      </c>
      <c r="U209">
        <f>IF([@motiv_anomalie]="","OK","DE INVESTIGAT")</f>
        <v/>
      </c>
      <c r="V209">
        <f>TEXTJOIN("; ",TRUE,[@flag_oras],[@flag_tva],[@flag_scadenta],[@flag_zi])</f>
        <v/>
      </c>
    </row>
    <row r="210">
      <c r="A210" t="inlineStr">
        <is>
          <t>F-2025-00209</t>
        </is>
      </c>
      <c r="B210" s="12" t="n">
        <v>46339</v>
      </c>
      <c r="C210" t="inlineStr">
        <is>
          <t>SC NORDIS DISTRIBUTIE SRL</t>
        </is>
      </c>
      <c r="D210" t="inlineStr">
        <is>
          <t>Constanța</t>
        </is>
      </c>
      <c r="E210" t="inlineStr">
        <is>
          <t>PRD-010</t>
        </is>
      </c>
      <c r="F210" t="inlineStr">
        <is>
          <t>Licenta Office 365 anuala</t>
        </is>
      </c>
      <c r="G210" t="inlineStr">
        <is>
          <t>Licențe software</t>
        </is>
      </c>
      <c r="H210" t="n">
        <v>10</v>
      </c>
      <c r="I210" t="n">
        <v>335.65</v>
      </c>
      <c r="J210" t="n">
        <v>3356.5</v>
      </c>
      <c r="K210" s="13" t="n">
        <v>0.19</v>
      </c>
      <c r="L210" t="n">
        <v>637.74</v>
      </c>
      <c r="M210" t="n">
        <v>3994.24</v>
      </c>
      <c r="N210" t="inlineStr">
        <is>
          <t>RON</t>
        </is>
      </c>
      <c r="O210" t="inlineStr">
        <is>
          <t>Mangalia</t>
        </is>
      </c>
      <c r="P210" s="12" t="n">
        <v>46369</v>
      </c>
      <c r="Q210">
        <f>IF(COUNTIF(tbl_Localitati[oras_oficial],[@oras])=0,"ORAS NEALINIAT",IF(XLOOKUP([@oras],tbl_Localitati[oras_oficial],tbl_Localitati[judet],"?")&lt;&gt;[@judet],"JUDET NECORESPUNZATOR",""))</f>
        <v/>
      </c>
      <c r="R210">
        <f>IF(XLOOKUP([@categorie],tbl_RegulriTVA[categorie],tbl_RegulriTVA[cota_legala],-1)&lt;&gt;[@cota_tva],"TVA GRESIT","")</f>
        <v/>
      </c>
      <c r="S210">
        <f>IF([@data_scadentei]&lt;[@data_factura],"SCADENTA INAINTEA FACTURII","")</f>
        <v/>
      </c>
      <c r="T210">
        <f>IF(NETWORKDAYS.INTL([@data_factura],[@data_factura],1,tbl_SarbatoriLegale[data])=0,"ZI NELUCRATOARE","")</f>
        <v/>
      </c>
      <c r="U210">
        <f>IF([@motiv_anomalie]="","OK","DE INVESTIGAT")</f>
        <v/>
      </c>
      <c r="V210">
        <f>TEXTJOIN("; ",TRUE,[@flag_oras],[@flag_tva],[@flag_scadenta],[@flag_zi])</f>
        <v/>
      </c>
    </row>
    <row r="211">
      <c r="A211" t="inlineStr">
        <is>
          <t>F-2025-00210</t>
        </is>
      </c>
      <c r="B211" s="12" t="n">
        <v>46350</v>
      </c>
      <c r="C211" t="inlineStr">
        <is>
          <t>SC NORDIS DISTRIBUTIE SRL</t>
        </is>
      </c>
      <c r="D211" t="inlineStr">
        <is>
          <t>Constanța</t>
        </is>
      </c>
      <c r="E211" t="inlineStr">
        <is>
          <t>PRD-006</t>
        </is>
      </c>
      <c r="F211" t="inlineStr">
        <is>
          <t>Licenta antivirus enterprise</t>
        </is>
      </c>
      <c r="G211" t="inlineStr">
        <is>
          <t>Licențe software</t>
        </is>
      </c>
      <c r="H211" t="n">
        <v>25</v>
      </c>
      <c r="I211" t="n">
        <v>759.24</v>
      </c>
      <c r="J211" t="n">
        <v>18981</v>
      </c>
      <c r="K211" s="13" t="n">
        <v>0.19</v>
      </c>
      <c r="L211" t="n">
        <v>3606.39</v>
      </c>
      <c r="M211" t="n">
        <v>22587.39</v>
      </c>
      <c r="N211" t="inlineStr">
        <is>
          <t>RON</t>
        </is>
      </c>
      <c r="O211" t="inlineStr">
        <is>
          <t>Mangalia</t>
        </is>
      </c>
      <c r="P211" s="12" t="n">
        <v>46380</v>
      </c>
      <c r="Q211">
        <f>IF(COUNTIF(tbl_Localitati[oras_oficial],[@oras])=0,"ORAS NEALINIAT",IF(XLOOKUP([@oras],tbl_Localitati[oras_oficial],tbl_Localitati[judet],"?")&lt;&gt;[@judet],"JUDET NECORESPUNZATOR",""))</f>
        <v/>
      </c>
      <c r="R211">
        <f>IF(XLOOKUP([@categorie],tbl_RegulriTVA[categorie],tbl_RegulriTVA[cota_legala],-1)&lt;&gt;[@cota_tva],"TVA GRESIT","")</f>
        <v/>
      </c>
      <c r="S211">
        <f>IF([@data_scadentei]&lt;[@data_factura],"SCADENTA INAINTEA FACTURII","")</f>
        <v/>
      </c>
      <c r="T211">
        <f>IF(NETWORKDAYS.INTL([@data_factura],[@data_factura],1,tbl_SarbatoriLegale[data])=0,"ZI NELUCRATOARE","")</f>
        <v/>
      </c>
      <c r="U211">
        <f>IF([@motiv_anomalie]="","OK","DE INVESTIGAT")</f>
        <v/>
      </c>
      <c r="V211">
        <f>TEXTJOIN("; ",TRUE,[@flag_oras],[@flag_tva],[@flag_scadenta],[@flag_zi])</f>
        <v/>
      </c>
    </row>
    <row r="212">
      <c r="A212" t="inlineStr">
        <is>
          <t>F-2025-00211</t>
        </is>
      </c>
      <c r="B212" s="12" t="n">
        <v>46199</v>
      </c>
      <c r="C212" t="inlineStr">
        <is>
          <t>SC INTEGROMED SA</t>
        </is>
      </c>
      <c r="D212" t="inlineStr">
        <is>
          <t>Cluj</t>
        </is>
      </c>
      <c r="E212" t="inlineStr">
        <is>
          <t>PRD-001</t>
        </is>
      </c>
      <c r="F212" t="inlineStr">
        <is>
          <t>Set carti formare</t>
        </is>
      </c>
      <c r="G212" t="inlineStr">
        <is>
          <t>Cărți și manuale</t>
        </is>
      </c>
      <c r="H212" t="n">
        <v>1</v>
      </c>
      <c r="I212" t="n">
        <v>2451.26</v>
      </c>
      <c r="J212" t="n">
        <v>2451.26</v>
      </c>
      <c r="K212" s="13" t="n">
        <v>0.05</v>
      </c>
      <c r="L212" t="n">
        <v>122.56</v>
      </c>
      <c r="M212" t="n">
        <v>2573.82</v>
      </c>
      <c r="N212" t="inlineStr">
        <is>
          <t>RON</t>
        </is>
      </c>
      <c r="O212" t="inlineStr">
        <is>
          <t>Cluj-Napoca</t>
        </is>
      </c>
      <c r="P212" s="12" t="n">
        <v>46244</v>
      </c>
      <c r="Q212">
        <f>IF(COUNTIF(tbl_Localitati[oras_oficial],[@oras])=0,"ORAS NEALINIAT",IF(XLOOKUP([@oras],tbl_Localitati[oras_oficial],tbl_Localitati[judet],"?")&lt;&gt;[@judet],"JUDET NECORESPUNZATOR",""))</f>
        <v/>
      </c>
      <c r="R212">
        <f>IF(XLOOKUP([@categorie],tbl_RegulriTVA[categorie],tbl_RegulriTVA[cota_legala],-1)&lt;&gt;[@cota_tva],"TVA GRESIT","")</f>
        <v/>
      </c>
      <c r="S212">
        <f>IF([@data_scadentei]&lt;[@data_factura],"SCADENTA INAINTEA FACTURII","")</f>
        <v/>
      </c>
      <c r="T212">
        <f>IF(NETWORKDAYS.INTL([@data_factura],[@data_factura],1,tbl_SarbatoriLegale[data])=0,"ZI NELUCRATOARE","")</f>
        <v/>
      </c>
      <c r="U212">
        <f>IF([@motiv_anomalie]="","OK","DE INVESTIGAT")</f>
        <v/>
      </c>
      <c r="V212">
        <f>TEXTJOIN("; ",TRUE,[@flag_oras],[@flag_tva],[@flag_scadenta],[@flag_zi])</f>
        <v/>
      </c>
    </row>
    <row r="213">
      <c r="A213" t="inlineStr">
        <is>
          <t>F-2025-00212</t>
        </is>
      </c>
      <c r="B213" s="12" t="n">
        <v>46038</v>
      </c>
      <c r="C213" t="inlineStr">
        <is>
          <t>SC INTEGROMED SA</t>
        </is>
      </c>
      <c r="D213" t="inlineStr">
        <is>
          <t>Cluj</t>
        </is>
      </c>
      <c r="E213" t="inlineStr">
        <is>
          <t>PRD-009</t>
        </is>
      </c>
      <c r="F213" t="inlineStr">
        <is>
          <t>Licenta ERP contabilitate</t>
        </is>
      </c>
      <c r="G213" t="inlineStr">
        <is>
          <t>Licențe software</t>
        </is>
      </c>
      <c r="H213" t="n">
        <v>5</v>
      </c>
      <c r="I213" t="n">
        <v>27.76</v>
      </c>
      <c r="J213" t="n">
        <v>138.8</v>
      </c>
      <c r="K213" s="13" t="n">
        <v>0.19</v>
      </c>
      <c r="L213" t="n">
        <v>26.37</v>
      </c>
      <c r="M213" t="n">
        <v>165.17</v>
      </c>
      <c r="N213" t="inlineStr">
        <is>
          <t>RON</t>
        </is>
      </c>
      <c r="O213" t="inlineStr">
        <is>
          <t>Cluj-Napoca</t>
        </is>
      </c>
      <c r="P213" s="12" t="n">
        <v>46068</v>
      </c>
      <c r="Q213">
        <f>IF(COUNTIF(tbl_Localitati[oras_oficial],[@oras])=0,"ORAS NEALINIAT",IF(XLOOKUP([@oras],tbl_Localitati[oras_oficial],tbl_Localitati[judet],"?")&lt;&gt;[@judet],"JUDET NECORESPUNZATOR",""))</f>
        <v/>
      </c>
      <c r="R213">
        <f>IF(XLOOKUP([@categorie],tbl_RegulriTVA[categorie],tbl_RegulriTVA[cota_legala],-1)&lt;&gt;[@cota_tva],"TVA GRESIT","")</f>
        <v/>
      </c>
      <c r="S213">
        <f>IF([@data_scadentei]&lt;[@data_factura],"SCADENTA INAINTEA FACTURII","")</f>
        <v/>
      </c>
      <c r="T213">
        <f>IF(NETWORKDAYS.INTL([@data_factura],[@data_factura],1,tbl_SarbatoriLegale[data])=0,"ZI NELUCRATOARE","")</f>
        <v/>
      </c>
      <c r="U213">
        <f>IF([@motiv_anomalie]="","OK","DE INVESTIGAT")</f>
        <v/>
      </c>
      <c r="V213">
        <f>TEXTJOIN("; ",TRUE,[@flag_oras],[@flag_tva],[@flag_scadenta],[@flag_zi])</f>
        <v/>
      </c>
    </row>
    <row r="214">
      <c r="A214" t="inlineStr">
        <is>
          <t>F-2025-00213</t>
        </is>
      </c>
      <c r="B214" s="12" t="n">
        <v>46209</v>
      </c>
      <c r="C214" t="inlineStr">
        <is>
          <t>SC DACTECH SOLUTIONS SRL</t>
        </is>
      </c>
      <c r="D214" t="inlineStr">
        <is>
          <t>Argeș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 IT</t>
        </is>
      </c>
      <c r="H214" t="n">
        <v>5</v>
      </c>
      <c r="I214" t="n">
        <v>1081.14</v>
      </c>
      <c r="J214" t="n">
        <v>5405.7</v>
      </c>
      <c r="K214" s="13" t="n">
        <v>0.19</v>
      </c>
      <c r="L214" t="n">
        <v>1027.08</v>
      </c>
      <c r="M214" t="n">
        <v>6432.78</v>
      </c>
      <c r="N214" t="inlineStr">
        <is>
          <t>RON</t>
        </is>
      </c>
      <c r="O214" t="inlineStr">
        <is>
          <t>Pitești</t>
        </is>
      </c>
      <c r="P214" s="12" t="n">
        <v>46239</v>
      </c>
      <c r="Q214">
        <f>IF(COUNTIF(tbl_Localitati[oras_oficial],[@oras])=0,"ORAS NEALINIAT",IF(XLOOKUP([@oras],tbl_Localitati[oras_oficial],tbl_Localitati[judet],"?")&lt;&gt;[@judet],"JUDET NECORESPUNZATOR",""))</f>
        <v/>
      </c>
      <c r="R214">
        <f>IF(XLOOKUP([@categorie],tbl_RegulriTVA[categorie],tbl_RegulriTVA[cota_legala],-1)&lt;&gt;[@cota_tva],"TVA GRESIT","")</f>
        <v/>
      </c>
      <c r="S214">
        <f>IF([@data_scadentei]&lt;[@data_factura],"SCADENTA INAINTEA FACTURII","")</f>
        <v/>
      </c>
      <c r="T214">
        <f>IF(NETWORKDAYS.INTL([@data_factura],[@data_factura],1,tbl_SarbatoriLegale[data])=0,"ZI NELUCRATOARE","")</f>
        <v/>
      </c>
      <c r="U214">
        <f>IF([@motiv_anomalie]="","OK","DE INVESTIGAT")</f>
        <v/>
      </c>
      <c r="V214">
        <f>TEXTJOIN("; ",TRUE,[@flag_oras],[@flag_tva],[@flag_scadenta],[@flag_zi])</f>
        <v/>
      </c>
    </row>
    <row r="215">
      <c r="A215" t="inlineStr">
        <is>
          <t>F-2025-00214</t>
        </is>
      </c>
      <c r="B215" s="12" t="n">
        <v>46155</v>
      </c>
      <c r="C215" t="inlineStr">
        <is>
          <t>SC AROMET TRADING SRL</t>
        </is>
      </c>
      <c r="D215" t="inlineStr">
        <is>
          <t>Alba</t>
        </is>
      </c>
      <c r="E215" t="inlineStr">
        <is>
          <t>PRD-011</t>
        </is>
      </c>
      <c r="F215" t="inlineStr">
        <is>
          <t>Licenta ERP contabilitate</t>
        </is>
      </c>
      <c r="G215" t="inlineStr">
        <is>
          <t>Licențe software</t>
        </is>
      </c>
      <c r="H215" t="n">
        <v>50</v>
      </c>
      <c r="I215" t="n">
        <v>43.95</v>
      </c>
      <c r="J215" t="n">
        <v>2197.5</v>
      </c>
      <c r="K215" s="13" t="n">
        <v>0.19</v>
      </c>
      <c r="L215" t="n">
        <v>417.52</v>
      </c>
      <c r="M215" t="n">
        <v>2615.02</v>
      </c>
      <c r="N215" t="inlineStr">
        <is>
          <t>RON</t>
        </is>
      </c>
      <c r="O215" t="inlineStr">
        <is>
          <t>Alba Iulia</t>
        </is>
      </c>
      <c r="P215" s="12" t="n">
        <v>46185</v>
      </c>
      <c r="Q215">
        <f>IF(COUNTIF(tbl_Localitati[oras_oficial],[@oras])=0,"ORAS NEALINIAT",IF(XLOOKUP([@oras],tbl_Localitati[oras_oficial],tbl_Localitati[judet],"?")&lt;&gt;[@judet],"JUDET NECORESPUNZATOR",""))</f>
        <v/>
      </c>
      <c r="R215">
        <f>IF(XLOOKUP([@categorie],tbl_RegulriTVA[categorie],tbl_RegulriTVA[cota_legala],-1)&lt;&gt;[@cota_tva],"TVA GRESIT","")</f>
        <v/>
      </c>
      <c r="S215">
        <f>IF([@data_scadentei]&lt;[@data_factura],"SCADENTA INAINTEA FACTURII","")</f>
        <v/>
      </c>
      <c r="T215">
        <f>IF(NETWORKDAYS.INTL([@data_factura],[@data_factura],1,tbl_SarbatoriLegale[data])=0,"ZI NELUCRATOARE","")</f>
        <v/>
      </c>
      <c r="U215">
        <f>IF([@motiv_anomalie]="","OK","DE INVESTIGAT")</f>
        <v/>
      </c>
      <c r="V215">
        <f>TEXTJOIN("; ",TRUE,[@flag_oras],[@flag_tva],[@flag_scadenta],[@flag_zi])</f>
        <v/>
      </c>
    </row>
    <row r="216">
      <c r="A216" t="inlineStr">
        <is>
          <t>F-2025-00215</t>
        </is>
      </c>
      <c r="B216" s="12" t="n">
        <v>46031</v>
      </c>
      <c r="C216" t="inlineStr">
        <is>
          <t>SC DACTECH SOLUTIONS SRL</t>
        </is>
      </c>
      <c r="D216" t="inlineStr">
        <is>
          <t>Argeș</t>
        </is>
      </c>
      <c r="E216" t="inlineStr">
        <is>
          <t>PRD-011</t>
        </is>
      </c>
      <c r="F216" t="inlineStr">
        <is>
          <t>Audit infrastructura</t>
        </is>
      </c>
      <c r="G216" t="inlineStr">
        <is>
          <t>Servicii consultanță</t>
        </is>
      </c>
      <c r="H216" t="n">
        <v>50</v>
      </c>
      <c r="I216" t="n">
        <v>46.82</v>
      </c>
      <c r="J216" t="n">
        <v>2341</v>
      </c>
      <c r="K216" s="13" t="n">
        <v>0.19</v>
      </c>
      <c r="L216" t="n">
        <v>444.79</v>
      </c>
      <c r="M216" t="n">
        <v>2785.79</v>
      </c>
      <c r="N216" t="inlineStr">
        <is>
          <t>RON</t>
        </is>
      </c>
      <c r="O216" t="inlineStr">
        <is>
          <t>Pitești</t>
        </is>
      </c>
      <c r="P216" s="12" t="n">
        <v>46076</v>
      </c>
      <c r="Q216">
        <f>IF(COUNTIF(tbl_Localitati[oras_oficial],[@oras])=0,"ORAS NEALINIAT",IF(XLOOKUP([@oras],tbl_Localitati[oras_oficial],tbl_Localitati[judet],"?")&lt;&gt;[@judet],"JUDET NECORESPUNZATOR",""))</f>
        <v/>
      </c>
      <c r="R216">
        <f>IF(XLOOKUP([@categorie],tbl_RegulriTVA[categorie],tbl_RegulriTVA[cota_legala],-1)&lt;&gt;[@cota_tva],"TVA GRESIT","")</f>
        <v/>
      </c>
      <c r="S216">
        <f>IF([@data_scadentei]&lt;[@data_factura],"SCADENTA INAINTEA FACTURII","")</f>
        <v/>
      </c>
      <c r="T216">
        <f>IF(NETWORKDAYS.INTL([@data_factura],[@data_factura],1,tbl_SarbatoriLegale[data])=0,"ZI NELUCRATOARE","")</f>
        <v/>
      </c>
      <c r="U216">
        <f>IF([@motiv_anomalie]="","OK","DE INVESTIGAT")</f>
        <v/>
      </c>
      <c r="V216">
        <f>TEXTJOIN("; ",TRUE,[@flag_oras],[@flag_tva],[@flag_scadenta],[@flag_zi])</f>
        <v/>
      </c>
    </row>
    <row r="217">
      <c r="A217" t="inlineStr">
        <is>
          <t>F-2025-00216</t>
        </is>
      </c>
      <c r="B217" s="12" t="n">
        <v>46114</v>
      </c>
      <c r="C217" t="inlineStr">
        <is>
          <t>SC INTEGROMED SA</t>
        </is>
      </c>
      <c r="D217" t="inlineStr">
        <is>
          <t>Cluj</t>
        </is>
      </c>
      <c r="E217" t="inlineStr">
        <is>
          <t>PRD-007</t>
        </is>
      </c>
      <c r="F217" t="inlineStr">
        <is>
          <t>Server rack 1U</t>
        </is>
      </c>
      <c r="G217" t="inlineStr">
        <is>
          <t>Hardware IT</t>
        </is>
      </c>
      <c r="H217" t="n">
        <v>25</v>
      </c>
      <c r="I217" t="n">
        <v>183.32</v>
      </c>
      <c r="J217" t="n">
        <v>4583</v>
      </c>
      <c r="K217" s="13" t="n">
        <v>0.19</v>
      </c>
      <c r="L217" t="n">
        <v>870.77</v>
      </c>
      <c r="M217" t="n">
        <v>5453.77</v>
      </c>
      <c r="N217" t="inlineStr">
        <is>
          <t>RON</t>
        </is>
      </c>
      <c r="O217" t="inlineStr">
        <is>
          <t>Cluj-Napoca</t>
        </is>
      </c>
      <c r="P217" s="12" t="n">
        <v>46174</v>
      </c>
      <c r="Q217">
        <f>IF(COUNTIF(tbl_Localitati[oras_oficial],[@oras])=0,"ORAS NEALINIAT",IF(XLOOKUP([@oras],tbl_Localitati[oras_oficial],tbl_Localitati[judet],"?")&lt;&gt;[@judet],"JUDET NECORESPUNZATOR",""))</f>
        <v/>
      </c>
      <c r="R217">
        <f>IF(XLOOKUP([@categorie],tbl_RegulriTVA[categorie],tbl_RegulriTVA[cota_legala],-1)&lt;&gt;[@cota_tva],"TVA GRESIT","")</f>
        <v/>
      </c>
      <c r="S217">
        <f>IF([@data_scadentei]&lt;[@data_factura],"SCADENTA INAINTEA FACTURII","")</f>
        <v/>
      </c>
      <c r="T217">
        <f>IF(NETWORKDAYS.INTL([@data_factura],[@data_factura],1,tbl_SarbatoriLegale[data])=0,"ZI NELUCRATOARE","")</f>
        <v/>
      </c>
      <c r="U217">
        <f>IF([@motiv_anomalie]="","OK","DE INVESTIGAT")</f>
        <v/>
      </c>
      <c r="V217">
        <f>TEXTJOIN("; ",TRUE,[@flag_oras],[@flag_tva],[@flag_scadenta],[@flag_zi])</f>
        <v/>
      </c>
    </row>
    <row r="218">
      <c r="A218" t="inlineStr">
        <is>
          <t>F-2025-00217</t>
        </is>
      </c>
      <c r="B218" s="12" t="n">
        <v>46233</v>
      </c>
      <c r="C218" t="inlineStr">
        <is>
          <t>SC METALPLAST INVEST SA</t>
        </is>
      </c>
      <c r="D218" t="inlineStr">
        <is>
          <t>Cluj</t>
        </is>
      </c>
      <c r="E218" t="inlineStr">
        <is>
          <t>PRD-010</t>
        </is>
      </c>
      <c r="F218" t="inlineStr">
        <is>
          <t>Telefon IP birou</t>
        </is>
      </c>
      <c r="G218" t="inlineStr">
        <is>
          <t>Echipamente birou</t>
        </is>
      </c>
      <c r="H218" t="n">
        <v>50</v>
      </c>
      <c r="I218" t="n">
        <v>357.41</v>
      </c>
      <c r="J218" t="n">
        <v>17870.5</v>
      </c>
      <c r="K218" s="13" t="n">
        <v>0.19</v>
      </c>
      <c r="L218" t="n">
        <v>3395.39</v>
      </c>
      <c r="M218" t="n">
        <v>21265.89</v>
      </c>
      <c r="N218" t="inlineStr">
        <is>
          <t>RON</t>
        </is>
      </c>
      <c r="O218" t="inlineStr">
        <is>
          <t>Turda</t>
        </is>
      </c>
      <c r="P218" s="12" t="n">
        <v>46263</v>
      </c>
      <c r="Q218">
        <f>IF(COUNTIF(tbl_Localitati[oras_oficial],[@oras])=0,"ORAS NEALINIAT",IF(XLOOKUP([@oras],tbl_Localitati[oras_oficial],tbl_Localitati[judet],"?")&lt;&gt;[@judet],"JUDET NECORESPUNZATOR",""))</f>
        <v/>
      </c>
      <c r="R218">
        <f>IF(XLOOKUP([@categorie],tbl_RegulriTVA[categorie],tbl_RegulriTVA[cota_legala],-1)&lt;&gt;[@cota_tva],"TVA GRESIT","")</f>
        <v/>
      </c>
      <c r="S218">
        <f>IF([@data_scadentei]&lt;[@data_factura],"SCADENTA INAINTEA FACTURII","")</f>
        <v/>
      </c>
      <c r="T218">
        <f>IF(NETWORKDAYS.INTL([@data_factura],[@data_factura],1,tbl_SarbatoriLegale[data])=0,"ZI NELUCRATOARE","")</f>
        <v/>
      </c>
      <c r="U218">
        <f>IF([@motiv_anomalie]="","OK","DE INVESTIGAT")</f>
        <v/>
      </c>
      <c r="V218">
        <f>TEXTJOIN("; ",TRUE,[@flag_oras],[@flag_tva],[@flag_scadenta],[@flag_zi])</f>
        <v/>
      </c>
    </row>
    <row r="219">
      <c r="A219" t="inlineStr">
        <is>
          <t>F-2025-00218</t>
        </is>
      </c>
      <c r="B219" s="12" t="n">
        <v>46289</v>
      </c>
      <c r="C219" t="inlineStr">
        <is>
          <t>SC DACTECH SOLUTIONS SRL</t>
        </is>
      </c>
      <c r="D219" t="inlineStr">
        <is>
          <t>Argeș</t>
        </is>
      </c>
      <c r="E219" t="inlineStr">
        <is>
          <t>PRD-005</t>
        </is>
      </c>
      <c r="F219" t="inlineStr">
        <is>
          <t>Ceai cutie 100buc</t>
        </is>
      </c>
      <c r="G219" t="inlineStr">
        <is>
          <t>Alimente</t>
        </is>
      </c>
      <c r="H219" t="n">
        <v>2</v>
      </c>
      <c r="I219" t="n">
        <v>256.69</v>
      </c>
      <c r="J219" t="n">
        <v>513.38</v>
      </c>
      <c r="K219" s="13" t="n">
        <v>0.09</v>
      </c>
      <c r="L219" t="n">
        <v>46.2</v>
      </c>
      <c r="M219" t="n">
        <v>559.58</v>
      </c>
      <c r="N219" t="inlineStr">
        <is>
          <t>RON</t>
        </is>
      </c>
      <c r="O219" t="inlineStr">
        <is>
          <t>Pitești</t>
        </is>
      </c>
      <c r="P219" s="12" t="n">
        <v>46319</v>
      </c>
      <c r="Q219">
        <f>IF(COUNTIF(tbl_Localitati[oras_oficial],[@oras])=0,"ORAS NEALINIAT",IF(XLOOKUP([@oras],tbl_Localitati[oras_oficial],tbl_Localitati[judet],"?")&lt;&gt;[@judet],"JUDET NECORESPUNZATOR",""))</f>
        <v/>
      </c>
      <c r="R219">
        <f>IF(XLOOKUP([@categorie],tbl_RegulriTVA[categorie],tbl_RegulriTVA[cota_legala],-1)&lt;&gt;[@cota_tva],"TVA GRESIT","")</f>
        <v/>
      </c>
      <c r="S219">
        <f>IF([@data_scadentei]&lt;[@data_factura],"SCADENTA INAINTEA FACTURII","")</f>
        <v/>
      </c>
      <c r="T219">
        <f>IF(NETWORKDAYS.INTL([@data_factura],[@data_factura],1,tbl_SarbatoriLegale[data])=0,"ZI NELUCRATOARE","")</f>
        <v/>
      </c>
      <c r="U219">
        <f>IF([@motiv_anomalie]="","OK","DE INVESTIGAT")</f>
        <v/>
      </c>
      <c r="V219">
        <f>TEXTJOIN("; ",TRUE,[@flag_oras],[@flag_tva],[@flag_scadenta],[@flag_zi])</f>
        <v/>
      </c>
    </row>
    <row r="220">
      <c r="A220" t="inlineStr">
        <is>
          <t>F-2025-00219</t>
        </is>
      </c>
      <c r="B220" s="12" t="n">
        <v>46062</v>
      </c>
      <c r="C220" t="inlineStr">
        <is>
          <t>SC FARMAVITAL DISTRIBUTIE SA</t>
        </is>
      </c>
      <c r="D220" t="inlineStr">
        <is>
          <t>Bihor</t>
        </is>
      </c>
      <c r="E220" t="inlineStr">
        <is>
          <t>PRD-005</t>
        </is>
      </c>
      <c r="F220" t="inlineStr">
        <is>
          <t>Statie de lucru desktop</t>
        </is>
      </c>
      <c r="G220" t="inlineStr">
        <is>
          <t>Hardware IT</t>
        </is>
      </c>
      <c r="H220" t="n">
        <v>1</v>
      </c>
      <c r="I220" t="n">
        <v>247.05</v>
      </c>
      <c r="J220" t="n">
        <v>247.05</v>
      </c>
      <c r="K220" s="13" t="n">
        <v>0.19</v>
      </c>
      <c r="L220" t="n">
        <v>46.94</v>
      </c>
      <c r="M220" t="n">
        <v>293.99</v>
      </c>
      <c r="N220" t="inlineStr">
        <is>
          <t>EUR</t>
        </is>
      </c>
      <c r="O220" t="inlineStr">
        <is>
          <t>Oradea</t>
        </is>
      </c>
      <c r="P220" s="12" t="n">
        <v>46092</v>
      </c>
      <c r="Q220">
        <f>IF(COUNTIF(tbl_Localitati[oras_oficial],[@oras])=0,"ORAS NEALINIAT",IF(XLOOKUP([@oras],tbl_Localitati[oras_oficial],tbl_Localitati[judet],"?")&lt;&gt;[@judet],"JUDET NECORESPUNZATOR",""))</f>
        <v/>
      </c>
      <c r="R220">
        <f>IF(XLOOKUP([@categorie],tbl_RegulriTVA[categorie],tbl_RegulriTVA[cota_legala],-1)&lt;&gt;[@cota_tva],"TVA GRESIT","")</f>
        <v/>
      </c>
      <c r="S220">
        <f>IF([@data_scadentei]&lt;[@data_factura],"SCADENTA INAINTEA FACTURII","")</f>
        <v/>
      </c>
      <c r="T220">
        <f>IF(NETWORKDAYS.INTL([@data_factura],[@data_factura],1,tbl_SarbatoriLegale[data])=0,"ZI NELUCRATOARE","")</f>
        <v/>
      </c>
      <c r="U220">
        <f>IF([@motiv_anomalie]="","OK","DE INVESTIGAT")</f>
        <v/>
      </c>
      <c r="V220">
        <f>TEXTJOIN("; ",TRUE,[@flag_oras],[@flag_tva],[@flag_scadenta],[@flag_zi])</f>
        <v/>
      </c>
    </row>
    <row r="221">
      <c r="A221" t="inlineStr">
        <is>
          <t>F-2025-00220</t>
        </is>
      </c>
      <c r="B221" s="12" t="n">
        <v>46282</v>
      </c>
      <c r="C221" t="inlineStr">
        <is>
          <t>SC AROMET TRADING SRL</t>
        </is>
      </c>
      <c r="D221" t="inlineStr">
        <is>
          <t>Alba</t>
        </is>
      </c>
      <c r="E221" t="inlineStr">
        <is>
          <t>PRD-005</t>
        </is>
      </c>
      <c r="F221" t="inlineStr">
        <is>
          <t>Videoproiector sala</t>
        </is>
      </c>
      <c r="G221" t="inlineStr">
        <is>
          <t>Echipamente birou</t>
        </is>
      </c>
      <c r="H221" t="n">
        <v>1</v>
      </c>
      <c r="I221" t="n">
        <v>244.47</v>
      </c>
      <c r="J221" t="n">
        <v>244.47</v>
      </c>
      <c r="K221" s="13" t="n">
        <v>0.19</v>
      </c>
      <c r="L221" t="n">
        <v>46.45</v>
      </c>
      <c r="M221" t="n">
        <v>290.92</v>
      </c>
      <c r="N221" t="inlineStr">
        <is>
          <t>RON</t>
        </is>
      </c>
      <c r="O221" t="inlineStr">
        <is>
          <t>Alba Iulia</t>
        </is>
      </c>
      <c r="P221" s="12" t="n">
        <v>46312</v>
      </c>
      <c r="Q221">
        <f>IF(COUNTIF(tbl_Localitati[oras_oficial],[@oras])=0,"ORAS NEALINIAT",IF(XLOOKUP([@oras],tbl_Localitati[oras_oficial],tbl_Localitati[judet],"?")&lt;&gt;[@judet],"JUDET NECORESPUNZATOR",""))</f>
        <v/>
      </c>
      <c r="R221">
        <f>IF(XLOOKUP([@categorie],tbl_RegulriTVA[categorie],tbl_RegulriTVA[cota_legala],-1)&lt;&gt;[@cota_tva],"TVA GRESIT","")</f>
        <v/>
      </c>
      <c r="S221">
        <f>IF([@data_scadentei]&lt;[@data_factura],"SCADENTA INAINTEA FACTURII","")</f>
        <v/>
      </c>
      <c r="T221">
        <f>IF(NETWORKDAYS.INTL([@data_factura],[@data_factura],1,tbl_SarbatoriLegale[data])=0,"ZI NELUCRATOARE","")</f>
        <v/>
      </c>
      <c r="U221">
        <f>IF([@motiv_anomalie]="","OK","DE INVESTIGAT")</f>
        <v/>
      </c>
      <c r="V221">
        <f>TEXTJOIN("; ",TRUE,[@flag_oras],[@flag_tva],[@flag_scadenta],[@flag_zi])</f>
        <v/>
      </c>
    </row>
    <row r="222">
      <c r="A222" t="inlineStr">
        <is>
          <t>F-2025-00221</t>
        </is>
      </c>
      <c r="B222" s="12" t="n">
        <v>46241</v>
      </c>
      <c r="C222" t="inlineStr">
        <is>
          <t>SC NORDIS DISTRIBUTIE SRL</t>
        </is>
      </c>
      <c r="D222" t="inlineStr">
        <is>
          <t>Constanța</t>
        </is>
      </c>
      <c r="E222" t="inlineStr">
        <is>
          <t>PRD-008</t>
        </is>
      </c>
      <c r="F222" t="inlineStr">
        <is>
          <t>Ceai cutie 100buc</t>
        </is>
      </c>
      <c r="G222" t="inlineStr">
        <is>
          <t>Alimente</t>
        </is>
      </c>
      <c r="H222" t="n">
        <v>5</v>
      </c>
      <c r="I222" t="n">
        <v>447.15</v>
      </c>
      <c r="J222" t="n">
        <v>2235.75</v>
      </c>
      <c r="K222" s="13" t="n">
        <v>0.09</v>
      </c>
      <c r="L222" t="n">
        <v>201.22</v>
      </c>
      <c r="M222" t="n">
        <v>2436.97</v>
      </c>
      <c r="N222" t="inlineStr">
        <is>
          <t>RON</t>
        </is>
      </c>
      <c r="O222" t="inlineStr">
        <is>
          <t>Mangalia</t>
        </is>
      </c>
      <c r="P222" s="12" t="n">
        <v>46271</v>
      </c>
      <c r="Q222">
        <f>IF(COUNTIF(tbl_Localitati[oras_oficial],[@oras])=0,"ORAS NEALINIAT",IF(XLOOKUP([@oras],tbl_Localitati[oras_oficial],tbl_Localitati[judet],"?")&lt;&gt;[@judet],"JUDET NECORESPUNZATOR",""))</f>
        <v/>
      </c>
      <c r="R222">
        <f>IF(XLOOKUP([@categorie],tbl_RegulriTVA[categorie],tbl_RegulriTVA[cota_legala],-1)&lt;&gt;[@cota_tva],"TVA GRESIT","")</f>
        <v/>
      </c>
      <c r="S222">
        <f>IF([@data_scadentei]&lt;[@data_factura],"SCADENTA INAINTEA FACTURII","")</f>
        <v/>
      </c>
      <c r="T222">
        <f>IF(NETWORKDAYS.INTL([@data_factura],[@data_factura],1,tbl_SarbatoriLegale[data])=0,"ZI NELUCRATOARE","")</f>
        <v/>
      </c>
      <c r="U222">
        <f>IF([@motiv_anomalie]="","OK","DE INVESTIGAT")</f>
        <v/>
      </c>
      <c r="V222">
        <f>TEXTJOIN("; ",TRUE,[@flag_oras],[@flag_tva],[@flag_scadenta],[@flag_zi])</f>
        <v/>
      </c>
    </row>
    <row r="223">
      <c r="A223" t="inlineStr">
        <is>
          <t>F-2025-00222</t>
        </is>
      </c>
      <c r="B223" s="12" t="n">
        <v>46224</v>
      </c>
      <c r="C223" t="inlineStr">
        <is>
          <t>SC PROVITA MEDICAL SRL</t>
        </is>
      </c>
      <c r="D223" t="inlineStr">
        <is>
          <t>Mureș</t>
        </is>
      </c>
      <c r="E223" t="inlineStr">
        <is>
          <t>PRD-005</t>
        </is>
      </c>
      <c r="F223" t="inlineStr">
        <is>
          <t>Training utilizatori</t>
        </is>
      </c>
      <c r="G223" t="inlineStr">
        <is>
          <t>Servicii consultanță</t>
        </is>
      </c>
      <c r="H223" t="n">
        <v>1</v>
      </c>
      <c r="I223" t="n">
        <v>243.4</v>
      </c>
      <c r="J223" t="n">
        <v>243.4</v>
      </c>
      <c r="K223" s="13" t="n">
        <v>0.19</v>
      </c>
      <c r="L223" t="n">
        <v>46.25</v>
      </c>
      <c r="M223" t="n">
        <v>289.65</v>
      </c>
      <c r="N223" t="inlineStr">
        <is>
          <t>RON</t>
        </is>
      </c>
      <c r="O223" t="inlineStr">
        <is>
          <t>Târgu Mureș</t>
        </is>
      </c>
      <c r="P223" s="12" t="n">
        <v>46254</v>
      </c>
      <c r="Q223">
        <f>IF(COUNTIF(tbl_Localitati[oras_oficial],[@oras])=0,"ORAS NEALINIAT",IF(XLOOKUP([@oras],tbl_Localitati[oras_oficial],tbl_Localitati[judet],"?")&lt;&gt;[@judet],"JUDET NECORESPUNZATOR",""))</f>
        <v/>
      </c>
      <c r="R223">
        <f>IF(XLOOKUP([@categorie],tbl_RegulriTVA[categorie],tbl_RegulriTVA[cota_legala],-1)&lt;&gt;[@cota_tva],"TVA GRESIT","")</f>
        <v/>
      </c>
      <c r="S223">
        <f>IF([@data_scadentei]&lt;[@data_factura],"SCADENTA INAINTEA FACTURII","")</f>
        <v/>
      </c>
      <c r="T223">
        <f>IF(NETWORKDAYS.INTL([@data_factura],[@data_factura],1,tbl_SarbatoriLegale[data])=0,"ZI NELUCRATOARE","")</f>
        <v/>
      </c>
      <c r="U223">
        <f>IF([@motiv_anomalie]="","OK","DE INVESTIGAT")</f>
        <v/>
      </c>
      <c r="V223">
        <f>TEXTJOIN("; ",TRUE,[@flag_oras],[@flag_tva],[@flag_scadenta],[@flag_zi])</f>
        <v/>
      </c>
    </row>
    <row r="224">
      <c r="A224" t="inlineStr">
        <is>
          <t>F-2025-00223</t>
        </is>
      </c>
      <c r="B224" s="12" t="n">
        <v>46231</v>
      </c>
      <c r="C224" t="inlineStr">
        <is>
          <t>SC DACTECH SOLUTIONS SRL</t>
        </is>
      </c>
      <c r="D224" t="inlineStr">
        <is>
          <t>Argeș</t>
        </is>
      </c>
      <c r="E224" t="inlineStr">
        <is>
          <t>PRD-011</t>
        </is>
      </c>
      <c r="F224" t="inlineStr">
        <is>
          <t>Ghid legislatie GDPR</t>
        </is>
      </c>
      <c r="G224" t="inlineStr">
        <is>
          <t>Cărți și manuale</t>
        </is>
      </c>
      <c r="H224" t="n">
        <v>10</v>
      </c>
      <c r="I224" t="n">
        <v>43.3</v>
      </c>
      <c r="J224" t="n">
        <v>433</v>
      </c>
      <c r="K224" s="13" t="n">
        <v>0.05</v>
      </c>
      <c r="L224" t="n">
        <v>21.65</v>
      </c>
      <c r="M224" t="n">
        <v>454.65</v>
      </c>
      <c r="N224" t="inlineStr">
        <is>
          <t>RON</t>
        </is>
      </c>
      <c r="O224" t="inlineStr">
        <is>
          <t>Pitești</t>
        </is>
      </c>
      <c r="P224" s="12" t="n">
        <v>46261</v>
      </c>
      <c r="Q224">
        <f>IF(COUNTIF(tbl_Localitati[oras_oficial],[@oras])=0,"ORAS NEALINIAT",IF(XLOOKUP([@oras],tbl_Localitati[oras_oficial],tbl_Localitati[judet],"?")&lt;&gt;[@judet],"JUDET NECORESPUNZATOR",""))</f>
        <v/>
      </c>
      <c r="R224">
        <f>IF(XLOOKUP([@categorie],tbl_RegulriTVA[categorie],tbl_RegulriTVA[cota_legala],-1)&lt;&gt;[@cota_tva],"TVA GRESIT","")</f>
        <v/>
      </c>
      <c r="S224">
        <f>IF([@data_scadentei]&lt;[@data_factura],"SCADENTA INAINTEA FACTURII","")</f>
        <v/>
      </c>
      <c r="T224">
        <f>IF(NETWORKDAYS.INTL([@data_factura],[@data_factura],1,tbl_SarbatoriLegale[data])=0,"ZI NELUCRATOARE","")</f>
        <v/>
      </c>
      <c r="U224">
        <f>IF([@motiv_anomalie]="","OK","DE INVESTIGAT")</f>
        <v/>
      </c>
      <c r="V224">
        <f>TEXTJOIN("; ",TRUE,[@flag_oras],[@flag_tva],[@flag_scadenta],[@flag_zi])</f>
        <v/>
      </c>
    </row>
    <row r="225">
      <c r="A225" t="inlineStr">
        <is>
          <t>F-2025-00224</t>
        </is>
      </c>
      <c r="B225" s="12" t="n">
        <v>46197</v>
      </c>
      <c r="C225" t="inlineStr">
        <is>
          <t>SC OMEGA SOFT SRL</t>
        </is>
      </c>
      <c r="D225" t="inlineStr">
        <is>
          <t>Dolj</t>
        </is>
      </c>
      <c r="E225" t="inlineStr">
        <is>
          <t>PRD-009</t>
        </is>
      </c>
      <c r="F225" t="inlineStr">
        <is>
          <t>Masti protectie cutie</t>
        </is>
      </c>
      <c r="G225" t="inlineStr">
        <is>
          <t>Produse farmaceutice</t>
        </is>
      </c>
      <c r="H225" t="n">
        <v>10</v>
      </c>
      <c r="I225" t="n">
        <v>28.27</v>
      </c>
      <c r="J225" t="n">
        <v>282.7</v>
      </c>
      <c r="K225" s="13" t="n">
        <v>0.09</v>
      </c>
      <c r="L225" t="n">
        <v>25.44</v>
      </c>
      <c r="M225" t="n">
        <v>308.14</v>
      </c>
      <c r="N225" t="inlineStr">
        <is>
          <t>RON</t>
        </is>
      </c>
      <c r="O225" t="inlineStr">
        <is>
          <t>Craiova</t>
        </is>
      </c>
      <c r="P225" s="12" t="n">
        <v>46227</v>
      </c>
      <c r="Q225">
        <f>IF(COUNTIF(tbl_Localitati[oras_oficial],[@oras])=0,"ORAS NEALINIAT",IF(XLOOKUP([@oras],tbl_Localitati[oras_oficial],tbl_Localitati[judet],"?")&lt;&gt;[@judet],"JUDET NECORESPUNZATOR",""))</f>
        <v/>
      </c>
      <c r="R225">
        <f>IF(XLOOKUP([@categorie],tbl_RegulriTVA[categorie],tbl_RegulriTVA[cota_legala],-1)&lt;&gt;[@cota_tva],"TVA GRESIT","")</f>
        <v/>
      </c>
      <c r="S225">
        <f>IF([@data_scadentei]&lt;[@data_factura],"SCADENTA INAINTEA FACTURII","")</f>
        <v/>
      </c>
      <c r="T225">
        <f>IF(NETWORKDAYS.INTL([@data_factura],[@data_factura],1,tbl_SarbatoriLegale[data])=0,"ZI NELUCRATOARE","")</f>
        <v/>
      </c>
      <c r="U225">
        <f>IF([@motiv_anomalie]="","OK","DE INVESTIGAT")</f>
        <v/>
      </c>
      <c r="V225">
        <f>TEXTJOIN("; ",TRUE,[@flag_oras],[@flag_tva],[@flag_scadenta],[@flag_zi])</f>
        <v/>
      </c>
    </row>
    <row r="226">
      <c r="A226" t="inlineStr">
        <is>
          <t>F-2025-00225</t>
        </is>
      </c>
      <c r="B226" s="12" t="n">
        <v>46112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Licenta antivirus enterprise</t>
        </is>
      </c>
      <c r="G226" t="inlineStr">
        <is>
          <t>Licențe software</t>
        </is>
      </c>
      <c r="H226" t="n">
        <v>1</v>
      </c>
      <c r="I226" t="n">
        <v>4072.85</v>
      </c>
      <c r="J226" t="n">
        <v>4072.85</v>
      </c>
      <c r="K226" s="13" t="n">
        <v>0.19</v>
      </c>
      <c r="L226" t="n">
        <v>773.84</v>
      </c>
      <c r="M226" t="n">
        <v>4846.69</v>
      </c>
      <c r="N226" t="inlineStr">
        <is>
          <t>RON</t>
        </is>
      </c>
      <c r="O226" t="inlineStr">
        <is>
          <t>Sibiu</t>
        </is>
      </c>
      <c r="P226" s="12" t="n">
        <v>46127</v>
      </c>
      <c r="Q226">
        <f>IF(COUNTIF(tbl_Localitati[oras_oficial],[@oras])=0,"ORAS NEALINIAT",IF(XLOOKUP([@oras],tbl_Localitati[oras_oficial],tbl_Localitati[judet],"?")&lt;&gt;[@judet],"JUDET NECORESPUNZATOR",""))</f>
        <v/>
      </c>
      <c r="R226">
        <f>IF(XLOOKUP([@categorie],tbl_RegulriTVA[categorie],tbl_RegulriTVA[cota_legala],-1)&lt;&gt;[@cota_tva],"TVA GRESIT","")</f>
        <v/>
      </c>
      <c r="S226">
        <f>IF([@data_scadentei]&lt;[@data_factura],"SCADENTA INAINTEA FACTURII","")</f>
        <v/>
      </c>
      <c r="T226">
        <f>IF(NETWORKDAYS.INTL([@data_factura],[@data_factura],1,tbl_SarbatoriLegale[data])=0,"ZI NELUCRATOARE","")</f>
        <v/>
      </c>
      <c r="U226">
        <f>IF([@motiv_anomalie]="","OK","DE INVESTIGAT")</f>
        <v/>
      </c>
      <c r="V226">
        <f>TEXTJOIN("; ",TRUE,[@flag_oras],[@flag_tva],[@flag_scadenta],[@flag_zi])</f>
        <v/>
      </c>
    </row>
    <row r="227">
      <c r="A227" t="inlineStr">
        <is>
          <t>F-2025-00226</t>
        </is>
      </c>
      <c r="B227" s="12" t="n">
        <v>46071</v>
      </c>
      <c r="C227" t="inlineStr">
        <is>
          <t>SC AROMET TRADING SRL</t>
        </is>
      </c>
      <c r="D227" t="inlineStr">
        <is>
          <t>Alba</t>
        </is>
      </c>
      <c r="E227" t="inlineStr">
        <is>
          <t>PRD-011</t>
        </is>
      </c>
      <c r="F227" t="inlineStr">
        <is>
          <t>Licenta antivirus enterprise</t>
        </is>
      </c>
      <c r="G227" t="inlineStr">
        <is>
          <t>Licențe software</t>
        </is>
      </c>
      <c r="H227" t="n">
        <v>20</v>
      </c>
      <c r="I227" t="n">
        <v>44.84</v>
      </c>
      <c r="J227" t="n">
        <v>896.8</v>
      </c>
      <c r="K227" s="13" t="n">
        <v>0.19</v>
      </c>
      <c r="L227" t="n">
        <v>170.39</v>
      </c>
      <c r="M227" t="n">
        <v>1067.19</v>
      </c>
      <c r="N227" t="inlineStr">
        <is>
          <t>RON</t>
        </is>
      </c>
      <c r="O227" t="inlineStr">
        <is>
          <t>Alba Iulia</t>
        </is>
      </c>
      <c r="P227" s="12" t="n">
        <v>46131</v>
      </c>
      <c r="Q227">
        <f>IF(COUNTIF(tbl_Localitati[oras_oficial],[@oras])=0,"ORAS NEALINIAT",IF(XLOOKUP([@oras],tbl_Localitati[oras_oficial],tbl_Localitati[judet],"?")&lt;&gt;[@judet],"JUDET NECORESPUNZATOR",""))</f>
        <v/>
      </c>
      <c r="R227">
        <f>IF(XLOOKUP([@categorie],tbl_RegulriTVA[categorie],tbl_RegulriTVA[cota_legala],-1)&lt;&gt;[@cota_tva],"TVA GRESIT","")</f>
        <v/>
      </c>
      <c r="S227">
        <f>IF([@data_scadentei]&lt;[@data_factura],"SCADENTA INAINTEA FACTURII","")</f>
        <v/>
      </c>
      <c r="T227">
        <f>IF(NETWORKDAYS.INTL([@data_factura],[@data_factura],1,tbl_SarbatoriLegale[data])=0,"ZI NELUCRATOARE","")</f>
        <v/>
      </c>
      <c r="U227">
        <f>IF([@motiv_anomalie]="","OK","DE INVESTIGAT")</f>
        <v/>
      </c>
      <c r="V227">
        <f>TEXTJOIN("; ",TRUE,[@flag_oras],[@flag_tva],[@flag_scadenta],[@flag_zi])</f>
        <v/>
      </c>
    </row>
    <row r="228">
      <c r="A228" t="inlineStr">
        <is>
          <t>F-2025-00227</t>
        </is>
      </c>
      <c r="B228" s="12" t="n">
        <v>46106</v>
      </c>
      <c r="C228" t="inlineStr">
        <is>
          <t>SC DACTECH SOLUTIONS SRL</t>
        </is>
      </c>
      <c r="D228" t="inlineStr">
        <is>
          <t>Argeș</t>
        </is>
      </c>
      <c r="E228" t="inlineStr">
        <is>
          <t>PRD-006</t>
        </is>
      </c>
      <c r="F228" t="inlineStr">
        <is>
          <t>Server rack 1U</t>
        </is>
      </c>
      <c r="G228" t="inlineStr">
        <is>
          <t>Hardware IT</t>
        </is>
      </c>
      <c r="H228" t="n">
        <v>5</v>
      </c>
      <c r="I228" t="n">
        <v>725.15</v>
      </c>
      <c r="J228" t="n">
        <v>3625.75</v>
      </c>
      <c r="K228" s="13" t="n">
        <v>0.19</v>
      </c>
      <c r="L228" t="n">
        <v>688.89</v>
      </c>
      <c r="M228" t="n">
        <v>4314.64</v>
      </c>
      <c r="N228" t="inlineStr">
        <is>
          <t>RON</t>
        </is>
      </c>
      <c r="O228" t="inlineStr">
        <is>
          <t>Pitești</t>
        </is>
      </c>
      <c r="P228" s="12" t="n">
        <v>46166</v>
      </c>
      <c r="Q228">
        <f>IF(COUNTIF(tbl_Localitati[oras_oficial],[@oras])=0,"ORAS NEALINIAT",IF(XLOOKUP([@oras],tbl_Localitati[oras_oficial],tbl_Localitati[judet],"?")&lt;&gt;[@judet],"JUDET NECORESPUNZATOR",""))</f>
        <v/>
      </c>
      <c r="R228">
        <f>IF(XLOOKUP([@categorie],tbl_RegulriTVA[categorie],tbl_RegulriTVA[cota_legala],-1)&lt;&gt;[@cota_tva],"TVA GRESIT","")</f>
        <v/>
      </c>
      <c r="S228">
        <f>IF([@data_scadentei]&lt;[@data_factura],"SCADENTA INAINTEA FACTURII","")</f>
        <v/>
      </c>
      <c r="T228">
        <f>IF(NETWORKDAYS.INTL([@data_factura],[@data_factura],1,tbl_SarbatoriLegale[data])=0,"ZI NELUCRATOARE","")</f>
        <v/>
      </c>
      <c r="U228">
        <f>IF([@motiv_anomalie]="","OK","DE INVESTIGAT")</f>
        <v/>
      </c>
      <c r="V228">
        <f>TEXTJOIN("; ",TRUE,[@flag_oras],[@flag_tva],[@flag_scadenta],[@flag_zi])</f>
        <v/>
      </c>
    </row>
    <row r="229">
      <c r="A229" t="inlineStr">
        <is>
          <t>F-2025-00228</t>
        </is>
      </c>
      <c r="B229" s="12" t="n">
        <v>46294</v>
      </c>
      <c r="C229" t="inlineStr">
        <is>
          <t>SC AROMET TRADING SRL</t>
        </is>
      </c>
      <c r="D229" t="inlineStr">
        <is>
          <t>Alba</t>
        </is>
      </c>
      <c r="E229" t="inlineStr">
        <is>
          <t>PRD-010</t>
        </is>
      </c>
      <c r="F229" t="inlineStr">
        <is>
          <t>Licenta ERP contabilitate</t>
        </is>
      </c>
      <c r="G229" t="inlineStr">
        <is>
          <t>Licențe software</t>
        </is>
      </c>
      <c r="H229" t="n">
        <v>20</v>
      </c>
      <c r="I229" t="n">
        <v>354.97</v>
      </c>
      <c r="J229" t="n">
        <v>7099.4</v>
      </c>
      <c r="K229" s="13" t="n">
        <v>0.19</v>
      </c>
      <c r="L229" t="n">
        <v>1348.89</v>
      </c>
      <c r="M229" t="n">
        <v>8448.290000000001</v>
      </c>
      <c r="N229" t="inlineStr">
        <is>
          <t>RON</t>
        </is>
      </c>
      <c r="O229" t="inlineStr">
        <is>
          <t>Alba Iulia</t>
        </is>
      </c>
      <c r="P229" s="12" t="n">
        <v>46339</v>
      </c>
      <c r="Q229">
        <f>IF(COUNTIF(tbl_Localitati[oras_oficial],[@oras])=0,"ORAS NEALINIAT",IF(XLOOKUP([@oras],tbl_Localitati[oras_oficial],tbl_Localitati[judet],"?")&lt;&gt;[@judet],"JUDET NECORESPUNZATOR",""))</f>
        <v/>
      </c>
      <c r="R229">
        <f>IF(XLOOKUP([@categorie],tbl_RegulriTVA[categorie],tbl_RegulriTVA[cota_legala],-1)&lt;&gt;[@cota_tva],"TVA GRESIT","")</f>
        <v/>
      </c>
      <c r="S229">
        <f>IF([@data_scadentei]&lt;[@data_factura],"SCADENTA INAINTEA FACTURII","")</f>
        <v/>
      </c>
      <c r="T229">
        <f>IF(NETWORKDAYS.INTL([@data_factura],[@data_factura],1,tbl_SarbatoriLegale[data])=0,"ZI NELUCRATOARE","")</f>
        <v/>
      </c>
      <c r="U229">
        <f>IF([@motiv_anomalie]="","OK","DE INVESTIGAT")</f>
        <v/>
      </c>
      <c r="V229">
        <f>TEXTJOIN("; ",TRUE,[@flag_oras],[@flag_tva],[@flag_scadenta],[@flag_zi])</f>
        <v/>
      </c>
    </row>
    <row r="230">
      <c r="A230" t="inlineStr">
        <is>
          <t>F-2025-00229</t>
        </is>
      </c>
      <c r="B230" s="12" t="n">
        <v>46332</v>
      </c>
      <c r="C230" t="inlineStr">
        <is>
          <t>SC ZENITH AUTO SRL</t>
        </is>
      </c>
      <c r="D230" t="inlineStr">
        <is>
          <t>București</t>
        </is>
      </c>
      <c r="E230" t="inlineStr">
        <is>
          <t>PRD-007</t>
        </is>
      </c>
      <c r="F230" t="inlineStr">
        <is>
          <t>Monitor 27" 4K</t>
        </is>
      </c>
      <c r="G230" t="inlineStr">
        <is>
          <t>Hardware IT</t>
        </is>
      </c>
      <c r="H230" t="n">
        <v>10</v>
      </c>
      <c r="I230" t="n">
        <v>182.24</v>
      </c>
      <c r="J230" t="n">
        <v>1822.4</v>
      </c>
      <c r="K230" s="13" t="n">
        <v>0.19</v>
      </c>
      <c r="L230" t="n">
        <v>346.26</v>
      </c>
      <c r="M230" t="n">
        <v>2168.66</v>
      </c>
      <c r="N230" t="inlineStr">
        <is>
          <t>RON</t>
        </is>
      </c>
      <c r="O230" t="inlineStr">
        <is>
          <t>București</t>
        </is>
      </c>
      <c r="P230" s="12" t="n">
        <v>46362</v>
      </c>
      <c r="Q230">
        <f>IF(COUNTIF(tbl_Localitati[oras_oficial],[@oras])=0,"ORAS NEALINIAT",IF(XLOOKUP([@oras],tbl_Localitati[oras_oficial],tbl_Localitati[judet],"?")&lt;&gt;[@judet],"JUDET NECORESPUNZATOR",""))</f>
        <v/>
      </c>
      <c r="R230">
        <f>IF(XLOOKUP([@categorie],tbl_RegulriTVA[categorie],tbl_RegulriTVA[cota_legala],-1)&lt;&gt;[@cota_tva],"TVA GRESIT","")</f>
        <v/>
      </c>
      <c r="S230">
        <f>IF([@data_scadentei]&lt;[@data_factura],"SCADENTA INAINTEA FACTURII","")</f>
        <v/>
      </c>
      <c r="T230">
        <f>IF(NETWORKDAYS.INTL([@data_factura],[@data_factura],1,tbl_SarbatoriLegale[data])=0,"ZI NELUCRATOARE","")</f>
        <v/>
      </c>
      <c r="U230">
        <f>IF([@motiv_anomalie]="","OK","DE INVESTIGAT")</f>
        <v/>
      </c>
      <c r="V230">
        <f>TEXTJOIN("; ",TRUE,[@flag_oras],[@flag_tva],[@flag_scadenta],[@flag_zi])</f>
        <v/>
      </c>
    </row>
    <row r="231">
      <c r="A231" t="inlineStr">
        <is>
          <t>F-2025-00230</t>
        </is>
      </c>
      <c r="B231" s="12" t="n">
        <v>46162</v>
      </c>
      <c r="C231" t="inlineStr">
        <is>
          <t>SC INTEGROMED SA</t>
        </is>
      </c>
      <c r="D231" t="inlineStr">
        <is>
          <t>Cluj</t>
        </is>
      </c>
      <c r="E231" t="inlineStr">
        <is>
          <t>PRD-007</t>
        </is>
      </c>
      <c r="F231" t="inlineStr">
        <is>
          <t>Monitor 27" 4K</t>
        </is>
      </c>
      <c r="G231" t="inlineStr">
        <is>
          <t>Hardware IT</t>
        </is>
      </c>
      <c r="H231" t="n">
        <v>25</v>
      </c>
      <c r="I231" t="n">
        <v>176.57</v>
      </c>
      <c r="J231" t="n">
        <v>4414.25</v>
      </c>
      <c r="K231" s="13" t="n">
        <v>0.19</v>
      </c>
      <c r="L231" t="n">
        <v>838.71</v>
      </c>
      <c r="M231" t="n">
        <v>5252.96</v>
      </c>
      <c r="N231" t="inlineStr">
        <is>
          <t>RON</t>
        </is>
      </c>
      <c r="O231" t="inlineStr">
        <is>
          <t>Cluj-Napoca</t>
        </is>
      </c>
      <c r="P231" s="12" t="n">
        <v>46192</v>
      </c>
      <c r="Q231">
        <f>IF(COUNTIF(tbl_Localitati[oras_oficial],[@oras])=0,"ORAS NEALINIAT",IF(XLOOKUP([@oras],tbl_Localitati[oras_oficial],tbl_Localitati[judet],"?")&lt;&gt;[@judet],"JUDET NECORESPUNZATOR",""))</f>
        <v/>
      </c>
      <c r="R231">
        <f>IF(XLOOKUP([@categorie],tbl_RegulriTVA[categorie],tbl_RegulriTVA[cota_legala],-1)&lt;&gt;[@cota_tva],"TVA GRESIT","")</f>
        <v/>
      </c>
      <c r="S231">
        <f>IF([@data_scadentei]&lt;[@data_factura],"SCADENTA INAINTEA FACTURII","")</f>
        <v/>
      </c>
      <c r="T231">
        <f>IF(NETWORKDAYS.INTL([@data_factura],[@data_factura],1,tbl_SarbatoriLegale[data])=0,"ZI NELUCRATOARE","")</f>
        <v/>
      </c>
      <c r="U231">
        <f>IF([@motiv_anomalie]="","OK","DE INVESTIGAT")</f>
        <v/>
      </c>
      <c r="V231">
        <f>TEXTJOIN("; ",TRUE,[@flag_oras],[@flag_tva],[@flag_scadenta],[@flag_zi])</f>
        <v/>
      </c>
    </row>
    <row r="232">
      <c r="A232" t="inlineStr">
        <is>
          <t>F-2025-00231</t>
        </is>
      </c>
      <c r="B232" s="12" t="n">
        <v>46288</v>
      </c>
      <c r="C232" t="inlineStr">
        <is>
          <t>SC NORDIS DISTRIBUTIE SRL</t>
        </is>
      </c>
      <c r="D232" t="inlineStr">
        <is>
          <t>Constanța</t>
        </is>
      </c>
      <c r="E232" t="inlineStr">
        <is>
          <t>PRD-005</t>
        </is>
      </c>
      <c r="F232" t="inlineStr">
        <is>
          <t>Statie de lucru desktop</t>
        </is>
      </c>
      <c r="G232" t="inlineStr">
        <is>
          <t>Hardware IT</t>
        </is>
      </c>
      <c r="H232" t="n">
        <v>1</v>
      </c>
      <c r="I232" t="n">
        <v>242.01</v>
      </c>
      <c r="J232" t="n">
        <v>242.01</v>
      </c>
      <c r="K232" s="13" t="n">
        <v>0.19</v>
      </c>
      <c r="L232" t="n">
        <v>45.98</v>
      </c>
      <c r="M232" t="n">
        <v>287.99</v>
      </c>
      <c r="N232" t="inlineStr">
        <is>
          <t>RON</t>
        </is>
      </c>
      <c r="O232" t="inlineStr">
        <is>
          <t>Mangalia</t>
        </is>
      </c>
      <c r="P232" s="12" t="n">
        <v>46333</v>
      </c>
      <c r="Q232">
        <f>IF(COUNTIF(tbl_Localitati[oras_oficial],[@oras])=0,"ORAS NEALINIAT",IF(XLOOKUP([@oras],tbl_Localitati[oras_oficial],tbl_Localitati[judet],"?")&lt;&gt;[@judet],"JUDET NECORESPUNZATOR",""))</f>
        <v/>
      </c>
      <c r="R232">
        <f>IF(XLOOKUP([@categorie],tbl_RegulriTVA[categorie],tbl_RegulriTVA[cota_legala],-1)&lt;&gt;[@cota_tva],"TVA GRESIT","")</f>
        <v/>
      </c>
      <c r="S232">
        <f>IF([@data_scadentei]&lt;[@data_factura],"SCADENTA INAINTEA FACTURII","")</f>
        <v/>
      </c>
      <c r="T232">
        <f>IF(NETWORKDAYS.INTL([@data_factura],[@data_factura],1,tbl_SarbatoriLegale[data])=0,"ZI NELUCRATOARE","")</f>
        <v/>
      </c>
      <c r="U232">
        <f>IF([@motiv_anomalie]="","OK","DE INVESTIGAT")</f>
        <v/>
      </c>
      <c r="V232">
        <f>TEXTJOIN("; ",TRUE,[@flag_oras],[@flag_tva],[@flag_scadenta],[@flag_zi])</f>
        <v/>
      </c>
    </row>
    <row r="233">
      <c r="A233" t="inlineStr">
        <is>
          <t>F-2025-00232</t>
        </is>
      </c>
      <c r="B233" s="12" t="n">
        <v>46044</v>
      </c>
      <c r="C233" t="inlineStr">
        <is>
          <t>SC OMEGA SOFT SRL</t>
        </is>
      </c>
      <c r="D233" t="inlineStr">
        <is>
          <t>Dolj</t>
        </is>
      </c>
      <c r="E233" t="inlineStr">
        <is>
          <t>PRD-005</t>
        </is>
      </c>
      <c r="F233" t="inlineStr">
        <is>
          <t>Licenta ERP contabilitate</t>
        </is>
      </c>
      <c r="G233" t="inlineStr">
        <is>
          <t>Licențe software</t>
        </is>
      </c>
      <c r="H233" t="n">
        <v>5</v>
      </c>
      <c r="I233" t="n">
        <v>254.49</v>
      </c>
      <c r="J233" t="n">
        <v>1272.45</v>
      </c>
      <c r="K233" s="13" t="n">
        <v>0.19</v>
      </c>
      <c r="L233" t="n">
        <v>241.77</v>
      </c>
      <c r="M233" t="n">
        <v>1514.22</v>
      </c>
      <c r="N233" t="inlineStr">
        <is>
          <t>RON</t>
        </is>
      </c>
      <c r="O233" t="inlineStr">
        <is>
          <t>Craiova</t>
        </is>
      </c>
      <c r="P233" s="12" t="n">
        <v>46059</v>
      </c>
      <c r="Q233">
        <f>IF(COUNTIF(tbl_Localitati[oras_oficial],[@oras])=0,"ORAS NEALINIAT",IF(XLOOKUP([@oras],tbl_Localitati[oras_oficial],tbl_Localitati[judet],"?")&lt;&gt;[@judet],"JUDET NECORESPUNZATOR",""))</f>
        <v/>
      </c>
      <c r="R233">
        <f>IF(XLOOKUP([@categorie],tbl_RegulriTVA[categorie],tbl_RegulriTVA[cota_legala],-1)&lt;&gt;[@cota_tva],"TVA GRESIT","")</f>
        <v/>
      </c>
      <c r="S233">
        <f>IF([@data_scadentei]&lt;[@data_factura],"SCADENTA INAINTEA FACTURII","")</f>
        <v/>
      </c>
      <c r="T233">
        <f>IF(NETWORKDAYS.INTL([@data_factura],[@data_factura],1,tbl_SarbatoriLegale[data])=0,"ZI NELUCRATOARE","")</f>
        <v/>
      </c>
      <c r="U233">
        <f>IF([@motiv_anomalie]="","OK","DE INVESTIGAT")</f>
        <v/>
      </c>
      <c r="V233">
        <f>TEXTJOIN("; ",TRUE,[@flag_oras],[@flag_tva],[@flag_scadenta],[@flag_zi])</f>
        <v/>
      </c>
    </row>
    <row r="234">
      <c r="A234" t="inlineStr">
        <is>
          <t>F-2025-00233</t>
        </is>
      </c>
      <c r="B234" s="12" t="n">
        <v>46374</v>
      </c>
      <c r="C234" t="inlineStr">
        <is>
          <t>SC OMEGA SOFT SRL</t>
        </is>
      </c>
      <c r="D234" t="inlineStr">
        <is>
          <t>Dolj</t>
        </is>
      </c>
      <c r="E234" t="inlineStr">
        <is>
          <t>PRD-011</t>
        </is>
      </c>
      <c r="F234" t="inlineStr">
        <is>
          <t>Termometru digital</t>
        </is>
      </c>
      <c r="G234" t="inlineStr">
        <is>
          <t>Produse farmaceutice</t>
        </is>
      </c>
      <c r="H234" t="n">
        <v>10</v>
      </c>
      <c r="I234" t="n">
        <v>46.91</v>
      </c>
      <c r="J234" t="n">
        <v>469.1</v>
      </c>
      <c r="K234" s="13" t="n">
        <v>0.09</v>
      </c>
      <c r="L234" t="n">
        <v>42.22</v>
      </c>
      <c r="M234" t="n">
        <v>511.32</v>
      </c>
      <c r="N234" t="inlineStr">
        <is>
          <t>RON</t>
        </is>
      </c>
      <c r="O234" t="inlineStr">
        <is>
          <t>Craiova</t>
        </is>
      </c>
      <c r="P234" s="12" t="n">
        <v>46404</v>
      </c>
      <c r="Q234">
        <f>IF(COUNTIF(tbl_Localitati[oras_oficial],[@oras])=0,"ORAS NEALINIAT",IF(XLOOKUP([@oras],tbl_Localitati[oras_oficial],tbl_Localitati[judet],"?")&lt;&gt;[@judet],"JUDET NECORESPUNZATOR",""))</f>
        <v/>
      </c>
      <c r="R234">
        <f>IF(XLOOKUP([@categorie],tbl_RegulriTVA[categorie],tbl_RegulriTVA[cota_legala],-1)&lt;&gt;[@cota_tva],"TVA GRESIT","")</f>
        <v/>
      </c>
      <c r="S234">
        <f>IF([@data_scadentei]&lt;[@data_factura],"SCADENTA INAINTEA FACTURII","")</f>
        <v/>
      </c>
      <c r="T234">
        <f>IF(NETWORKDAYS.INTL([@data_factura],[@data_factura],1,tbl_SarbatoriLegale[data])=0,"ZI NELUCRATOARE","")</f>
        <v/>
      </c>
      <c r="U234">
        <f>IF([@motiv_anomalie]="","OK","DE INVESTIGAT")</f>
        <v/>
      </c>
      <c r="V234">
        <f>TEXTJOIN("; ",TRUE,[@flag_oras],[@flag_tva],[@flag_scadenta],[@flag_zi])</f>
        <v/>
      </c>
    </row>
    <row r="235">
      <c r="A235" t="inlineStr">
        <is>
          <t>F-2025-00234</t>
        </is>
      </c>
      <c r="B235" s="12" t="n">
        <v>46346</v>
      </c>
      <c r="C235" t="inlineStr">
        <is>
          <t>SC VECTOR CONSULT SRL</t>
        </is>
      </c>
      <c r="D235" t="inlineStr">
        <is>
          <t>Timiș</t>
        </is>
      </c>
      <c r="E235" t="inlineStr">
        <is>
          <t>PRD-001</t>
        </is>
      </c>
      <c r="F235" t="inlineStr">
        <is>
          <t>Switch gigabit 24p</t>
        </is>
      </c>
      <c r="G235" t="inlineStr">
        <is>
          <t>Hardware IT</t>
        </is>
      </c>
      <c r="H235" t="n">
        <v>1</v>
      </c>
      <c r="I235" t="n">
        <v>2425.99</v>
      </c>
      <c r="J235" t="n">
        <v>2425.99</v>
      </c>
      <c r="K235" s="13" t="n">
        <v>0.19</v>
      </c>
      <c r="L235" t="n">
        <v>460.94</v>
      </c>
      <c r="M235" t="n">
        <v>2886.93</v>
      </c>
      <c r="N235" t="inlineStr">
        <is>
          <t>RON</t>
        </is>
      </c>
      <c r="O235" t="inlineStr">
        <is>
          <t>Timișoara</t>
        </is>
      </c>
      <c r="P235" s="12" t="n">
        <v>46361</v>
      </c>
      <c r="Q235">
        <f>IF(COUNTIF(tbl_Localitati[oras_oficial],[@oras])=0,"ORAS NEALINIAT",IF(XLOOKUP([@oras],tbl_Localitati[oras_oficial],tbl_Localitati[judet],"?")&lt;&gt;[@judet],"JUDET NECORESPUNZATOR",""))</f>
        <v/>
      </c>
      <c r="R235">
        <f>IF(XLOOKUP([@categorie],tbl_RegulriTVA[categorie],tbl_RegulriTVA[cota_legala],-1)&lt;&gt;[@cota_tva],"TVA GRESIT","")</f>
        <v/>
      </c>
      <c r="S235">
        <f>IF([@data_scadentei]&lt;[@data_factura],"SCADENTA INAINTEA FACTURII","")</f>
        <v/>
      </c>
      <c r="T235">
        <f>IF(NETWORKDAYS.INTL([@data_factura],[@data_factura],1,tbl_SarbatoriLegale[data])=0,"ZI NELUCRATOARE","")</f>
        <v/>
      </c>
      <c r="U235">
        <f>IF([@motiv_anomalie]="","OK","DE INVESTIGAT")</f>
        <v/>
      </c>
      <c r="V235">
        <f>TEXTJOIN("; ",TRUE,[@flag_oras],[@flag_tva],[@flag_scadenta],[@flag_zi])</f>
        <v/>
      </c>
    </row>
    <row r="236">
      <c r="A236" t="inlineStr">
        <is>
          <t>F-2025-00235</t>
        </is>
      </c>
      <c r="B236" s="12" t="n">
        <v>46203</v>
      </c>
      <c r="C236" t="inlineStr">
        <is>
          <t>SC NORDIS DISTRIBUTIE SRL</t>
        </is>
      </c>
      <c r="D236" t="inlineStr">
        <is>
          <t>Constanța</t>
        </is>
      </c>
      <c r="E236" t="inlineStr">
        <is>
          <t>PRD-001</t>
        </is>
      </c>
      <c r="F236" t="inlineStr">
        <is>
          <t>Abonament suita cloud</t>
        </is>
      </c>
      <c r="G236" t="inlineStr">
        <is>
          <t>Licențe software</t>
        </is>
      </c>
      <c r="H236" t="n">
        <v>1</v>
      </c>
      <c r="I236" t="n">
        <v>2387.59</v>
      </c>
      <c r="J236" t="n">
        <v>2387.59</v>
      </c>
      <c r="K236" s="13" t="n">
        <v>0.19</v>
      </c>
      <c r="L236" t="n">
        <v>453.64</v>
      </c>
      <c r="M236" t="n">
        <v>2841.23</v>
      </c>
      <c r="N236" t="inlineStr">
        <is>
          <t>RON</t>
        </is>
      </c>
      <c r="O236" t="inlineStr">
        <is>
          <t>Mangalia</t>
        </is>
      </c>
      <c r="P236" s="12" t="n">
        <v>46233</v>
      </c>
      <c r="Q236">
        <f>IF(COUNTIF(tbl_Localitati[oras_oficial],[@oras])=0,"ORAS NEALINIAT",IF(XLOOKUP([@oras],tbl_Localitati[oras_oficial],tbl_Localitati[judet],"?")&lt;&gt;[@judet],"JUDET NECORESPUNZATOR",""))</f>
        <v/>
      </c>
      <c r="R236">
        <f>IF(XLOOKUP([@categorie],tbl_RegulriTVA[categorie],tbl_RegulriTVA[cota_legala],-1)&lt;&gt;[@cota_tva],"TVA GRESIT","")</f>
        <v/>
      </c>
      <c r="S236">
        <f>IF([@data_scadentei]&lt;[@data_factura],"SCADENTA INAINTEA FACTURII","")</f>
        <v/>
      </c>
      <c r="T236">
        <f>IF(NETWORKDAYS.INTL([@data_factura],[@data_factura],1,tbl_SarbatoriLegale[data])=0,"ZI NELUCRATOARE","")</f>
        <v/>
      </c>
      <c r="U236">
        <f>IF([@motiv_anomalie]="","OK","DE INVESTIGAT")</f>
        <v/>
      </c>
      <c r="V236">
        <f>TEXTJOIN("; ",TRUE,[@flag_oras],[@flag_tva],[@flag_scadenta],[@flag_zi])</f>
        <v/>
      </c>
    </row>
    <row r="237">
      <c r="A237" t="inlineStr">
        <is>
          <t>F-2025-00236</t>
        </is>
      </c>
      <c r="B237" s="12" t="n">
        <v>46094</v>
      </c>
      <c r="C237" t="inlineStr">
        <is>
          <t>SC OMEGA SOFT SRL</t>
        </is>
      </c>
      <c r="D237" t="inlineStr">
        <is>
          <t>Dolj</t>
        </is>
      </c>
      <c r="E237" t="inlineStr">
        <is>
          <t>PRD-001</t>
        </is>
      </c>
      <c r="F237" t="inlineStr">
        <is>
          <t>Licenta ERP contabilitate</t>
        </is>
      </c>
      <c r="G237" t="inlineStr">
        <is>
          <t>Licențe software</t>
        </is>
      </c>
      <c r="H237" t="n">
        <v>3</v>
      </c>
      <c r="I237" t="n">
        <v>2331.63</v>
      </c>
      <c r="J237" t="n">
        <v>6994.89</v>
      </c>
      <c r="K237" s="13" t="n">
        <v>0.19</v>
      </c>
      <c r="L237" t="n">
        <v>1329.03</v>
      </c>
      <c r="M237" t="n">
        <v>8323.92</v>
      </c>
      <c r="N237" t="inlineStr">
        <is>
          <t>RON</t>
        </is>
      </c>
      <c r="O237" t="inlineStr">
        <is>
          <t>Craiova</t>
        </is>
      </c>
      <c r="P237" s="12" t="n">
        <v>46109</v>
      </c>
      <c r="Q237">
        <f>IF(COUNTIF(tbl_Localitati[oras_oficial],[@oras])=0,"ORAS NEALINIAT",IF(XLOOKUP([@oras],tbl_Localitati[oras_oficial],tbl_Localitati[judet],"?")&lt;&gt;[@judet],"JUDET NECORESPUNZATOR",""))</f>
        <v/>
      </c>
      <c r="R237">
        <f>IF(XLOOKUP([@categorie],tbl_RegulriTVA[categorie],tbl_RegulriTVA[cota_legala],-1)&lt;&gt;[@cota_tva],"TVA GRESIT","")</f>
        <v/>
      </c>
      <c r="S237">
        <f>IF([@data_scadentei]&lt;[@data_factura],"SCADENTA INAINTEA FACTURII","")</f>
        <v/>
      </c>
      <c r="T237">
        <f>IF(NETWORKDAYS.INTL([@data_factura],[@data_factura],1,tbl_SarbatoriLegale[data])=0,"ZI NELUCRATOARE","")</f>
        <v/>
      </c>
      <c r="U237">
        <f>IF([@motiv_anomalie]="","OK","DE INVESTIGAT")</f>
        <v/>
      </c>
      <c r="V237">
        <f>TEXTJOIN("; ",TRUE,[@flag_oras],[@flag_tva],[@flag_scadenta],[@flag_zi])</f>
        <v/>
      </c>
    </row>
    <row r="238">
      <c r="A238" t="inlineStr">
        <is>
          <t>F-2025-00237</t>
        </is>
      </c>
      <c r="B238" s="12" t="n">
        <v>46070</v>
      </c>
      <c r="C238" t="inlineStr">
        <is>
          <t>SC UNIFOOD DISTRIBUTION SA</t>
        </is>
      </c>
      <c r="D238" t="inlineStr">
        <is>
          <t>Sibiu</t>
        </is>
      </c>
      <c r="E238" t="inlineStr">
        <is>
          <t>PRD-001</t>
        </is>
      </c>
      <c r="F238" t="inlineStr">
        <is>
          <t>Telefon IP birou</t>
        </is>
      </c>
      <c r="G238" t="inlineStr">
        <is>
          <t>Echipamente birou</t>
        </is>
      </c>
      <c r="H238" t="n">
        <v>1</v>
      </c>
      <c r="I238" t="n">
        <v>2463.91</v>
      </c>
      <c r="J238" t="n">
        <v>2463.91</v>
      </c>
      <c r="K238" s="13" t="n">
        <v>0.19</v>
      </c>
      <c r="L238" t="n">
        <v>468.14</v>
      </c>
      <c r="M238" t="n">
        <v>2932.05</v>
      </c>
      <c r="N238" t="inlineStr">
        <is>
          <t>RON</t>
        </is>
      </c>
      <c r="O238" t="inlineStr">
        <is>
          <t>Mediaș</t>
        </is>
      </c>
      <c r="P238" s="12" t="n">
        <v>46085</v>
      </c>
      <c r="Q238">
        <f>IF(COUNTIF(tbl_Localitati[oras_oficial],[@oras])=0,"ORAS NEALINIAT",IF(XLOOKUP([@oras],tbl_Localitati[oras_oficial],tbl_Localitati[judet],"?")&lt;&gt;[@judet],"JUDET NECORESPUNZATOR",""))</f>
        <v/>
      </c>
      <c r="R238">
        <f>IF(XLOOKUP([@categorie],tbl_RegulriTVA[categorie],tbl_RegulriTVA[cota_legala],-1)&lt;&gt;[@cota_tva],"TVA GRESIT","")</f>
        <v/>
      </c>
      <c r="S238">
        <f>IF([@data_scadentei]&lt;[@data_factura],"SCADENTA INAINTEA FACTURII","")</f>
        <v/>
      </c>
      <c r="T238">
        <f>IF(NETWORKDAYS.INTL([@data_factura],[@data_factura],1,tbl_SarbatoriLegale[data])=0,"ZI NELUCRATOARE","")</f>
        <v/>
      </c>
      <c r="U238">
        <f>IF([@motiv_anomalie]="","OK","DE INVESTIGAT")</f>
        <v/>
      </c>
      <c r="V238">
        <f>TEXTJOIN("; ",TRUE,[@flag_oras],[@flag_tva],[@flag_scadenta],[@flag_zi])</f>
        <v/>
      </c>
    </row>
    <row r="239">
      <c r="A239" t="inlineStr">
        <is>
          <t>F-2025-00238</t>
        </is>
      </c>
      <c r="B239" s="12" t="n">
        <v>46055</v>
      </c>
      <c r="C239" t="inlineStr">
        <is>
          <t>SC OMEGA SOFT SRL</t>
        </is>
      </c>
      <c r="D239" t="inlineStr">
        <is>
          <t>Dolj</t>
        </is>
      </c>
      <c r="E239" t="inlineStr">
        <is>
          <t>PRD-008</t>
        </is>
      </c>
      <c r="F239" t="inlineStr">
        <is>
          <t>Multifunctionala laser</t>
        </is>
      </c>
      <c r="G239" t="inlineStr">
        <is>
          <t>Echipamente birou</t>
        </is>
      </c>
      <c r="H239" t="n">
        <v>1</v>
      </c>
      <c r="I239" t="n">
        <v>457.29</v>
      </c>
      <c r="J239" t="n">
        <v>457.29</v>
      </c>
      <c r="K239" s="13" t="n">
        <v>0.19</v>
      </c>
      <c r="L239" t="n">
        <v>86.89</v>
      </c>
      <c r="M239" t="n">
        <v>544.1799999999999</v>
      </c>
      <c r="N239" t="inlineStr">
        <is>
          <t>RON</t>
        </is>
      </c>
      <c r="O239" t="inlineStr">
        <is>
          <t>Craiova</t>
        </is>
      </c>
      <c r="P239" s="12" t="n">
        <v>46100</v>
      </c>
      <c r="Q239">
        <f>IF(COUNTIF(tbl_Localitati[oras_oficial],[@oras])=0,"ORAS NEALINIAT",IF(XLOOKUP([@oras],tbl_Localitati[oras_oficial],tbl_Localitati[judet],"?")&lt;&gt;[@judet],"JUDET NECORESPUNZATOR",""))</f>
        <v/>
      </c>
      <c r="R239">
        <f>IF(XLOOKUP([@categorie],tbl_RegulriTVA[categorie],tbl_RegulriTVA[cota_legala],-1)&lt;&gt;[@cota_tva],"TVA GRESIT","")</f>
        <v/>
      </c>
      <c r="S239">
        <f>IF([@data_scadentei]&lt;[@data_factura],"SCADENTA INAINTEA FACTURII","")</f>
        <v/>
      </c>
      <c r="T239">
        <f>IF(NETWORKDAYS.INTL([@data_factura],[@data_factura],1,tbl_SarbatoriLegale[data])=0,"ZI NELUCRATOARE","")</f>
        <v/>
      </c>
      <c r="U239">
        <f>IF([@motiv_anomalie]="","OK","DE INVESTIGAT")</f>
        <v/>
      </c>
      <c r="V239">
        <f>TEXTJOIN("; ",TRUE,[@flag_oras],[@flag_tva],[@flag_scadenta],[@flag_zi])</f>
        <v/>
      </c>
    </row>
    <row r="240">
      <c r="A240" t="inlineStr">
        <is>
          <t>F-2025-00239</t>
        </is>
      </c>
      <c r="B240" s="12" t="n">
        <v>46083</v>
      </c>
      <c r="C240" t="inlineStr">
        <is>
          <t>SC DACTECH SOLUTIONS SRL</t>
        </is>
      </c>
      <c r="D240" t="inlineStr">
        <is>
          <t>Argeș</t>
        </is>
      </c>
      <c r="E240" t="inlineStr">
        <is>
          <t>PRD-004</t>
        </is>
      </c>
      <c r="F240" t="inlineStr">
        <is>
          <t>Monitor 27" 4K</t>
        </is>
      </c>
      <c r="G240" t="inlineStr">
        <is>
          <t>Hardware IT</t>
        </is>
      </c>
      <c r="H240" t="n">
        <v>1</v>
      </c>
      <c r="I240" t="n">
        <v>892.78</v>
      </c>
      <c r="J240" t="n">
        <v>892.78</v>
      </c>
      <c r="K240" s="13" t="n">
        <v>0.19</v>
      </c>
      <c r="L240" t="n">
        <v>169.63</v>
      </c>
      <c r="M240" t="n">
        <v>1062.41</v>
      </c>
      <c r="N240" t="inlineStr">
        <is>
          <t>RON</t>
        </is>
      </c>
      <c r="O240" t="inlineStr">
        <is>
          <t>Pitești</t>
        </is>
      </c>
      <c r="P240" s="12" t="n">
        <v>46128</v>
      </c>
      <c r="Q240">
        <f>IF(COUNTIF(tbl_Localitati[oras_oficial],[@oras])=0,"ORAS NEALINIAT",IF(XLOOKUP([@oras],tbl_Localitati[oras_oficial],tbl_Localitati[judet],"?")&lt;&gt;[@judet],"JUDET NECORESPUNZATOR",""))</f>
        <v/>
      </c>
      <c r="R240">
        <f>IF(XLOOKUP([@categorie],tbl_RegulriTVA[categorie],tbl_RegulriTVA[cota_legala],-1)&lt;&gt;[@cota_tva],"TVA GRESIT","")</f>
        <v/>
      </c>
      <c r="S240">
        <f>IF([@data_scadentei]&lt;[@data_factura],"SCADENTA INAINTEA FACTURII","")</f>
        <v/>
      </c>
      <c r="T240">
        <f>IF(NETWORKDAYS.INTL([@data_factura],[@data_factura],1,tbl_SarbatoriLegale[data])=0,"ZI NELUCRATOARE","")</f>
        <v/>
      </c>
      <c r="U240">
        <f>IF([@motiv_anomalie]="","OK","DE INVESTIGAT")</f>
        <v/>
      </c>
      <c r="V240">
        <f>TEXTJOIN("; ",TRUE,[@flag_oras],[@flag_tva],[@flag_scadenta],[@flag_zi])</f>
        <v/>
      </c>
    </row>
    <row r="241">
      <c r="A241" t="inlineStr">
        <is>
          <t>F-2025-00240</t>
        </is>
      </c>
      <c r="B241" s="12" t="n">
        <v>46118</v>
      </c>
      <c r="C241" t="inlineStr">
        <is>
          <t>SC METALPLAST INVEST SA</t>
        </is>
      </c>
      <c r="D241" t="inlineStr">
        <is>
          <t>Cluj</t>
        </is>
      </c>
      <c r="E241" t="inlineStr">
        <is>
          <t>PRD-007</t>
        </is>
      </c>
      <c r="F241" t="inlineStr">
        <is>
          <t>Switch gigabit 24p</t>
        </is>
      </c>
      <c r="G241" t="inlineStr">
        <is>
          <t>Hardware IT</t>
        </is>
      </c>
      <c r="H241" t="n">
        <v>10</v>
      </c>
      <c r="I241" t="n">
        <v>173.32</v>
      </c>
      <c r="J241" t="n">
        <v>1733.2</v>
      </c>
      <c r="K241" s="13" t="n">
        <v>0.19</v>
      </c>
      <c r="L241" t="n">
        <v>329.31</v>
      </c>
      <c r="M241" t="n">
        <v>2062.51</v>
      </c>
      <c r="N241" t="inlineStr">
        <is>
          <t>RON</t>
        </is>
      </c>
      <c r="O241" t="inlineStr">
        <is>
          <t>Turda</t>
        </is>
      </c>
      <c r="P241" s="12" t="n">
        <v>46133</v>
      </c>
      <c r="Q241">
        <f>IF(COUNTIF(tbl_Localitati[oras_oficial],[@oras])=0,"ORAS NEALINIAT",IF(XLOOKUP([@oras],tbl_Localitati[oras_oficial],tbl_Localitati[judet],"?")&lt;&gt;[@judet],"JUDET NECORESPUNZATOR",""))</f>
        <v/>
      </c>
      <c r="R241">
        <f>IF(XLOOKUP([@categorie],tbl_RegulriTVA[categorie],tbl_RegulriTVA[cota_legala],-1)&lt;&gt;[@cota_tva],"TVA GRESIT","")</f>
        <v/>
      </c>
      <c r="S241">
        <f>IF([@data_scadentei]&lt;[@data_factura],"SCADENTA INAINTEA FACTURII","")</f>
        <v/>
      </c>
      <c r="T241">
        <f>IF(NETWORKDAYS.INTL([@data_factura],[@data_factura],1,tbl_SarbatoriLegale[data])=0,"ZI NELUCRATOARE","")</f>
        <v/>
      </c>
      <c r="U241">
        <f>IF([@motiv_anomalie]="","OK","DE INVESTIGAT")</f>
        <v/>
      </c>
      <c r="V241">
        <f>TEXTJOIN("; ",TRUE,[@flag_oras],[@flag_tva],[@flag_scadenta],[@flag_zi])</f>
        <v/>
      </c>
    </row>
    <row r="242">
      <c r="A242" t="inlineStr">
        <is>
          <t>F-2025-00241</t>
        </is>
      </c>
      <c r="B242" s="12" t="n">
        <v>46183</v>
      </c>
      <c r="C242" t="inlineStr">
        <is>
          <t>SC INTEGROMED SA</t>
        </is>
      </c>
      <c r="D242" t="inlineStr">
        <is>
          <t>Cluj</t>
        </is>
      </c>
      <c r="E242" t="inlineStr">
        <is>
          <t>PRD-003</t>
        </is>
      </c>
      <c r="F242" t="inlineStr">
        <is>
          <t>Carte tehnica IT</t>
        </is>
      </c>
      <c r="G242" t="inlineStr">
        <is>
          <t>Cărți și manuale</t>
        </is>
      </c>
      <c r="H242" t="n">
        <v>10</v>
      </c>
      <c r="I242" t="n">
        <v>4322.67</v>
      </c>
      <c r="J242" t="n">
        <v>43226.7</v>
      </c>
      <c r="K242" s="13" t="n">
        <v>0.05</v>
      </c>
      <c r="L242" t="n">
        <v>2161.34</v>
      </c>
      <c r="M242" t="n">
        <v>45388.04</v>
      </c>
      <c r="N242" t="inlineStr">
        <is>
          <t>RON</t>
        </is>
      </c>
      <c r="O242" t="inlineStr">
        <is>
          <t>Cluj-Napoca</t>
        </is>
      </c>
      <c r="P242" s="12" t="n">
        <v>46228</v>
      </c>
      <c r="Q242">
        <f>IF(COUNTIF(tbl_Localitati[oras_oficial],[@oras])=0,"ORAS NEALINIAT",IF(XLOOKUP([@oras],tbl_Localitati[oras_oficial],tbl_Localitati[judet],"?")&lt;&gt;[@judet],"JUDET NECORESPUNZATOR",""))</f>
        <v/>
      </c>
      <c r="R242">
        <f>IF(XLOOKUP([@categorie],tbl_RegulriTVA[categorie],tbl_RegulriTVA[cota_legala],-1)&lt;&gt;[@cota_tva],"TVA GRESIT","")</f>
        <v/>
      </c>
      <c r="S242">
        <f>IF([@data_scadentei]&lt;[@data_factura],"SCADENTA INAINTEA FACTURII","")</f>
        <v/>
      </c>
      <c r="T242">
        <f>IF(NETWORKDAYS.INTL([@data_factura],[@data_factura],1,tbl_SarbatoriLegale[data])=0,"ZI NELUCRATOARE","")</f>
        <v/>
      </c>
      <c r="U242">
        <f>IF([@motiv_anomalie]="","OK","DE INVESTIGAT")</f>
        <v/>
      </c>
      <c r="V242">
        <f>TEXTJOIN("; ",TRUE,[@flag_oras],[@flag_tva],[@flag_scadenta],[@flag_zi])</f>
        <v/>
      </c>
    </row>
    <row r="243">
      <c r="A243" t="inlineStr">
        <is>
          <t>F-2025-00242</t>
        </is>
      </c>
      <c r="B243" s="12" t="n">
        <v>46220</v>
      </c>
      <c r="C243" t="inlineStr">
        <is>
          <t>SC PROVITA MEDICAL SRL</t>
        </is>
      </c>
      <c r="D243" t="inlineStr">
        <is>
          <t>Mureș</t>
        </is>
      </c>
      <c r="E243" t="inlineStr">
        <is>
          <t>PRD-004</t>
        </is>
      </c>
      <c r="F243" t="inlineStr">
        <is>
          <t>Set carti formare</t>
        </is>
      </c>
      <c r="G243" t="inlineStr">
        <is>
          <t>Cărți și manuale</t>
        </is>
      </c>
      <c r="H243" t="n">
        <v>1</v>
      </c>
      <c r="I243" t="n">
        <v>860.39</v>
      </c>
      <c r="J243" t="n">
        <v>860.39</v>
      </c>
      <c r="K243" s="13" t="n">
        <v>0.05</v>
      </c>
      <c r="L243" t="n">
        <v>43.02</v>
      </c>
      <c r="M243" t="n">
        <v>903.41</v>
      </c>
      <c r="N243" t="inlineStr">
        <is>
          <t>RON</t>
        </is>
      </c>
      <c r="O243" t="inlineStr">
        <is>
          <t>Târgu Mureș</t>
        </is>
      </c>
      <c r="P243" s="12" t="n">
        <v>46250</v>
      </c>
      <c r="Q243">
        <f>IF(COUNTIF(tbl_Localitati[oras_oficial],[@oras])=0,"ORAS NEALINIAT",IF(XLOOKUP([@oras],tbl_Localitati[oras_oficial],tbl_Localitati[judet],"?")&lt;&gt;[@judet],"JUDET NECORESPUNZATOR",""))</f>
        <v/>
      </c>
      <c r="R243">
        <f>IF(XLOOKUP([@categorie],tbl_RegulriTVA[categorie],tbl_RegulriTVA[cota_legala],-1)&lt;&gt;[@cota_tva],"TVA GRESIT","")</f>
        <v/>
      </c>
      <c r="S243">
        <f>IF([@data_scadentei]&lt;[@data_factura],"SCADENTA INAINTEA FACTURII","")</f>
        <v/>
      </c>
      <c r="T243">
        <f>IF(NETWORKDAYS.INTL([@data_factura],[@data_factura],1,tbl_SarbatoriLegale[data])=0,"ZI NELUCRATOARE","")</f>
        <v/>
      </c>
      <c r="U243">
        <f>IF([@motiv_anomalie]="","OK","DE INVESTIGAT")</f>
        <v/>
      </c>
      <c r="V243">
        <f>TEXTJOIN("; ",TRUE,[@flag_oras],[@flag_tva],[@flag_scadenta],[@flag_zi])</f>
        <v/>
      </c>
    </row>
    <row r="244">
      <c r="A244" t="inlineStr">
        <is>
          <t>F-2025-00243</t>
        </is>
      </c>
      <c r="B244" s="12" t="n">
        <v>46139</v>
      </c>
      <c r="C244" t="inlineStr">
        <is>
          <t>SC AROMET TRADING SRL</t>
        </is>
      </c>
      <c r="D244" t="inlineStr">
        <is>
          <t>Alba</t>
        </is>
      </c>
      <c r="E244" t="inlineStr">
        <is>
          <t>PRD-005</t>
        </is>
      </c>
      <c r="F244" t="inlineStr">
        <is>
          <t>Telefon IP birou</t>
        </is>
      </c>
      <c r="G244" t="inlineStr">
        <is>
          <t>Echipamente birou</t>
        </is>
      </c>
      <c r="H244" t="n">
        <v>3</v>
      </c>
      <c r="I244" t="n">
        <v>246.82</v>
      </c>
      <c r="J244" t="n">
        <v>740.46</v>
      </c>
      <c r="K244" s="13" t="n">
        <v>0.19</v>
      </c>
      <c r="L244" t="n">
        <v>140.69</v>
      </c>
      <c r="M244" t="n">
        <v>881.15</v>
      </c>
      <c r="N244" t="inlineStr">
        <is>
          <t>RON</t>
        </is>
      </c>
      <c r="O244" t="inlineStr">
        <is>
          <t>Alba Iulia</t>
        </is>
      </c>
      <c r="P244" s="12" t="n">
        <v>46184</v>
      </c>
      <c r="Q244">
        <f>IF(COUNTIF(tbl_Localitati[oras_oficial],[@oras])=0,"ORAS NEALINIAT",IF(XLOOKUP([@oras],tbl_Localitati[oras_oficial],tbl_Localitati[judet],"?")&lt;&gt;[@judet],"JUDET NECORESPUNZATOR",""))</f>
        <v/>
      </c>
      <c r="R244">
        <f>IF(XLOOKUP([@categorie],tbl_RegulriTVA[categorie],tbl_RegulriTVA[cota_legala],-1)&lt;&gt;[@cota_tva],"TVA GRESIT","")</f>
        <v/>
      </c>
      <c r="S244">
        <f>IF([@data_scadentei]&lt;[@data_factura],"SCADENTA INAINTEA FACTURII","")</f>
        <v/>
      </c>
      <c r="T244">
        <f>IF(NETWORKDAYS.INTL([@data_factura],[@data_factura],1,tbl_SarbatoriLegale[data])=0,"ZI NELUCRATOARE","")</f>
        <v/>
      </c>
      <c r="U244">
        <f>IF([@motiv_anomalie]="","OK","DE INVESTIGAT")</f>
        <v/>
      </c>
      <c r="V244">
        <f>TEXTJOIN("; ",TRUE,[@flag_oras],[@flag_tva],[@flag_scadenta],[@flag_zi])</f>
        <v/>
      </c>
    </row>
    <row r="245">
      <c r="A245" t="inlineStr">
        <is>
          <t>F-2025-00244</t>
        </is>
      </c>
      <c r="B245" s="12" t="n">
        <v>46238</v>
      </c>
      <c r="C245" t="inlineStr">
        <is>
          <t>SC AROMET TRADING SRL</t>
        </is>
      </c>
      <c r="D245" t="inlineStr">
        <is>
          <t>Alba</t>
        </is>
      </c>
      <c r="E245" t="inlineStr">
        <is>
          <t>PRD-008</t>
        </is>
      </c>
      <c r="F245" t="inlineStr">
        <is>
          <t>Licenta Office 365 anuala</t>
        </is>
      </c>
      <c r="G245" t="inlineStr">
        <is>
          <t>Licențe software</t>
        </is>
      </c>
      <c r="H245" t="n">
        <v>25</v>
      </c>
      <c r="I245" t="n">
        <v>472.37</v>
      </c>
      <c r="J245" t="n">
        <v>11809.25</v>
      </c>
      <c r="K245" s="13" t="n">
        <v>0.19</v>
      </c>
      <c r="L245" t="n">
        <v>2243.76</v>
      </c>
      <c r="M245" t="n">
        <v>14053.01</v>
      </c>
      <c r="N245" t="inlineStr">
        <is>
          <t>RON</t>
        </is>
      </c>
      <c r="O245" t="inlineStr">
        <is>
          <t>Alba Iulia</t>
        </is>
      </c>
      <c r="P245" s="12" t="n">
        <v>46283</v>
      </c>
      <c r="Q245">
        <f>IF(COUNTIF(tbl_Localitati[oras_oficial],[@oras])=0,"ORAS NEALINIAT",IF(XLOOKUP([@oras],tbl_Localitati[oras_oficial],tbl_Localitati[judet],"?")&lt;&gt;[@judet],"JUDET NECORESPUNZATOR",""))</f>
        <v/>
      </c>
      <c r="R245">
        <f>IF(XLOOKUP([@categorie],tbl_RegulriTVA[categorie],tbl_RegulriTVA[cota_legala],-1)&lt;&gt;[@cota_tva],"TVA GRESIT","")</f>
        <v/>
      </c>
      <c r="S245">
        <f>IF([@data_scadentei]&lt;[@data_factura],"SCADENTA INAINTEA FACTURII","")</f>
        <v/>
      </c>
      <c r="T245">
        <f>IF(NETWORKDAYS.INTL([@data_factura],[@data_factura],1,tbl_SarbatoriLegale[data])=0,"ZI NELUCRATOARE","")</f>
        <v/>
      </c>
      <c r="U245">
        <f>IF([@motiv_anomalie]="","OK","DE INVESTIGAT")</f>
        <v/>
      </c>
      <c r="V245">
        <f>TEXTJOIN("; ",TRUE,[@flag_oras],[@flag_tva],[@flag_scadenta],[@flag_zi])</f>
        <v/>
      </c>
    </row>
    <row r="246">
      <c r="A246" t="inlineStr">
        <is>
          <t>F-2025-00245</t>
        </is>
      </c>
      <c r="B246" s="12" t="n">
        <v>46380</v>
      </c>
      <c r="C246" t="inlineStr">
        <is>
          <t>SC DACTECH SOLUTIONS SRL</t>
        </is>
      </c>
      <c r="D246" t="inlineStr">
        <is>
          <t>Argeș</t>
        </is>
      </c>
      <c r="E246" t="inlineStr">
        <is>
          <t>PRD-007</t>
        </is>
      </c>
      <c r="F246" t="inlineStr">
        <is>
          <t>Cafea boabe 1kg</t>
        </is>
      </c>
      <c r="G246" t="inlineStr">
        <is>
          <t>Alimente</t>
        </is>
      </c>
      <c r="H246" t="n">
        <v>25</v>
      </c>
      <c r="I246" t="n">
        <v>171.94</v>
      </c>
      <c r="J246" t="n">
        <v>4298.5</v>
      </c>
      <c r="K246" s="13" t="n">
        <v>0.09</v>
      </c>
      <c r="L246" t="n">
        <v>386.87</v>
      </c>
      <c r="M246" t="n">
        <v>4685.37</v>
      </c>
      <c r="N246" t="inlineStr">
        <is>
          <t>RON</t>
        </is>
      </c>
      <c r="O246" t="inlineStr">
        <is>
          <t>Pitești</t>
        </is>
      </c>
      <c r="P246" s="12" t="n">
        <v>46440</v>
      </c>
      <c r="Q246">
        <f>IF(COUNTIF(tbl_Localitati[oras_oficial],[@oras])=0,"ORAS NEALINIAT",IF(XLOOKUP([@oras],tbl_Localitati[oras_oficial],tbl_Localitati[judet],"?")&lt;&gt;[@judet],"JUDET NECORESPUNZATOR",""))</f>
        <v/>
      </c>
      <c r="R246">
        <f>IF(XLOOKUP([@categorie],tbl_RegulriTVA[categorie],tbl_RegulriTVA[cota_legala],-1)&lt;&gt;[@cota_tva],"TVA GRESIT","")</f>
        <v/>
      </c>
      <c r="S246">
        <f>IF([@data_scadentei]&lt;[@data_factura],"SCADENTA INAINTEA FACTURII","")</f>
        <v/>
      </c>
      <c r="T246">
        <f>IF(NETWORKDAYS.INTL([@data_factura],[@data_factura],1,tbl_SarbatoriLegale[data])=0,"ZI NELUCRATOARE","")</f>
        <v/>
      </c>
      <c r="U246">
        <f>IF([@motiv_anomalie]="","OK","DE INVESTIGAT")</f>
        <v/>
      </c>
      <c r="V246">
        <f>TEXTJOIN("; ",TRUE,[@flag_oras],[@flag_tva],[@flag_scadenta],[@flag_zi])</f>
        <v/>
      </c>
    </row>
    <row r="247">
      <c r="A247" t="inlineStr">
        <is>
          <t>F-2025-00246</t>
        </is>
      </c>
      <c r="B247" s="12" t="n">
        <v>46104</v>
      </c>
      <c r="C247" t="inlineStr">
        <is>
          <t>SC AROMET TRADING SRL</t>
        </is>
      </c>
      <c r="D247" t="inlineStr">
        <is>
          <t>Alba</t>
        </is>
      </c>
      <c r="E247" t="inlineStr">
        <is>
          <t>PRD-002</t>
        </is>
      </c>
      <c r="F247" t="inlineStr">
        <is>
          <t>Carte tehnica IT</t>
        </is>
      </c>
      <c r="G247" t="inlineStr">
        <is>
          <t>Cărți și manuale</t>
        </is>
      </c>
      <c r="H247" t="n">
        <v>1</v>
      </c>
      <c r="I247" t="n">
        <v>1080.49</v>
      </c>
      <c r="J247" t="n">
        <v>1080.49</v>
      </c>
      <c r="K247" s="13" t="n">
        <v>0.05</v>
      </c>
      <c r="L247" t="n">
        <v>54.02</v>
      </c>
      <c r="M247" t="n">
        <v>1134.51</v>
      </c>
      <c r="N247" t="inlineStr">
        <is>
          <t>RON</t>
        </is>
      </c>
      <c r="O247" t="inlineStr">
        <is>
          <t>Alba Iulia</t>
        </is>
      </c>
      <c r="P247" s="12" t="n">
        <v>46164</v>
      </c>
      <c r="Q247">
        <f>IF(COUNTIF(tbl_Localitati[oras_oficial],[@oras])=0,"ORAS NEALINIAT",IF(XLOOKUP([@oras],tbl_Localitati[oras_oficial],tbl_Localitati[judet],"?")&lt;&gt;[@judet],"JUDET NECORESPUNZATOR",""))</f>
        <v/>
      </c>
      <c r="R247">
        <f>IF(XLOOKUP([@categorie],tbl_RegulriTVA[categorie],tbl_RegulriTVA[cota_legala],-1)&lt;&gt;[@cota_tva],"TVA GRESIT","")</f>
        <v/>
      </c>
      <c r="S247">
        <f>IF([@data_scadentei]&lt;[@data_factura],"SCADENTA INAINTEA FACTURII","")</f>
        <v/>
      </c>
      <c r="T247">
        <f>IF(NETWORKDAYS.INTL([@data_factura],[@data_factura],1,tbl_SarbatoriLegale[data])=0,"ZI NELUCRATOARE","")</f>
        <v/>
      </c>
      <c r="U247">
        <f>IF([@motiv_anomalie]="","OK","DE INVESTIGAT")</f>
        <v/>
      </c>
      <c r="V247">
        <f>TEXTJOIN("; ",TRUE,[@flag_oras],[@flag_tva],[@flag_scadenta],[@flag_zi])</f>
        <v/>
      </c>
    </row>
    <row r="248">
      <c r="A248" t="inlineStr">
        <is>
          <t>F-2025-00247</t>
        </is>
      </c>
      <c r="B248" s="12" t="n">
        <v>46272</v>
      </c>
      <c r="C248" t="inlineStr">
        <is>
          <t>SC VECTOR CONSULT SRL</t>
        </is>
      </c>
      <c r="D248" t="inlineStr">
        <is>
          <t>Timiș</t>
        </is>
      </c>
      <c r="E248" t="inlineStr">
        <is>
          <t>PRD-001</t>
        </is>
      </c>
      <c r="F248" t="inlineStr">
        <is>
          <t>Licenta antivirus enterprise</t>
        </is>
      </c>
      <c r="G248" t="inlineStr">
        <is>
          <t>Licențe software</t>
        </is>
      </c>
      <c r="H248" t="n">
        <v>1</v>
      </c>
      <c r="I248" t="n">
        <v>2354.99</v>
      </c>
      <c r="J248" t="n">
        <v>2354.99</v>
      </c>
      <c r="K248" s="13" t="n">
        <v>0.19</v>
      </c>
      <c r="L248" t="n">
        <v>447.45</v>
      </c>
      <c r="M248" t="n">
        <v>2802.44</v>
      </c>
      <c r="N248" t="inlineStr">
        <is>
          <t>RON</t>
        </is>
      </c>
      <c r="O248" t="inlineStr">
        <is>
          <t>Timișoara</t>
        </is>
      </c>
      <c r="P248" s="12" t="n">
        <v>46287</v>
      </c>
      <c r="Q248">
        <f>IF(COUNTIF(tbl_Localitati[oras_oficial],[@oras])=0,"ORAS NEALINIAT",IF(XLOOKUP([@oras],tbl_Localitati[oras_oficial],tbl_Localitati[judet],"?")&lt;&gt;[@judet],"JUDET NECORESPUNZATOR",""))</f>
        <v/>
      </c>
      <c r="R248">
        <f>IF(XLOOKUP([@categorie],tbl_RegulriTVA[categorie],tbl_RegulriTVA[cota_legala],-1)&lt;&gt;[@cota_tva],"TVA GRESIT","")</f>
        <v/>
      </c>
      <c r="S248">
        <f>IF([@data_scadentei]&lt;[@data_factura],"SCADENTA INAINTEA FACTURII","")</f>
        <v/>
      </c>
      <c r="T248">
        <f>IF(NETWORKDAYS.INTL([@data_factura],[@data_factura],1,tbl_SarbatoriLegale[data])=0,"ZI NELUCRATOARE","")</f>
        <v/>
      </c>
      <c r="U248">
        <f>IF([@motiv_anomalie]="","OK","DE INVESTIGAT")</f>
        <v/>
      </c>
      <c r="V248">
        <f>TEXTJOIN("; ",TRUE,[@flag_oras],[@flag_tva],[@flag_scadenta],[@flag_zi])</f>
        <v/>
      </c>
    </row>
    <row r="249">
      <c r="A249" t="inlineStr">
        <is>
          <t>F-2025-00248</t>
        </is>
      </c>
      <c r="B249" s="12" t="n">
        <v>46091</v>
      </c>
      <c r="C249" t="inlineStr">
        <is>
          <t>SC RAPID LOGISTIC SA</t>
        </is>
      </c>
      <c r="D249" t="inlineStr">
        <is>
          <t>Prahova</t>
        </is>
      </c>
      <c r="E249" t="inlineStr">
        <is>
          <t>PRD-005</t>
        </is>
      </c>
      <c r="F249" t="inlineStr">
        <is>
          <t>Licenta Office 365 anuala</t>
        </is>
      </c>
      <c r="G249" t="inlineStr">
        <is>
          <t>Licențe software</t>
        </is>
      </c>
      <c r="H249" t="n">
        <v>2</v>
      </c>
      <c r="I249" t="n">
        <v>239.45</v>
      </c>
      <c r="J249" t="n">
        <v>478.9</v>
      </c>
      <c r="K249" s="13" t="n">
        <v>0.19</v>
      </c>
      <c r="L249" t="n">
        <v>90.98999999999999</v>
      </c>
      <c r="M249" t="n">
        <v>569.89</v>
      </c>
      <c r="N249" t="inlineStr">
        <is>
          <t>RON</t>
        </is>
      </c>
      <c r="O249" t="inlineStr">
        <is>
          <t>Ploiești</t>
        </is>
      </c>
      <c r="P249" s="12" t="n">
        <v>46136</v>
      </c>
      <c r="Q249">
        <f>IF(COUNTIF(tbl_Localitati[oras_oficial],[@oras])=0,"ORAS NEALINIAT",IF(XLOOKUP([@oras],tbl_Localitati[oras_oficial],tbl_Localitati[judet],"?")&lt;&gt;[@judet],"JUDET NECORESPUNZATOR",""))</f>
        <v/>
      </c>
      <c r="R249">
        <f>IF(XLOOKUP([@categorie],tbl_RegulriTVA[categorie],tbl_RegulriTVA[cota_legala],-1)&lt;&gt;[@cota_tva],"TVA GRESIT","")</f>
        <v/>
      </c>
      <c r="S249">
        <f>IF([@data_scadentei]&lt;[@data_factura],"SCADENTA INAINTEA FACTURII","")</f>
        <v/>
      </c>
      <c r="T249">
        <f>IF(NETWORKDAYS.INTL([@data_factura],[@data_factura],1,tbl_SarbatoriLegale[data])=0,"ZI NELUCRATOARE","")</f>
        <v/>
      </c>
      <c r="U249">
        <f>IF([@motiv_anomalie]="","OK","DE INVESTIGAT")</f>
        <v/>
      </c>
      <c r="V249">
        <f>TEXTJOIN("; ",TRUE,[@flag_oras],[@flag_tva],[@flag_scadenta],[@flag_zi])</f>
        <v/>
      </c>
    </row>
    <row r="250">
      <c r="A250" t="inlineStr">
        <is>
          <t>F-2025-00249</t>
        </is>
      </c>
      <c r="B250" s="12" t="n">
        <v>46027</v>
      </c>
      <c r="C250" t="inlineStr">
        <is>
          <t>SC AROMET TRADING SRL</t>
        </is>
      </c>
      <c r="D250" t="inlineStr">
        <is>
          <t>Alba</t>
        </is>
      </c>
      <c r="E250" t="inlineStr">
        <is>
          <t>PRD-007</t>
        </is>
      </c>
      <c r="F250" t="inlineStr">
        <is>
          <t>Server rack 1U</t>
        </is>
      </c>
      <c r="G250" t="inlineStr">
        <is>
          <t>Hardware IT</t>
        </is>
      </c>
      <c r="H250" t="n">
        <v>5</v>
      </c>
      <c r="I250" t="n">
        <v>181.45</v>
      </c>
      <c r="J250" t="n">
        <v>907.25</v>
      </c>
      <c r="K250" s="13" t="n">
        <v>0.19</v>
      </c>
      <c r="L250" t="n">
        <v>172.38</v>
      </c>
      <c r="M250" t="n">
        <v>1079.63</v>
      </c>
      <c r="N250" t="inlineStr">
        <is>
          <t>RON</t>
        </is>
      </c>
      <c r="O250" t="inlineStr">
        <is>
          <t>Alba Iulia</t>
        </is>
      </c>
      <c r="P250" s="12" t="n">
        <v>46057</v>
      </c>
      <c r="Q250">
        <f>IF(COUNTIF(tbl_Localitati[oras_oficial],[@oras])=0,"ORAS NEALINIAT",IF(XLOOKUP([@oras],tbl_Localitati[oras_oficial],tbl_Localitati[judet],"?")&lt;&gt;[@judet],"JUDET NECORESPUNZATOR",""))</f>
        <v/>
      </c>
      <c r="R250">
        <f>IF(XLOOKUP([@categorie],tbl_RegulriTVA[categorie],tbl_RegulriTVA[cota_legala],-1)&lt;&gt;[@cota_tva],"TVA GRESIT","")</f>
        <v/>
      </c>
      <c r="S250">
        <f>IF([@data_scadentei]&lt;[@data_factura],"SCADENTA INAINTEA FACTURII","")</f>
        <v/>
      </c>
      <c r="T250">
        <f>IF(NETWORKDAYS.INTL([@data_factura],[@data_factura],1,tbl_SarbatoriLegale[data])=0,"ZI NELUCRATOARE","")</f>
        <v/>
      </c>
      <c r="U250">
        <f>IF([@motiv_anomalie]="","OK","DE INVESTIGAT")</f>
        <v/>
      </c>
      <c r="V250">
        <f>TEXTJOIN("; ",TRUE,[@flag_oras],[@flag_tva],[@flag_scadenta],[@flag_zi])</f>
        <v/>
      </c>
    </row>
    <row r="251">
      <c r="A251" t="inlineStr">
        <is>
          <t>F-2025-00250</t>
        </is>
      </c>
      <c r="B251" s="12" t="n">
        <v>46247</v>
      </c>
      <c r="C251" t="inlineStr">
        <is>
          <t>SC AROMET TRADING SRL</t>
        </is>
      </c>
      <c r="D251" t="inlineStr">
        <is>
          <t>Alba</t>
        </is>
      </c>
      <c r="E251" t="inlineStr">
        <is>
          <t>PRD-001</t>
        </is>
      </c>
      <c r="F251" t="inlineStr">
        <is>
          <t>Masti protectie cutie</t>
        </is>
      </c>
      <c r="G251" t="inlineStr">
        <is>
          <t>Produse farmaceutice</t>
        </is>
      </c>
      <c r="H251" t="n">
        <v>3</v>
      </c>
      <c r="I251" t="n">
        <v>2500.02</v>
      </c>
      <c r="J251" t="n">
        <v>7500.06</v>
      </c>
      <c r="K251" s="13" t="n">
        <v>0.09</v>
      </c>
      <c r="L251" t="n">
        <v>675.01</v>
      </c>
      <c r="M251" t="n">
        <v>8175.07</v>
      </c>
      <c r="N251" t="inlineStr">
        <is>
          <t>RON</t>
        </is>
      </c>
      <c r="O251" t="inlineStr">
        <is>
          <t>Alba Iulia</t>
        </is>
      </c>
      <c r="P251" s="12" t="n">
        <v>46277</v>
      </c>
      <c r="Q251">
        <f>IF(COUNTIF(tbl_Localitati[oras_oficial],[@oras])=0,"ORAS NEALINIAT",IF(XLOOKUP([@oras],tbl_Localitati[oras_oficial],tbl_Localitati[judet],"?")&lt;&gt;[@judet],"JUDET NECORESPUNZATOR",""))</f>
        <v/>
      </c>
      <c r="R251">
        <f>IF(XLOOKUP([@categorie],tbl_RegulriTVA[categorie],tbl_RegulriTVA[cota_legala],-1)&lt;&gt;[@cota_tva],"TVA GRESIT","")</f>
        <v/>
      </c>
      <c r="S251">
        <f>IF([@data_scadentei]&lt;[@data_factura],"SCADENTA INAINTEA FACTURII","")</f>
        <v/>
      </c>
      <c r="T251">
        <f>IF(NETWORKDAYS.INTL([@data_factura],[@data_factura],1,tbl_SarbatoriLegale[data])=0,"ZI NELUCRATOARE","")</f>
        <v/>
      </c>
      <c r="U251">
        <f>IF([@motiv_anomalie]="","OK","DE INVESTIGAT")</f>
        <v/>
      </c>
      <c r="V251">
        <f>TEXTJOIN("; ",TRUE,[@flag_oras],[@flag_tva],[@flag_scadenta],[@flag_zi])</f>
        <v/>
      </c>
    </row>
    <row r="252">
      <c r="A252" t="inlineStr">
        <is>
          <t>F-2025-00251</t>
        </is>
      </c>
      <c r="B252" s="12" t="n">
        <v>46112</v>
      </c>
      <c r="C252" t="inlineStr">
        <is>
          <t>SC VECTOR CONSULT SRL</t>
        </is>
      </c>
      <c r="D252" t="inlineStr">
        <is>
          <t>Timiș</t>
        </is>
      </c>
      <c r="E252" t="inlineStr">
        <is>
          <t>PRD-007</t>
        </is>
      </c>
      <c r="F252" t="inlineStr">
        <is>
          <t>Monitor 27" 4K</t>
        </is>
      </c>
      <c r="G252" t="inlineStr">
        <is>
          <t>Hardware IT</t>
        </is>
      </c>
      <c r="H252" t="n">
        <v>5</v>
      </c>
      <c r="I252" t="n">
        <v>182.51</v>
      </c>
      <c r="J252" t="n">
        <v>912.55</v>
      </c>
      <c r="K252" s="13" t="n">
        <v>0.19</v>
      </c>
      <c r="L252" t="n">
        <v>173.38</v>
      </c>
      <c r="M252" t="n">
        <v>1085.93</v>
      </c>
      <c r="N252" t="inlineStr">
        <is>
          <t>RON</t>
        </is>
      </c>
      <c r="O252" t="inlineStr">
        <is>
          <t>Timișoara</t>
        </is>
      </c>
      <c r="P252" s="12" t="n">
        <v>46142</v>
      </c>
      <c r="Q252">
        <f>IF(COUNTIF(tbl_Localitati[oras_oficial],[@oras])=0,"ORAS NEALINIAT",IF(XLOOKUP([@oras],tbl_Localitati[oras_oficial],tbl_Localitati[judet],"?")&lt;&gt;[@judet],"JUDET NECORESPUNZATOR",""))</f>
        <v/>
      </c>
      <c r="R252">
        <f>IF(XLOOKUP([@categorie],tbl_RegulriTVA[categorie],tbl_RegulriTVA[cota_legala],-1)&lt;&gt;[@cota_tva],"TVA GRESIT","")</f>
        <v/>
      </c>
      <c r="S252">
        <f>IF([@data_scadentei]&lt;[@data_factura],"SCADENTA INAINTEA FACTURII","")</f>
        <v/>
      </c>
      <c r="T252">
        <f>IF(NETWORKDAYS.INTL([@data_factura],[@data_factura],1,tbl_SarbatoriLegale[data])=0,"ZI NELUCRATOARE","")</f>
        <v/>
      </c>
      <c r="U252">
        <f>IF([@motiv_anomalie]="","OK","DE INVESTIGAT")</f>
        <v/>
      </c>
      <c r="V252">
        <f>TEXTJOIN("; ",TRUE,[@flag_oras],[@flag_tva],[@flag_scadenta],[@flag_zi])</f>
        <v/>
      </c>
    </row>
    <row r="253">
      <c r="A253" t="inlineStr">
        <is>
          <t>F-2025-00252</t>
        </is>
      </c>
      <c r="B253" s="12" t="n">
        <v>46343</v>
      </c>
      <c r="C253" t="inlineStr">
        <is>
          <t>SC METALPLAST INVEST SA</t>
        </is>
      </c>
      <c r="D253" t="inlineStr">
        <is>
          <t>Cluj</t>
        </is>
      </c>
      <c r="E253" t="inlineStr">
        <is>
          <t>PRD-010</t>
        </is>
      </c>
      <c r="F253" t="inlineStr">
        <is>
          <t>Trusa prim ajutor</t>
        </is>
      </c>
      <c r="G253" t="inlineStr">
        <is>
          <t>Produse farmaceutice</t>
        </is>
      </c>
      <c r="H253" t="n">
        <v>5</v>
      </c>
      <c r="I253" t="n">
        <v>364.37</v>
      </c>
      <c r="J253" t="n">
        <v>1821.85</v>
      </c>
      <c r="K253" s="13" t="n">
        <v>0.09</v>
      </c>
      <c r="L253" t="n">
        <v>163.97</v>
      </c>
      <c r="M253" t="n">
        <v>1985.82</v>
      </c>
      <c r="N253" t="inlineStr">
        <is>
          <t>RON</t>
        </is>
      </c>
      <c r="O253" t="inlineStr">
        <is>
          <t>Turda</t>
        </is>
      </c>
      <c r="P253" s="12" t="n">
        <v>46373</v>
      </c>
      <c r="Q253">
        <f>IF(COUNTIF(tbl_Localitati[oras_oficial],[@oras])=0,"ORAS NEALINIAT",IF(XLOOKUP([@oras],tbl_Localitati[oras_oficial],tbl_Localitati[judet],"?")&lt;&gt;[@judet],"JUDET NECORESPUNZATOR",""))</f>
        <v/>
      </c>
      <c r="R253">
        <f>IF(XLOOKUP([@categorie],tbl_RegulriTVA[categorie],tbl_RegulriTVA[cota_legala],-1)&lt;&gt;[@cota_tva],"TVA GRESIT","")</f>
        <v/>
      </c>
      <c r="S253">
        <f>IF([@data_scadentei]&lt;[@data_factura],"SCADENTA INAINTEA FACTURII","")</f>
        <v/>
      </c>
      <c r="T253">
        <f>IF(NETWORKDAYS.INTL([@data_factura],[@data_factura],1,tbl_SarbatoriLegale[data])=0,"ZI NELUCRATOARE","")</f>
        <v/>
      </c>
      <c r="U253">
        <f>IF([@motiv_anomalie]="","OK","DE INVESTIGAT")</f>
        <v/>
      </c>
      <c r="V253">
        <f>TEXTJOIN("; ",TRUE,[@flag_oras],[@flag_tva],[@flag_scadenta],[@flag_zi])</f>
        <v/>
      </c>
    </row>
    <row r="254">
      <c r="A254" t="inlineStr">
        <is>
          <t>F-2025-00253</t>
        </is>
      </c>
      <c r="B254" s="12" t="n">
        <v>46112</v>
      </c>
      <c r="C254" t="inlineStr">
        <is>
          <t>SC RAPID LOGISTIC SA</t>
        </is>
      </c>
      <c r="D254" t="inlineStr">
        <is>
          <t>Prahova</t>
        </is>
      </c>
      <c r="E254" t="inlineStr">
        <is>
          <t>PRD-013</t>
        </is>
      </c>
      <c r="F254" t="inlineStr">
        <is>
          <t>Dezinfectant maini 5L</t>
        </is>
      </c>
      <c r="G254" t="inlineStr">
        <is>
          <t>Produse farmaceutice</t>
        </is>
      </c>
      <c r="H254" t="n">
        <v>4</v>
      </c>
      <c r="I254" t="n">
        <v>1256.11</v>
      </c>
      <c r="J254" t="n">
        <v>5024.44</v>
      </c>
      <c r="K254" s="13" t="n">
        <v>0.09</v>
      </c>
      <c r="L254" t="n">
        <v>452.2</v>
      </c>
      <c r="M254" t="n">
        <v>5476.64</v>
      </c>
      <c r="N254" t="inlineStr">
        <is>
          <t>RON</t>
        </is>
      </c>
      <c r="O254" t="inlineStr">
        <is>
          <t>Ploiești</t>
        </is>
      </c>
      <c r="P254" s="12" t="n">
        <v>46142</v>
      </c>
      <c r="Q254">
        <f>IF(COUNTIF(tbl_Localitati[oras_oficial],[@oras])=0,"ORAS NEALINIAT",IF(XLOOKUP([@oras],tbl_Localitati[oras_oficial],tbl_Localitati[judet],"?")&lt;&gt;[@judet],"JUDET NECORESPUNZATOR",""))</f>
        <v/>
      </c>
      <c r="R254">
        <f>IF(XLOOKUP([@categorie],tbl_RegulriTVA[categorie],tbl_RegulriTVA[cota_legala],-1)&lt;&gt;[@cota_tva],"TVA GRESIT","")</f>
        <v/>
      </c>
      <c r="S254">
        <f>IF([@data_scadentei]&lt;[@data_factura],"SCADENTA INAINTEA FACTURII","")</f>
        <v/>
      </c>
      <c r="T254">
        <f>IF(NETWORKDAYS.INTL([@data_factura],[@data_factura],1,tbl_SarbatoriLegale[data])=0,"ZI NELUCRATOARE","")</f>
        <v/>
      </c>
      <c r="U254">
        <f>IF([@motiv_anomalie]="","OK","DE INVESTIGAT")</f>
        <v/>
      </c>
      <c r="V254">
        <f>TEXTJOIN("; ",TRUE,[@flag_oras],[@flag_tva],[@flag_scadenta],[@flag_zi])</f>
        <v/>
      </c>
    </row>
    <row r="255">
      <c r="A255" t="inlineStr">
        <is>
          <t>F-2025-00254</t>
        </is>
      </c>
      <c r="B255" s="12" t="n">
        <v>46070</v>
      </c>
      <c r="C255" t="inlineStr">
        <is>
          <t>SC AROMET TRADING SRL</t>
        </is>
      </c>
      <c r="D255" t="inlineStr">
        <is>
          <t>Alba</t>
        </is>
      </c>
      <c r="E255" t="inlineStr">
        <is>
          <t>PRD-004</t>
        </is>
      </c>
      <c r="F255" t="inlineStr">
        <is>
          <t>Tocator documente</t>
        </is>
      </c>
      <c r="G255" t="inlineStr">
        <is>
          <t>Echipamente birou</t>
        </is>
      </c>
      <c r="H255" t="n">
        <v>2</v>
      </c>
      <c r="I255" t="n">
        <v>883.14</v>
      </c>
      <c r="J255" t="n">
        <v>1766.28</v>
      </c>
      <c r="K255" s="13" t="n">
        <v>0.19</v>
      </c>
      <c r="L255" t="n">
        <v>335.59</v>
      </c>
      <c r="M255" t="n">
        <v>2101.87</v>
      </c>
      <c r="N255" t="inlineStr">
        <is>
          <t>RON</t>
        </is>
      </c>
      <c r="O255" t="inlineStr">
        <is>
          <t>Alba Iulia</t>
        </is>
      </c>
      <c r="P255" s="12" t="n">
        <v>46115</v>
      </c>
      <c r="Q255">
        <f>IF(COUNTIF(tbl_Localitati[oras_oficial],[@oras])=0,"ORAS NEALINIAT",IF(XLOOKUP([@oras],tbl_Localitati[oras_oficial],tbl_Localitati[judet],"?")&lt;&gt;[@judet],"JUDET NECORESPUNZATOR",""))</f>
        <v/>
      </c>
      <c r="R255">
        <f>IF(XLOOKUP([@categorie],tbl_RegulriTVA[categorie],tbl_RegulriTVA[cota_legala],-1)&lt;&gt;[@cota_tva],"TVA GRESIT","")</f>
        <v/>
      </c>
      <c r="S255">
        <f>IF([@data_scadentei]&lt;[@data_factura],"SCADENTA INAINTEA FACTURII","")</f>
        <v/>
      </c>
      <c r="T255">
        <f>IF(NETWORKDAYS.INTL([@data_factura],[@data_factura],1,tbl_SarbatoriLegale[data])=0,"ZI NELUCRATOARE","")</f>
        <v/>
      </c>
      <c r="U255">
        <f>IF([@motiv_anomalie]="","OK","DE INVESTIGAT")</f>
        <v/>
      </c>
      <c r="V255">
        <f>TEXTJOIN("; ",TRUE,[@flag_oras],[@flag_tva],[@flag_scadenta],[@flag_zi])</f>
        <v/>
      </c>
    </row>
    <row r="256">
      <c r="A256" t="inlineStr">
        <is>
          <t>F-2025-00255</t>
        </is>
      </c>
      <c r="B256" s="12" t="n">
        <v>46083</v>
      </c>
      <c r="C256" t="inlineStr">
        <is>
          <t>SC AROMET TRADING SRL</t>
        </is>
      </c>
      <c r="D256" t="inlineStr">
        <is>
          <t>Alba</t>
        </is>
      </c>
      <c r="E256" t="inlineStr">
        <is>
          <t>PRD-010</t>
        </is>
      </c>
      <c r="F256" t="inlineStr">
        <is>
          <t>Apa plata bax</t>
        </is>
      </c>
      <c r="G256" t="inlineStr">
        <is>
          <t>Alimente</t>
        </is>
      </c>
      <c r="H256" t="n">
        <v>50</v>
      </c>
      <c r="I256" t="n">
        <v>342.48</v>
      </c>
      <c r="J256" t="n">
        <v>17124</v>
      </c>
      <c r="K256" s="13" t="n">
        <v>0.09</v>
      </c>
      <c r="L256" t="n">
        <v>1541.16</v>
      </c>
      <c r="M256" t="n">
        <v>18665.16</v>
      </c>
      <c r="N256" t="inlineStr">
        <is>
          <t>RON</t>
        </is>
      </c>
      <c r="O256" t="inlineStr">
        <is>
          <t>Alba Iulia</t>
        </is>
      </c>
      <c r="P256" s="12" t="n">
        <v>46113</v>
      </c>
      <c r="Q256">
        <f>IF(COUNTIF(tbl_Localitati[oras_oficial],[@oras])=0,"ORAS NEALINIAT",IF(XLOOKUP([@oras],tbl_Localitati[oras_oficial],tbl_Localitati[judet],"?")&lt;&gt;[@judet],"JUDET NECORESPUNZATOR",""))</f>
        <v/>
      </c>
      <c r="R256">
        <f>IF(XLOOKUP([@categorie],tbl_RegulriTVA[categorie],tbl_RegulriTVA[cota_legala],-1)&lt;&gt;[@cota_tva],"TVA GRESIT","")</f>
        <v/>
      </c>
      <c r="S256">
        <f>IF([@data_scadentei]&lt;[@data_factura],"SCADENTA INAINTEA FACTURII","")</f>
        <v/>
      </c>
      <c r="T256">
        <f>IF(NETWORKDAYS.INTL([@data_factura],[@data_factura],1,tbl_SarbatoriLegale[data])=0,"ZI NELUCRATOARE","")</f>
        <v/>
      </c>
      <c r="U256">
        <f>IF([@motiv_anomalie]="","OK","DE INVESTIGAT")</f>
        <v/>
      </c>
      <c r="V256">
        <f>TEXTJOIN("; ",TRUE,[@flag_oras],[@flag_tva],[@flag_scadenta],[@flag_zi])</f>
        <v/>
      </c>
    </row>
    <row r="257">
      <c r="A257" t="inlineStr">
        <is>
          <t>F-2025-00256</t>
        </is>
      </c>
      <c r="B257" s="12" t="n">
        <v>46050</v>
      </c>
      <c r="C257" t="inlineStr">
        <is>
          <t>SC AROMET TRADING SRL</t>
        </is>
      </c>
      <c r="D257" t="inlineStr">
        <is>
          <t>Alba</t>
        </is>
      </c>
      <c r="E257" t="inlineStr">
        <is>
          <t>PRD-001</t>
        </is>
      </c>
      <c r="F257" t="inlineStr">
        <is>
          <t>Monitor 27" 4K</t>
        </is>
      </c>
      <c r="G257" t="inlineStr">
        <is>
          <t>Hardware IT</t>
        </is>
      </c>
      <c r="H257" t="n">
        <v>2</v>
      </c>
      <c r="I257" t="n">
        <v>2336.59</v>
      </c>
      <c r="J257" t="n">
        <v>4673.18</v>
      </c>
      <c r="K257" s="13" t="n">
        <v>0.19</v>
      </c>
      <c r="L257" t="n">
        <v>887.9</v>
      </c>
      <c r="M257" t="n">
        <v>5561.08</v>
      </c>
      <c r="N257" t="inlineStr">
        <is>
          <t>RON</t>
        </is>
      </c>
      <c r="O257" t="inlineStr">
        <is>
          <t>Alba Iulia</t>
        </is>
      </c>
      <c r="P257" s="12" t="n">
        <v>46080</v>
      </c>
      <c r="Q257">
        <f>IF(COUNTIF(tbl_Localitati[oras_oficial],[@oras])=0,"ORAS NEALINIAT",IF(XLOOKUP([@oras],tbl_Localitati[oras_oficial],tbl_Localitati[judet],"?")&lt;&gt;[@judet],"JUDET NECORESPUNZATOR",""))</f>
        <v/>
      </c>
      <c r="R257">
        <f>IF(XLOOKUP([@categorie],tbl_RegulriTVA[categorie],tbl_RegulriTVA[cota_legala],-1)&lt;&gt;[@cota_tva],"TVA GRESIT","")</f>
        <v/>
      </c>
      <c r="S257">
        <f>IF([@data_scadentei]&lt;[@data_factura],"SCADENTA INAINTEA FACTURII","")</f>
        <v/>
      </c>
      <c r="T257">
        <f>IF(NETWORKDAYS.INTL([@data_factura],[@data_factura],1,tbl_SarbatoriLegale[data])=0,"ZI NELUCRATOARE","")</f>
        <v/>
      </c>
      <c r="U257">
        <f>IF([@motiv_anomalie]="","OK","DE INVESTIGAT")</f>
        <v/>
      </c>
      <c r="V257">
        <f>TEXTJOIN("; ",TRUE,[@flag_oras],[@flag_tva],[@flag_scadenta],[@flag_zi])</f>
        <v/>
      </c>
    </row>
    <row r="258">
      <c r="A258" t="inlineStr">
        <is>
          <t>F-2025-00257</t>
        </is>
      </c>
      <c r="B258" s="12" t="n">
        <v>46302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Suport tehnic anual</t>
        </is>
      </c>
      <c r="G258" t="inlineStr">
        <is>
          <t>Servicii consultanță</t>
        </is>
      </c>
      <c r="H258" t="n">
        <v>1</v>
      </c>
      <c r="I258" t="n">
        <v>459.25</v>
      </c>
      <c r="J258" t="n">
        <v>459.25</v>
      </c>
      <c r="K258" s="13" t="n">
        <v>0.19</v>
      </c>
      <c r="L258" t="n">
        <v>87.26000000000001</v>
      </c>
      <c r="M258" t="n">
        <v>546.51</v>
      </c>
      <c r="N258" t="inlineStr">
        <is>
          <t>RON</t>
        </is>
      </c>
      <c r="O258" t="inlineStr">
        <is>
          <t>Sibiu</t>
        </is>
      </c>
      <c r="P258" s="12" t="n">
        <v>46347</v>
      </c>
      <c r="Q258">
        <f>IF(COUNTIF(tbl_Localitati[oras_oficial],[@oras])=0,"ORAS NEALINIAT",IF(XLOOKUP([@oras],tbl_Localitati[oras_oficial],tbl_Localitati[judet],"?")&lt;&gt;[@judet],"JUDET NECORESPUNZATOR",""))</f>
        <v/>
      </c>
      <c r="R258">
        <f>IF(XLOOKUP([@categorie],tbl_RegulriTVA[categorie],tbl_RegulriTVA[cota_legala],-1)&lt;&gt;[@cota_tva],"TVA GRESIT","")</f>
        <v/>
      </c>
      <c r="S258">
        <f>IF([@data_scadentei]&lt;[@data_factura],"SCADENTA INAINTEA FACTURII","")</f>
        <v/>
      </c>
      <c r="T258">
        <f>IF(NETWORKDAYS.INTL([@data_factura],[@data_factura],1,tbl_SarbatoriLegale[data])=0,"ZI NELUCRATOARE","")</f>
        <v/>
      </c>
      <c r="U258">
        <f>IF([@motiv_anomalie]="","OK","DE INVESTIGAT")</f>
        <v/>
      </c>
      <c r="V258">
        <f>TEXTJOIN("; ",TRUE,[@flag_oras],[@flag_tva],[@flag_scadenta],[@flag_zi])</f>
        <v/>
      </c>
    </row>
    <row r="259">
      <c r="A259" t="inlineStr">
        <is>
          <t>F-2025-00258</t>
        </is>
      </c>
      <c r="B259" s="12" t="n">
        <v>46072</v>
      </c>
      <c r="C259" t="inlineStr">
        <is>
          <t>SC METALPLAST INVEST SA</t>
        </is>
      </c>
      <c r="D259" t="inlineStr">
        <is>
          <t>Cluj</t>
        </is>
      </c>
      <c r="E259" t="inlineStr">
        <is>
          <t>PRD-004</t>
        </is>
      </c>
      <c r="F259" t="inlineStr">
        <is>
          <t>Videoproiector sala</t>
        </is>
      </c>
      <c r="G259" t="inlineStr">
        <is>
          <t>Echipamente birou</t>
        </is>
      </c>
      <c r="H259" t="n">
        <v>1</v>
      </c>
      <c r="I259" t="n">
        <v>886.8200000000001</v>
      </c>
      <c r="J259" t="n">
        <v>886.8200000000001</v>
      </c>
      <c r="K259" s="13" t="n">
        <v>0.19</v>
      </c>
      <c r="L259" t="n">
        <v>168.5</v>
      </c>
      <c r="M259" t="n">
        <v>1055.32</v>
      </c>
      <c r="N259" t="inlineStr">
        <is>
          <t>RON</t>
        </is>
      </c>
      <c r="O259" t="inlineStr">
        <is>
          <t>Turda</t>
        </is>
      </c>
      <c r="P259" s="12" t="n">
        <v>46102</v>
      </c>
      <c r="Q259">
        <f>IF(COUNTIF(tbl_Localitati[oras_oficial],[@oras])=0,"ORAS NEALINIAT",IF(XLOOKUP([@oras],tbl_Localitati[oras_oficial],tbl_Localitati[judet],"?")&lt;&gt;[@judet],"JUDET NECORESPUNZATOR",""))</f>
        <v/>
      </c>
      <c r="R259">
        <f>IF(XLOOKUP([@categorie],tbl_RegulriTVA[categorie],tbl_RegulriTVA[cota_legala],-1)&lt;&gt;[@cota_tva],"TVA GRESIT","")</f>
        <v/>
      </c>
      <c r="S259">
        <f>IF([@data_scadentei]&lt;[@data_factura],"SCADENTA INAINTEA FACTURII","")</f>
        <v/>
      </c>
      <c r="T259">
        <f>IF(NETWORKDAYS.INTL([@data_factura],[@data_factura],1,tbl_SarbatoriLegale[data])=0,"ZI NELUCRATOARE","")</f>
        <v/>
      </c>
      <c r="U259">
        <f>IF([@motiv_anomalie]="","OK","DE INVESTIGAT")</f>
        <v/>
      </c>
      <c r="V259">
        <f>TEXTJOIN("; ",TRUE,[@flag_oras],[@flag_tva],[@flag_scadenta],[@flag_zi])</f>
        <v/>
      </c>
    </row>
    <row r="260">
      <c r="A260" t="inlineStr">
        <is>
          <t>F-2025-00259</t>
        </is>
      </c>
      <c r="B260" s="12" t="n">
        <v>46178</v>
      </c>
      <c r="C260" t="inlineStr">
        <is>
          <t>SC METALPLAST INVEST SA</t>
        </is>
      </c>
      <c r="D260" t="inlineStr">
        <is>
          <t>Cluj</t>
        </is>
      </c>
      <c r="E260" t="inlineStr">
        <is>
          <t>PRD-007</t>
        </is>
      </c>
      <c r="F260" t="inlineStr">
        <is>
          <t>Termometru digital</t>
        </is>
      </c>
      <c r="G260" t="inlineStr">
        <is>
          <t>Produse farmaceutice</t>
        </is>
      </c>
      <c r="H260" t="n">
        <v>10</v>
      </c>
      <c r="I260" t="n">
        <v>188.08</v>
      </c>
      <c r="J260" t="n">
        <v>1880.8</v>
      </c>
      <c r="K260" s="13" t="n">
        <v>0.09</v>
      </c>
      <c r="L260" t="n">
        <v>169.27</v>
      </c>
      <c r="M260" t="n">
        <v>2050.07</v>
      </c>
      <c r="N260" t="inlineStr">
        <is>
          <t>RON</t>
        </is>
      </c>
      <c r="O260" t="inlineStr">
        <is>
          <t>Turda</t>
        </is>
      </c>
      <c r="P260" s="12" t="n">
        <v>46208</v>
      </c>
      <c r="Q260">
        <f>IF(COUNTIF(tbl_Localitati[oras_oficial],[@oras])=0,"ORAS NEALINIAT",IF(XLOOKUP([@oras],tbl_Localitati[oras_oficial],tbl_Localitati[judet],"?")&lt;&gt;[@judet],"JUDET NECORESPUNZATOR",""))</f>
        <v/>
      </c>
      <c r="R260">
        <f>IF(XLOOKUP([@categorie],tbl_RegulriTVA[categorie],tbl_RegulriTVA[cota_legala],-1)&lt;&gt;[@cota_tva],"TVA GRESIT","")</f>
        <v/>
      </c>
      <c r="S260">
        <f>IF([@data_scadentei]&lt;[@data_factura],"SCADENTA INAINTEA FACTURII","")</f>
        <v/>
      </c>
      <c r="T260">
        <f>IF(NETWORKDAYS.INTL([@data_factura],[@data_factura],1,tbl_SarbatoriLegale[data])=0,"ZI NELUCRATOARE","")</f>
        <v/>
      </c>
      <c r="U260">
        <f>IF([@motiv_anomalie]="","OK","DE INVESTIGAT")</f>
        <v/>
      </c>
      <c r="V260">
        <f>TEXTJOIN("; ",TRUE,[@flag_oras],[@flag_tva],[@flag_scadenta],[@flag_zi])</f>
        <v/>
      </c>
    </row>
    <row r="261">
      <c r="A261" t="inlineStr">
        <is>
          <t>F-2025-00260</t>
        </is>
      </c>
      <c r="B261" s="12" t="n">
        <v>46057</v>
      </c>
      <c r="C261" t="inlineStr">
        <is>
          <t>SC METALPLAST INVEST SA</t>
        </is>
      </c>
      <c r="D261" t="inlineStr">
        <is>
          <t>Cluj</t>
        </is>
      </c>
      <c r="E261" t="inlineStr">
        <is>
          <t>PRD-004</t>
        </is>
      </c>
      <c r="F261" t="inlineStr">
        <is>
          <t>Multifunctionala laser</t>
        </is>
      </c>
      <c r="G261" t="inlineStr">
        <is>
          <t>Echipamente birou</t>
        </is>
      </c>
      <c r="H261" t="n">
        <v>1</v>
      </c>
      <c r="I261" t="n">
        <v>872.67</v>
      </c>
      <c r="J261" t="n">
        <v>872.67</v>
      </c>
      <c r="K261" s="13" t="n">
        <v>0.19</v>
      </c>
      <c r="L261" t="n">
        <v>165.81</v>
      </c>
      <c r="M261" t="n">
        <v>1038.48</v>
      </c>
      <c r="N261" t="inlineStr">
        <is>
          <t>RON</t>
        </is>
      </c>
      <c r="O261" t="inlineStr">
        <is>
          <t>Turda</t>
        </is>
      </c>
      <c r="P261" s="12" t="n">
        <v>46102</v>
      </c>
      <c r="Q261">
        <f>IF(COUNTIF(tbl_Localitati[oras_oficial],[@oras])=0,"ORAS NEALINIAT",IF(XLOOKUP([@oras],tbl_Localitati[oras_oficial],tbl_Localitati[judet],"?")&lt;&gt;[@judet],"JUDET NECORESPUNZATOR",""))</f>
        <v/>
      </c>
      <c r="R261">
        <f>IF(XLOOKUP([@categorie],tbl_RegulriTVA[categorie],tbl_RegulriTVA[cota_legala],-1)&lt;&gt;[@cota_tva],"TVA GRESIT","")</f>
        <v/>
      </c>
      <c r="S261">
        <f>IF([@data_scadentei]&lt;[@data_factura],"SCADENTA INAINTEA FACTURII","")</f>
        <v/>
      </c>
      <c r="T261">
        <f>IF(NETWORKDAYS.INTL([@data_factura],[@data_factura],1,tbl_SarbatoriLegale[data])=0,"ZI NELUCRATOARE","")</f>
        <v/>
      </c>
      <c r="U261">
        <f>IF([@motiv_anomalie]="","OK","DE INVESTIGAT")</f>
        <v/>
      </c>
      <c r="V261">
        <f>TEXTJOIN("; ",TRUE,[@flag_oras],[@flag_tva],[@flag_scadenta],[@flag_zi])</f>
        <v/>
      </c>
    </row>
    <row r="262">
      <c r="A262" t="inlineStr">
        <is>
          <t>F-2025-00261</t>
        </is>
      </c>
      <c r="B262" s="12" t="n">
        <v>46297</v>
      </c>
      <c r="C262" t="inlineStr">
        <is>
          <t>SC DACTECH SOLUTIONS SRL</t>
        </is>
      </c>
      <c r="D262" t="inlineStr">
        <is>
          <t>Argeș</t>
        </is>
      </c>
      <c r="E262" t="inlineStr">
        <is>
          <t>PRD-007</t>
        </is>
      </c>
      <c r="F262" t="inlineStr">
        <is>
          <t>Videoproiector sala</t>
        </is>
      </c>
      <c r="G262" t="inlineStr">
        <is>
          <t>Echipamente birou</t>
        </is>
      </c>
      <c r="H262" t="n">
        <v>25</v>
      </c>
      <c r="I262" t="n">
        <v>177.03</v>
      </c>
      <c r="J262" t="n">
        <v>4425.75</v>
      </c>
      <c r="K262" s="13" t="n">
        <v>0.19</v>
      </c>
      <c r="L262" t="n">
        <v>840.89</v>
      </c>
      <c r="M262" t="n">
        <v>5266.64</v>
      </c>
      <c r="N262" t="inlineStr">
        <is>
          <t>RON</t>
        </is>
      </c>
      <c r="O262" t="inlineStr">
        <is>
          <t>Pitești</t>
        </is>
      </c>
      <c r="P262" s="12" t="n">
        <v>46327</v>
      </c>
      <c r="Q262">
        <f>IF(COUNTIF(tbl_Localitati[oras_oficial],[@oras])=0,"ORAS NEALINIAT",IF(XLOOKUP([@oras],tbl_Localitati[oras_oficial],tbl_Localitati[judet],"?")&lt;&gt;[@judet],"JUDET NECORESPUNZATOR",""))</f>
        <v/>
      </c>
      <c r="R262">
        <f>IF(XLOOKUP([@categorie],tbl_RegulriTVA[categorie],tbl_RegulriTVA[cota_legala],-1)&lt;&gt;[@cota_tva],"TVA GRESIT","")</f>
        <v/>
      </c>
      <c r="S262">
        <f>IF([@data_scadentei]&lt;[@data_factura],"SCADENTA INAINTEA FACTURII","")</f>
        <v/>
      </c>
      <c r="T262">
        <f>IF(NETWORKDAYS.INTL([@data_factura],[@data_factura],1,tbl_SarbatoriLegale[data])=0,"ZI NELUCRATOARE","")</f>
        <v/>
      </c>
      <c r="U262">
        <f>IF([@motiv_anomalie]="","OK","DE INVESTIGAT")</f>
        <v/>
      </c>
      <c r="V262">
        <f>TEXTJOIN("; ",TRUE,[@flag_oras],[@flag_tva],[@flag_scadenta],[@flag_zi])</f>
        <v/>
      </c>
    </row>
    <row r="263">
      <c r="A263" t="inlineStr">
        <is>
          <t>F-2025-00262</t>
        </is>
      </c>
      <c r="B263" s="12" t="n">
        <v>46062</v>
      </c>
      <c r="C263" t="inlineStr">
        <is>
          <t>SC DACTECH SOLUTIONS SRL</t>
        </is>
      </c>
      <c r="D263" t="inlineStr">
        <is>
          <t>Argeș</t>
        </is>
      </c>
      <c r="E263" t="inlineStr">
        <is>
          <t>PRD-011</t>
        </is>
      </c>
      <c r="F263" t="inlineStr">
        <is>
          <t>Switch gigabit 24p</t>
        </is>
      </c>
      <c r="G263" t="inlineStr">
        <is>
          <t>Hardware IT</t>
        </is>
      </c>
      <c r="H263" t="n">
        <v>20</v>
      </c>
      <c r="I263" t="n">
        <v>44.63</v>
      </c>
      <c r="J263" t="n">
        <v>892.6</v>
      </c>
      <c r="K263" s="13" t="n">
        <v>0.19</v>
      </c>
      <c r="L263" t="n">
        <v>169.59</v>
      </c>
      <c r="M263" t="n">
        <v>1062.19</v>
      </c>
      <c r="N263" t="inlineStr">
        <is>
          <t>RON</t>
        </is>
      </c>
      <c r="O263" t="inlineStr">
        <is>
          <t>Pitești</t>
        </is>
      </c>
      <c r="P263" s="12" t="n">
        <v>46092</v>
      </c>
      <c r="Q263">
        <f>IF(COUNTIF(tbl_Localitati[oras_oficial],[@oras])=0,"ORAS NEALINIAT",IF(XLOOKUP([@oras],tbl_Localitati[oras_oficial],tbl_Localitati[judet],"?")&lt;&gt;[@judet],"JUDET NECORESPUNZATOR",""))</f>
        <v/>
      </c>
      <c r="R263">
        <f>IF(XLOOKUP([@categorie],tbl_RegulriTVA[categorie],tbl_RegulriTVA[cota_legala],-1)&lt;&gt;[@cota_tva],"TVA GRESIT","")</f>
        <v/>
      </c>
      <c r="S263">
        <f>IF([@data_scadentei]&lt;[@data_factura],"SCADENTA INAINTEA FACTURII","")</f>
        <v/>
      </c>
      <c r="T263">
        <f>IF(NETWORKDAYS.INTL([@data_factura],[@data_factura],1,tbl_SarbatoriLegale[data])=0,"ZI NELUCRATOARE","")</f>
        <v/>
      </c>
      <c r="U263">
        <f>IF([@motiv_anomalie]="","OK","DE INVESTIGAT")</f>
        <v/>
      </c>
      <c r="V263">
        <f>TEXTJOIN("; ",TRUE,[@flag_oras],[@flag_tva],[@flag_scadenta],[@flag_zi])</f>
        <v/>
      </c>
    </row>
    <row r="264">
      <c r="A264" t="inlineStr">
        <is>
          <t>F-2025-00263</t>
        </is>
      </c>
      <c r="B264" s="12" t="n">
        <v>46378</v>
      </c>
      <c r="C264" t="inlineStr">
        <is>
          <t>SC OMEGA SOFT SRL</t>
        </is>
      </c>
      <c r="D264" t="inlineStr">
        <is>
          <t>Dolj</t>
        </is>
      </c>
      <c r="E264" t="inlineStr">
        <is>
          <t>PRD-009</t>
        </is>
      </c>
      <c r="F264" t="inlineStr">
        <is>
          <t>Suport tehnic anual</t>
        </is>
      </c>
      <c r="G264" t="inlineStr">
        <is>
          <t>Servicii consultanță</t>
        </is>
      </c>
      <c r="H264" t="n">
        <v>10</v>
      </c>
      <c r="I264" t="n">
        <v>27.24</v>
      </c>
      <c r="J264" t="n">
        <v>272.4</v>
      </c>
      <c r="K264" s="13" t="n">
        <v>0.19</v>
      </c>
      <c r="L264" t="n">
        <v>51.76</v>
      </c>
      <c r="M264" t="n">
        <v>324.16</v>
      </c>
      <c r="N264" t="inlineStr">
        <is>
          <t>RON</t>
        </is>
      </c>
      <c r="O264" t="inlineStr">
        <is>
          <t>Craiova</t>
        </is>
      </c>
      <c r="P264" s="12" t="n">
        <v>46393</v>
      </c>
      <c r="Q264">
        <f>IF(COUNTIF(tbl_Localitati[oras_oficial],[@oras])=0,"ORAS NEALINIAT",IF(XLOOKUP([@oras],tbl_Localitati[oras_oficial],tbl_Localitati[judet],"?")&lt;&gt;[@judet],"JUDET NECORESPUNZATOR",""))</f>
        <v/>
      </c>
      <c r="R264">
        <f>IF(XLOOKUP([@categorie],tbl_RegulriTVA[categorie],tbl_RegulriTVA[cota_legala],-1)&lt;&gt;[@cota_tva],"TVA GRESIT","")</f>
        <v/>
      </c>
      <c r="S264">
        <f>IF([@data_scadentei]&lt;[@data_factura],"SCADENTA INAINTEA FACTURII","")</f>
        <v/>
      </c>
      <c r="T264">
        <f>IF(NETWORKDAYS.INTL([@data_factura],[@data_factura],1,tbl_SarbatoriLegale[data])=0,"ZI NELUCRATOARE","")</f>
        <v/>
      </c>
      <c r="U264">
        <f>IF([@motiv_anomalie]="","OK","DE INVESTIGAT")</f>
        <v/>
      </c>
      <c r="V264">
        <f>TEXTJOIN("; ",TRUE,[@flag_oras],[@flag_tva],[@flag_scadenta],[@flag_zi])</f>
        <v/>
      </c>
    </row>
    <row r="265">
      <c r="A265" t="inlineStr">
        <is>
          <t>F-2025-00264</t>
        </is>
      </c>
      <c r="B265" s="12" t="n">
        <v>46043</v>
      </c>
      <c r="C265" t="inlineStr">
        <is>
          <t>SC ZENITH AUTO SRL</t>
        </is>
      </c>
      <c r="D265" t="inlineStr">
        <is>
          <t>București</t>
        </is>
      </c>
      <c r="E265" t="inlineStr">
        <is>
          <t>PRD-004</t>
        </is>
      </c>
      <c r="F265" t="inlineStr">
        <is>
          <t>Training utilizatori</t>
        </is>
      </c>
      <c r="G265" t="inlineStr">
        <is>
          <t>Servicii consultanță</t>
        </is>
      </c>
      <c r="H265" t="n">
        <v>2</v>
      </c>
      <c r="I265" t="n">
        <v>927.37</v>
      </c>
      <c r="J265" t="n">
        <v>1854.74</v>
      </c>
      <c r="K265" s="13" t="n">
        <v>0.19</v>
      </c>
      <c r="L265" t="n">
        <v>352.4</v>
      </c>
      <c r="M265" t="n">
        <v>2207.14</v>
      </c>
      <c r="N265" t="inlineStr">
        <is>
          <t>RON</t>
        </is>
      </c>
      <c r="O265" t="inlineStr">
        <is>
          <t>București</t>
        </is>
      </c>
      <c r="P265" s="12" t="n">
        <v>46073</v>
      </c>
      <c r="Q265">
        <f>IF(COUNTIF(tbl_Localitati[oras_oficial],[@oras])=0,"ORAS NEALINIAT",IF(XLOOKUP([@oras],tbl_Localitati[oras_oficial],tbl_Localitati[judet],"?")&lt;&gt;[@judet],"JUDET NECORESPUNZATOR",""))</f>
        <v/>
      </c>
      <c r="R265">
        <f>IF(XLOOKUP([@categorie],tbl_RegulriTVA[categorie],tbl_RegulriTVA[cota_legala],-1)&lt;&gt;[@cota_tva],"TVA GRESIT","")</f>
        <v/>
      </c>
      <c r="S265">
        <f>IF([@data_scadentei]&lt;[@data_factura],"SCADENTA INAINTEA FACTURII","")</f>
        <v/>
      </c>
      <c r="T265">
        <f>IF(NETWORKDAYS.INTL([@data_factura],[@data_factura],1,tbl_SarbatoriLegale[data])=0,"ZI NELUCRATOARE","")</f>
        <v/>
      </c>
      <c r="U265">
        <f>IF([@motiv_anomalie]="","OK","DE INVESTIGAT")</f>
        <v/>
      </c>
      <c r="V265">
        <f>TEXTJOIN("; ",TRUE,[@flag_oras],[@flag_tva],[@flag_scadenta],[@flag_zi])</f>
        <v/>
      </c>
    </row>
    <row r="266">
      <c r="A266" t="inlineStr">
        <is>
          <t>F-2025-00265</t>
        </is>
      </c>
      <c r="B266" s="12" t="n">
        <v>46267</v>
      </c>
      <c r="C266" t="inlineStr">
        <is>
          <t>SC NORDIS DISTRIBUTIE SRL</t>
        </is>
      </c>
      <c r="D266" t="inlineStr">
        <is>
          <t>Constanța</t>
        </is>
      </c>
      <c r="E266" t="inlineStr">
        <is>
          <t>PRD-006</t>
        </is>
      </c>
      <c r="F266" t="inlineStr">
        <is>
          <t>Suport tehnic anual</t>
        </is>
      </c>
      <c r="G266" t="inlineStr">
        <is>
          <t>Servicii consultanță</t>
        </is>
      </c>
      <c r="H266" t="n">
        <v>5</v>
      </c>
      <c r="I266" t="n">
        <v>716.83</v>
      </c>
      <c r="J266" t="n">
        <v>3584.15</v>
      </c>
      <c r="K266" s="13" t="n">
        <v>0.19</v>
      </c>
      <c r="L266" t="n">
        <v>680.99</v>
      </c>
      <c r="M266" t="n">
        <v>4265.14</v>
      </c>
      <c r="N266" t="inlineStr">
        <is>
          <t>RON</t>
        </is>
      </c>
      <c r="O266" t="inlineStr">
        <is>
          <t>Mangalia</t>
        </is>
      </c>
      <c r="P266" s="12" t="n">
        <v>46297</v>
      </c>
      <c r="Q266">
        <f>IF(COUNTIF(tbl_Localitati[oras_oficial],[@oras])=0,"ORAS NEALINIAT",IF(XLOOKUP([@oras],tbl_Localitati[oras_oficial],tbl_Localitati[judet],"?")&lt;&gt;[@judet],"JUDET NECORESPUNZATOR",""))</f>
        <v/>
      </c>
      <c r="R266">
        <f>IF(XLOOKUP([@categorie],tbl_RegulriTVA[categorie],tbl_RegulriTVA[cota_legala],-1)&lt;&gt;[@cota_tva],"TVA GRESIT","")</f>
        <v/>
      </c>
      <c r="S266">
        <f>IF([@data_scadentei]&lt;[@data_factura],"SCADENTA INAINTEA FACTURII","")</f>
        <v/>
      </c>
      <c r="T266">
        <f>IF(NETWORKDAYS.INTL([@data_factura],[@data_factura],1,tbl_SarbatoriLegale[data])=0,"ZI NELUCRATOARE","")</f>
        <v/>
      </c>
      <c r="U266">
        <f>IF([@motiv_anomalie]="","OK","DE INVESTIGAT")</f>
        <v/>
      </c>
      <c r="V266">
        <f>TEXTJOIN("; ",TRUE,[@flag_oras],[@flag_tva],[@flag_scadenta],[@flag_zi])</f>
        <v/>
      </c>
    </row>
    <row r="267">
      <c r="A267" t="inlineStr">
        <is>
          <t>F-2025-00266</t>
        </is>
      </c>
      <c r="B267" s="12" t="n">
        <v>46244</v>
      </c>
      <c r="C267" t="inlineStr">
        <is>
          <t>SC SOLARIS ENERGY SRL</t>
        </is>
      </c>
      <c r="D267" t="inlineStr">
        <is>
          <t>Prahova</t>
        </is>
      </c>
      <c r="E267" t="inlineStr">
        <is>
          <t>PRD-005</t>
        </is>
      </c>
      <c r="F267" t="inlineStr">
        <is>
          <t>Server rack 1U</t>
        </is>
      </c>
      <c r="G267" t="inlineStr">
        <is>
          <t>Hardware IT</t>
        </is>
      </c>
      <c r="H267" t="n">
        <v>3</v>
      </c>
      <c r="I267" t="n">
        <v>259.59</v>
      </c>
      <c r="J267" t="n">
        <v>778.77</v>
      </c>
      <c r="K267" s="13" t="n">
        <v>0.19</v>
      </c>
      <c r="L267" t="n">
        <v>147.97</v>
      </c>
      <c r="M267" t="n">
        <v>926.74</v>
      </c>
      <c r="N267" t="inlineStr">
        <is>
          <t>RON</t>
        </is>
      </c>
      <c r="O267" t="inlineStr">
        <is>
          <t>Câmpina</t>
        </is>
      </c>
      <c r="P267" s="12" t="n">
        <v>46274</v>
      </c>
      <c r="Q267">
        <f>IF(COUNTIF(tbl_Localitati[oras_oficial],[@oras])=0,"ORAS NEALINIAT",IF(XLOOKUP([@oras],tbl_Localitati[oras_oficial],tbl_Localitati[judet],"?")&lt;&gt;[@judet],"JUDET NECORESPUNZATOR",""))</f>
        <v/>
      </c>
      <c r="R267">
        <f>IF(XLOOKUP([@categorie],tbl_RegulriTVA[categorie],tbl_RegulriTVA[cota_legala],-1)&lt;&gt;[@cota_tva],"TVA GRESIT","")</f>
        <v/>
      </c>
      <c r="S267">
        <f>IF([@data_scadentei]&lt;[@data_factura],"SCADENTA INAINTEA FACTURII","")</f>
        <v/>
      </c>
      <c r="T267">
        <f>IF(NETWORKDAYS.INTL([@data_factura],[@data_factura],1,tbl_SarbatoriLegale[data])=0,"ZI NELUCRATOARE","")</f>
        <v/>
      </c>
      <c r="U267">
        <f>IF([@motiv_anomalie]="","OK","DE INVESTIGAT")</f>
        <v/>
      </c>
      <c r="V267">
        <f>TEXTJOIN("; ",TRUE,[@flag_oras],[@flag_tva],[@flag_scadenta],[@flag_zi])</f>
        <v/>
      </c>
    </row>
    <row r="268">
      <c r="A268" t="inlineStr">
        <is>
          <t>F-2025-00267</t>
        </is>
      </c>
      <c r="B268" s="12" t="n">
        <v>46203</v>
      </c>
      <c r="C268" t="inlineStr">
        <is>
          <t>SC METALPLAST INVEST SA</t>
        </is>
      </c>
      <c r="D268" t="inlineStr">
        <is>
          <t>Cluj</t>
        </is>
      </c>
      <c r="E268" t="inlineStr">
        <is>
          <t>PRD-011</t>
        </is>
      </c>
      <c r="F268" t="inlineStr">
        <is>
          <t>Server rack 1U</t>
        </is>
      </c>
      <c r="G268" t="inlineStr">
        <is>
          <t>Hardware IT</t>
        </is>
      </c>
      <c r="H268" t="n">
        <v>20</v>
      </c>
      <c r="I268" t="n">
        <v>43.35</v>
      </c>
      <c r="J268" t="n">
        <v>867</v>
      </c>
      <c r="K268" s="13" t="n">
        <v>0.19</v>
      </c>
      <c r="L268" t="n">
        <v>164.73</v>
      </c>
      <c r="M268" t="n">
        <v>1031.73</v>
      </c>
      <c r="N268" t="inlineStr">
        <is>
          <t>RON</t>
        </is>
      </c>
      <c r="O268" t="inlineStr">
        <is>
          <t>Turda</t>
        </is>
      </c>
      <c r="P268" s="12" t="n">
        <v>46233</v>
      </c>
      <c r="Q268">
        <f>IF(COUNTIF(tbl_Localitati[oras_oficial],[@oras])=0,"ORAS NEALINIAT",IF(XLOOKUP([@oras],tbl_Localitati[oras_oficial],tbl_Localitati[judet],"?")&lt;&gt;[@judet],"JUDET NECORESPUNZATOR",""))</f>
        <v/>
      </c>
      <c r="R268">
        <f>IF(XLOOKUP([@categorie],tbl_RegulriTVA[categorie],tbl_RegulriTVA[cota_legala],-1)&lt;&gt;[@cota_tva],"TVA GRESIT","")</f>
        <v/>
      </c>
      <c r="S268">
        <f>IF([@data_scadentei]&lt;[@data_factura],"SCADENTA INAINTEA FACTURII","")</f>
        <v/>
      </c>
      <c r="T268">
        <f>IF(NETWORKDAYS.INTL([@data_factura],[@data_factura],1,tbl_SarbatoriLegale[data])=0,"ZI NELUCRATOARE","")</f>
        <v/>
      </c>
      <c r="U268">
        <f>IF([@motiv_anomalie]="","OK","DE INVESTIGAT")</f>
        <v/>
      </c>
      <c r="V268">
        <f>TEXTJOIN("; ",TRUE,[@flag_oras],[@flag_tva],[@flag_scadenta],[@flag_zi])</f>
        <v/>
      </c>
    </row>
    <row r="269">
      <c r="A269" t="inlineStr">
        <is>
          <t>F-2025-00268</t>
        </is>
      </c>
      <c r="B269" s="12" t="n">
        <v>46148</v>
      </c>
      <c r="C269" t="inlineStr">
        <is>
          <t>SC DACTECH SOLUTIONS SRL</t>
        </is>
      </c>
      <c r="D269" t="inlineStr">
        <is>
          <t>Argeș</t>
        </is>
      </c>
      <c r="E269" t="inlineStr">
        <is>
          <t>PRD-011</t>
        </is>
      </c>
      <c r="F269" t="inlineStr">
        <is>
          <t>Licenta Office 365 anuala</t>
        </is>
      </c>
      <c r="G269" t="inlineStr">
        <is>
          <t>Licențe software</t>
        </is>
      </c>
      <c r="H269" t="n">
        <v>20</v>
      </c>
      <c r="I269" t="n">
        <v>45.3</v>
      </c>
      <c r="J269" t="n">
        <v>906</v>
      </c>
      <c r="K269" s="13" t="n">
        <v>0.19</v>
      </c>
      <c r="L269" t="n">
        <v>172.14</v>
      </c>
      <c r="M269" t="n">
        <v>1078.14</v>
      </c>
      <c r="N269" t="inlineStr">
        <is>
          <t>RON</t>
        </is>
      </c>
      <c r="O269" t="inlineStr">
        <is>
          <t>Pitești</t>
        </is>
      </c>
      <c r="P269" s="12" t="n">
        <v>46208</v>
      </c>
      <c r="Q269">
        <f>IF(COUNTIF(tbl_Localitati[oras_oficial],[@oras])=0,"ORAS NEALINIAT",IF(XLOOKUP([@oras],tbl_Localitati[oras_oficial],tbl_Localitati[judet],"?")&lt;&gt;[@judet],"JUDET NECORESPUNZATOR",""))</f>
        <v/>
      </c>
      <c r="R269">
        <f>IF(XLOOKUP([@categorie],tbl_RegulriTVA[categorie],tbl_RegulriTVA[cota_legala],-1)&lt;&gt;[@cota_tva],"TVA GRESIT","")</f>
        <v/>
      </c>
      <c r="S269">
        <f>IF([@data_scadentei]&lt;[@data_factura],"SCADENTA INAINTEA FACTURII","")</f>
        <v/>
      </c>
      <c r="T269">
        <f>IF(NETWORKDAYS.INTL([@data_factura],[@data_factura],1,tbl_SarbatoriLegale[data])=0,"ZI NELUCRATOARE","")</f>
        <v/>
      </c>
      <c r="U269">
        <f>IF([@motiv_anomalie]="","OK","DE INVESTIGAT")</f>
        <v/>
      </c>
      <c r="V269">
        <f>TEXTJOIN("; ",TRUE,[@flag_oras],[@flag_tva],[@flag_scadenta],[@flag_zi])</f>
        <v/>
      </c>
    </row>
    <row r="270">
      <c r="A270" t="inlineStr">
        <is>
          <t>F-2025-00269</t>
        </is>
      </c>
      <c r="B270" s="12" t="n">
        <v>46150</v>
      </c>
      <c r="C270" t="inlineStr">
        <is>
          <t>SC INTEGROMED SA</t>
        </is>
      </c>
      <c r="D270" t="inlineStr">
        <is>
          <t>Cluj</t>
        </is>
      </c>
      <c r="E270" t="inlineStr">
        <is>
          <t>PRD-001</t>
        </is>
      </c>
      <c r="F270" t="inlineStr">
        <is>
          <t>Server rack 1U</t>
        </is>
      </c>
      <c r="G270" t="inlineStr">
        <is>
          <t>Hardware IT</t>
        </is>
      </c>
      <c r="H270" t="n">
        <v>10</v>
      </c>
      <c r="I270" t="n">
        <v>2394.59</v>
      </c>
      <c r="J270" t="n">
        <v>23945.9</v>
      </c>
      <c r="K270" s="13" t="n">
        <v>0.19</v>
      </c>
      <c r="L270" t="n">
        <v>4549.72</v>
      </c>
      <c r="M270" t="n">
        <v>28495.62</v>
      </c>
      <c r="N270" t="inlineStr">
        <is>
          <t>RON</t>
        </is>
      </c>
      <c r="O270" t="inlineStr">
        <is>
          <t>Cluj-Napoca</t>
        </is>
      </c>
      <c r="P270" s="12" t="n">
        <v>46180</v>
      </c>
      <c r="Q270">
        <f>IF(COUNTIF(tbl_Localitati[oras_oficial],[@oras])=0,"ORAS NEALINIAT",IF(XLOOKUP([@oras],tbl_Localitati[oras_oficial],tbl_Localitati[judet],"?")&lt;&gt;[@judet],"JUDET NECORESPUNZATOR",""))</f>
        <v/>
      </c>
      <c r="R270">
        <f>IF(XLOOKUP([@categorie],tbl_RegulriTVA[categorie],tbl_RegulriTVA[cota_legala],-1)&lt;&gt;[@cota_tva],"TVA GRESIT","")</f>
        <v/>
      </c>
      <c r="S270">
        <f>IF([@data_scadentei]&lt;[@data_factura],"SCADENTA INAINTEA FACTURII","")</f>
        <v/>
      </c>
      <c r="T270">
        <f>IF(NETWORKDAYS.INTL([@data_factura],[@data_factura],1,tbl_SarbatoriLegale[data])=0,"ZI NELUCRATOARE","")</f>
        <v/>
      </c>
      <c r="U270">
        <f>IF([@motiv_anomalie]="","OK","DE INVESTIGAT")</f>
        <v/>
      </c>
      <c r="V270">
        <f>TEXTJOIN("; ",TRUE,[@flag_oras],[@flag_tva],[@flag_scadenta],[@flag_zi])</f>
        <v/>
      </c>
    </row>
    <row r="271">
      <c r="A271" t="inlineStr">
        <is>
          <t>F-2025-00270</t>
        </is>
      </c>
      <c r="B271" s="12" t="n">
        <v>46272</v>
      </c>
      <c r="C271" t="inlineStr">
        <is>
          <t>SC INTEGROMED SA</t>
        </is>
      </c>
      <c r="D271" t="inlineStr">
        <is>
          <t>Cluj</t>
        </is>
      </c>
      <c r="E271" t="inlineStr">
        <is>
          <t>PRD-005</t>
        </is>
      </c>
      <c r="F271" t="inlineStr">
        <is>
          <t>Licenta Office 365 anuala</t>
        </is>
      </c>
      <c r="G271" t="inlineStr">
        <is>
          <t>Licențe software</t>
        </is>
      </c>
      <c r="H271" t="n">
        <v>2</v>
      </c>
      <c r="I271" t="n">
        <v>253.42</v>
      </c>
      <c r="J271" t="n">
        <v>506.84</v>
      </c>
      <c r="K271" s="13" t="n">
        <v>0.19</v>
      </c>
      <c r="L271" t="n">
        <v>96.3</v>
      </c>
      <c r="M271" t="n">
        <v>603.14</v>
      </c>
      <c r="N271" t="inlineStr">
        <is>
          <t>RON</t>
        </is>
      </c>
      <c r="O271" t="inlineStr">
        <is>
          <t>Cluj-Napoca</t>
        </is>
      </c>
      <c r="P271" s="12" t="n">
        <v>46302</v>
      </c>
      <c r="Q271">
        <f>IF(COUNTIF(tbl_Localitati[oras_oficial],[@oras])=0,"ORAS NEALINIAT",IF(XLOOKUP([@oras],tbl_Localitati[oras_oficial],tbl_Localitati[judet],"?")&lt;&gt;[@judet],"JUDET NECORESPUNZATOR",""))</f>
        <v/>
      </c>
      <c r="R271">
        <f>IF(XLOOKUP([@categorie],tbl_RegulriTVA[categorie],tbl_RegulriTVA[cota_legala],-1)&lt;&gt;[@cota_tva],"TVA GRESIT","")</f>
        <v/>
      </c>
      <c r="S271">
        <f>IF([@data_scadentei]&lt;[@data_factura],"SCADENTA INAINTEA FACTURII","")</f>
        <v/>
      </c>
      <c r="T271">
        <f>IF(NETWORKDAYS.INTL([@data_factura],[@data_factura],1,tbl_SarbatoriLegale[data])=0,"ZI NELUCRATOARE","")</f>
        <v/>
      </c>
      <c r="U271">
        <f>IF([@motiv_anomalie]="","OK","DE INVESTIGAT")</f>
        <v/>
      </c>
      <c r="V271">
        <f>TEXTJOIN("; ",TRUE,[@flag_oras],[@flag_tva],[@flag_scadenta],[@flag_zi])</f>
        <v/>
      </c>
    </row>
    <row r="272">
      <c r="A272" t="inlineStr">
        <is>
          <t>F-2025-00271</t>
        </is>
      </c>
      <c r="B272" s="12" t="n">
        <v>46059</v>
      </c>
      <c r="C272" t="inlineStr">
        <is>
          <t>SC DACTECH SOLUTIONS SRL</t>
        </is>
      </c>
      <c r="D272" t="inlineStr">
        <is>
          <t>Argeș</t>
        </is>
      </c>
      <c r="E272" t="inlineStr">
        <is>
          <t>PRD-005</t>
        </is>
      </c>
      <c r="F272" t="inlineStr">
        <is>
          <t>Videoproiector sala</t>
        </is>
      </c>
      <c r="G272" t="inlineStr">
        <is>
          <t>Echipamente birou</t>
        </is>
      </c>
      <c r="H272" t="n">
        <v>3</v>
      </c>
      <c r="I272" t="n">
        <v>241.36</v>
      </c>
      <c r="J272" t="n">
        <v>724.08</v>
      </c>
      <c r="K272" s="13" t="n">
        <v>0.19</v>
      </c>
      <c r="L272" t="n">
        <v>137.58</v>
      </c>
      <c r="M272" t="n">
        <v>861.66</v>
      </c>
      <c r="N272" t="inlineStr">
        <is>
          <t>RON</t>
        </is>
      </c>
      <c r="O272" t="inlineStr">
        <is>
          <t>Pitești</t>
        </is>
      </c>
      <c r="P272" s="12" t="n">
        <v>46089</v>
      </c>
      <c r="Q272">
        <f>IF(COUNTIF(tbl_Localitati[oras_oficial],[@oras])=0,"ORAS NEALINIAT",IF(XLOOKUP([@oras],tbl_Localitati[oras_oficial],tbl_Localitati[judet],"?")&lt;&gt;[@judet],"JUDET NECORESPUNZATOR",""))</f>
        <v/>
      </c>
      <c r="R272">
        <f>IF(XLOOKUP([@categorie],tbl_RegulriTVA[categorie],tbl_RegulriTVA[cota_legala],-1)&lt;&gt;[@cota_tva],"TVA GRESIT","")</f>
        <v/>
      </c>
      <c r="S272">
        <f>IF([@data_scadentei]&lt;[@data_factura],"SCADENTA INAINTEA FACTURII","")</f>
        <v/>
      </c>
      <c r="T272">
        <f>IF(NETWORKDAYS.INTL([@data_factura],[@data_factura],1,tbl_SarbatoriLegale[data])=0,"ZI NELUCRATOARE","")</f>
        <v/>
      </c>
      <c r="U272">
        <f>IF([@motiv_anomalie]="","OK","DE INVESTIGAT")</f>
        <v/>
      </c>
      <c r="V272">
        <f>TEXTJOIN("; ",TRUE,[@flag_oras],[@flag_tva],[@flag_scadenta],[@flag_zi])</f>
        <v/>
      </c>
    </row>
    <row r="273">
      <c r="A273" t="inlineStr">
        <is>
          <t>F-2025-00272</t>
        </is>
      </c>
      <c r="B273" s="12" t="n">
        <v>46070</v>
      </c>
      <c r="C273" t="inlineStr">
        <is>
          <t>SC AROMET TRADING SRL</t>
        </is>
      </c>
      <c r="D273" t="inlineStr">
        <is>
          <t>Alba</t>
        </is>
      </c>
      <c r="E273" t="inlineStr">
        <is>
          <t>PRD-004</t>
        </is>
      </c>
      <c r="F273" t="inlineStr">
        <is>
          <t>Licenta Office 365 anuala</t>
        </is>
      </c>
      <c r="G273" t="inlineStr">
        <is>
          <t>Licențe software</t>
        </is>
      </c>
      <c r="H273" t="n">
        <v>1</v>
      </c>
      <c r="I273" t="n">
        <v>879.28</v>
      </c>
      <c r="J273" t="n">
        <v>879.28</v>
      </c>
      <c r="K273" s="13" t="n">
        <v>0.19</v>
      </c>
      <c r="L273" t="n">
        <v>167.06</v>
      </c>
      <c r="M273" t="n">
        <v>1046.34</v>
      </c>
      <c r="N273" t="inlineStr">
        <is>
          <t>RON</t>
        </is>
      </c>
      <c r="O273" t="inlineStr">
        <is>
          <t>Alba Iulia</t>
        </is>
      </c>
      <c r="P273" s="12" t="n">
        <v>46100</v>
      </c>
      <c r="Q273">
        <f>IF(COUNTIF(tbl_Localitati[oras_oficial],[@oras])=0,"ORAS NEALINIAT",IF(XLOOKUP([@oras],tbl_Localitati[oras_oficial],tbl_Localitati[judet],"?")&lt;&gt;[@judet],"JUDET NECORESPUNZATOR",""))</f>
        <v/>
      </c>
      <c r="R273">
        <f>IF(XLOOKUP([@categorie],tbl_RegulriTVA[categorie],tbl_RegulriTVA[cota_legala],-1)&lt;&gt;[@cota_tva],"TVA GRESIT","")</f>
        <v/>
      </c>
      <c r="S273">
        <f>IF([@data_scadentei]&lt;[@data_factura],"SCADENTA INAINTEA FACTURII","")</f>
        <v/>
      </c>
      <c r="T273">
        <f>IF(NETWORKDAYS.INTL([@data_factura],[@data_factura],1,tbl_SarbatoriLegale[data])=0,"ZI NELUCRATOARE","")</f>
        <v/>
      </c>
      <c r="U273">
        <f>IF([@motiv_anomalie]="","OK","DE INVESTIGAT")</f>
        <v/>
      </c>
      <c r="V273">
        <f>TEXTJOIN("; ",TRUE,[@flag_oras],[@flag_tva],[@flag_scadenta],[@flag_zi])</f>
        <v/>
      </c>
    </row>
    <row r="274">
      <c r="A274" t="inlineStr">
        <is>
          <t>F-2025-00273</t>
        </is>
      </c>
      <c r="B274" s="12" t="n">
        <v>46345</v>
      </c>
      <c r="C274" t="inlineStr">
        <is>
          <t>SC NORDIS DISTRIBUTIE SRL</t>
        </is>
      </c>
      <c r="D274" t="inlineStr">
        <is>
          <t>Constanța</t>
        </is>
      </c>
      <c r="E274" t="inlineStr">
        <is>
          <t>PRD-007</t>
        </is>
      </c>
      <c r="F274" t="inlineStr">
        <is>
          <t>Ceai cutie 100buc</t>
        </is>
      </c>
      <c r="G274" t="inlineStr">
        <is>
          <t>Alimente</t>
        </is>
      </c>
      <c r="H274" t="n">
        <v>10</v>
      </c>
      <c r="I274" t="n">
        <v>180.62</v>
      </c>
      <c r="J274" t="n">
        <v>1806.2</v>
      </c>
      <c r="K274" s="13" t="n">
        <v>0.09</v>
      </c>
      <c r="L274" t="n">
        <v>162.56</v>
      </c>
      <c r="M274" t="n">
        <v>1968.76</v>
      </c>
      <c r="N274" t="inlineStr">
        <is>
          <t>RON</t>
        </is>
      </c>
      <c r="O274" t="inlineStr">
        <is>
          <t>Mangalia</t>
        </is>
      </c>
      <c r="P274" s="12" t="n">
        <v>46390</v>
      </c>
      <c r="Q274">
        <f>IF(COUNTIF(tbl_Localitati[oras_oficial],[@oras])=0,"ORAS NEALINIAT",IF(XLOOKUP([@oras],tbl_Localitati[oras_oficial],tbl_Localitati[judet],"?")&lt;&gt;[@judet],"JUDET NECORESPUNZATOR",""))</f>
        <v/>
      </c>
      <c r="R274">
        <f>IF(XLOOKUP([@categorie],tbl_RegulriTVA[categorie],tbl_RegulriTVA[cota_legala],-1)&lt;&gt;[@cota_tva],"TVA GRESIT","")</f>
        <v/>
      </c>
      <c r="S274">
        <f>IF([@data_scadentei]&lt;[@data_factura],"SCADENTA INAINTEA FACTURII","")</f>
        <v/>
      </c>
      <c r="T274">
        <f>IF(NETWORKDAYS.INTL([@data_factura],[@data_factura],1,tbl_SarbatoriLegale[data])=0,"ZI NELUCRATOARE","")</f>
        <v/>
      </c>
      <c r="U274">
        <f>IF([@motiv_anomalie]="","OK","DE INVESTIGAT")</f>
        <v/>
      </c>
      <c r="V274">
        <f>TEXTJOIN("; ",TRUE,[@flag_oras],[@flag_tva],[@flag_scadenta],[@flag_zi])</f>
        <v/>
      </c>
    </row>
    <row r="275">
      <c r="A275" t="inlineStr">
        <is>
          <t>F-2025-00274</t>
        </is>
      </c>
      <c r="B275" s="12" t="n">
        <v>46048</v>
      </c>
      <c r="C275" t="inlineStr">
        <is>
          <t>SC AROMET TRADING SRL</t>
        </is>
      </c>
      <c r="D275" t="inlineStr">
        <is>
          <t>Alba</t>
        </is>
      </c>
      <c r="E275" t="inlineStr">
        <is>
          <t>PRD-003</t>
        </is>
      </c>
      <c r="F275" t="inlineStr">
        <is>
          <t>Videoproiector sala</t>
        </is>
      </c>
      <c r="G275" t="inlineStr">
        <is>
          <t>Echipamente birou</t>
        </is>
      </c>
      <c r="H275" t="n">
        <v>3</v>
      </c>
      <c r="I275" t="n">
        <v>4059.86</v>
      </c>
      <c r="J275" t="n">
        <v>12179.58</v>
      </c>
      <c r="K275" s="13" t="n">
        <v>0.19</v>
      </c>
      <c r="L275" t="n">
        <v>2314.12</v>
      </c>
      <c r="M275" t="n">
        <v>14493.7</v>
      </c>
      <c r="N275" t="inlineStr">
        <is>
          <t>RON</t>
        </is>
      </c>
      <c r="O275" t="inlineStr">
        <is>
          <t>Alba Iulia</t>
        </is>
      </c>
      <c r="P275" s="12" t="n">
        <v>46078</v>
      </c>
      <c r="Q275">
        <f>IF(COUNTIF(tbl_Localitati[oras_oficial],[@oras])=0,"ORAS NEALINIAT",IF(XLOOKUP([@oras],tbl_Localitati[oras_oficial],tbl_Localitati[judet],"?")&lt;&gt;[@judet],"JUDET NECORESPUNZATOR",""))</f>
        <v/>
      </c>
      <c r="R275">
        <f>IF(XLOOKUP([@categorie],tbl_RegulriTVA[categorie],tbl_RegulriTVA[cota_legala],-1)&lt;&gt;[@cota_tva],"TVA GRESIT","")</f>
        <v/>
      </c>
      <c r="S275">
        <f>IF([@data_scadentei]&lt;[@data_factura],"SCADENTA INAINTEA FACTURII","")</f>
        <v/>
      </c>
      <c r="T275">
        <f>IF(NETWORKDAYS.INTL([@data_factura],[@data_factura],1,tbl_SarbatoriLegale[data])=0,"ZI NELUCRATOARE","")</f>
        <v/>
      </c>
      <c r="U275">
        <f>IF([@motiv_anomalie]="","OK","DE INVESTIGAT")</f>
        <v/>
      </c>
      <c r="V275">
        <f>TEXTJOIN("; ",TRUE,[@flag_oras],[@flag_tva],[@flag_scadenta],[@flag_zi])</f>
        <v/>
      </c>
    </row>
    <row r="276">
      <c r="A276" t="inlineStr">
        <is>
          <t>F-2025-00275</t>
        </is>
      </c>
      <c r="B276" s="12" t="n">
        <v>46304</v>
      </c>
      <c r="C276" t="inlineStr">
        <is>
          <t>SC AROMET TRADING SRL</t>
        </is>
      </c>
      <c r="D276" t="inlineStr">
        <is>
          <t>Alba</t>
        </is>
      </c>
      <c r="E276" t="inlineStr">
        <is>
          <t>PRD-006</t>
        </is>
      </c>
      <c r="F276" t="inlineStr">
        <is>
          <t>Ceai cutie 100buc</t>
        </is>
      </c>
      <c r="G276" t="inlineStr">
        <is>
          <t>Alimente</t>
        </is>
      </c>
      <c r="H276" t="n">
        <v>5</v>
      </c>
      <c r="I276" t="n">
        <v>755.45</v>
      </c>
      <c r="J276" t="n">
        <v>3777.25</v>
      </c>
      <c r="K276" s="13" t="n">
        <v>0.09</v>
      </c>
      <c r="L276" t="n">
        <v>339.95</v>
      </c>
      <c r="M276" t="n">
        <v>4117.2</v>
      </c>
      <c r="N276" t="inlineStr">
        <is>
          <t>RON</t>
        </is>
      </c>
      <c r="O276" t="inlineStr">
        <is>
          <t>Alba Iulia</t>
        </is>
      </c>
      <c r="P276" s="12" t="n">
        <v>46334</v>
      </c>
      <c r="Q276">
        <f>IF(COUNTIF(tbl_Localitati[oras_oficial],[@oras])=0,"ORAS NEALINIAT",IF(XLOOKUP([@oras],tbl_Localitati[oras_oficial],tbl_Localitati[judet],"?")&lt;&gt;[@judet],"JUDET NECORESPUNZATOR",""))</f>
        <v/>
      </c>
      <c r="R276">
        <f>IF(XLOOKUP([@categorie],tbl_RegulriTVA[categorie],tbl_RegulriTVA[cota_legala],-1)&lt;&gt;[@cota_tva],"TVA GRESIT","")</f>
        <v/>
      </c>
      <c r="S276">
        <f>IF([@data_scadentei]&lt;[@data_factura],"SCADENTA INAINTEA FACTURII","")</f>
        <v/>
      </c>
      <c r="T276">
        <f>IF(NETWORKDAYS.INTL([@data_factura],[@data_factura],1,tbl_SarbatoriLegale[data])=0,"ZI NELUCRATOARE","")</f>
        <v/>
      </c>
      <c r="U276">
        <f>IF([@motiv_anomalie]="","OK","DE INVESTIGAT")</f>
        <v/>
      </c>
      <c r="V276">
        <f>TEXTJOIN("; ",TRUE,[@flag_oras],[@flag_tva],[@flag_scadenta],[@flag_zi])</f>
        <v/>
      </c>
    </row>
    <row r="277">
      <c r="A277" t="inlineStr">
        <is>
          <t>F-2025-00276</t>
        </is>
      </c>
      <c r="B277" s="12" t="n">
        <v>46048</v>
      </c>
      <c r="C277" t="inlineStr">
        <is>
          <t>SC OMEGA SOFT SRL</t>
        </is>
      </c>
      <c r="D277" t="inlineStr">
        <is>
          <t>Dolj</t>
        </is>
      </c>
      <c r="E277" t="inlineStr">
        <is>
          <t>PRD-005</t>
        </is>
      </c>
      <c r="F277" t="inlineStr">
        <is>
          <t>Ghid legislatie GDPR</t>
        </is>
      </c>
      <c r="G277" t="inlineStr">
        <is>
          <t>Cărți și manuale</t>
        </is>
      </c>
      <c r="H277" t="n">
        <v>3</v>
      </c>
      <c r="I277" t="n">
        <v>259.31</v>
      </c>
      <c r="J277" t="n">
        <v>777.9299999999999</v>
      </c>
      <c r="K277" s="13" t="n">
        <v>0.05</v>
      </c>
      <c r="L277" t="n">
        <v>38.9</v>
      </c>
      <c r="M277" t="n">
        <v>816.83</v>
      </c>
      <c r="N277" t="inlineStr">
        <is>
          <t>RON</t>
        </is>
      </c>
      <c r="O277" t="inlineStr">
        <is>
          <t>Craiova</t>
        </is>
      </c>
      <c r="P277" s="12" t="n">
        <v>46078</v>
      </c>
      <c r="Q277">
        <f>IF(COUNTIF(tbl_Localitati[oras_oficial],[@oras])=0,"ORAS NEALINIAT",IF(XLOOKUP([@oras],tbl_Localitati[oras_oficial],tbl_Localitati[judet],"?")&lt;&gt;[@judet],"JUDET NECORESPUNZATOR",""))</f>
        <v/>
      </c>
      <c r="R277">
        <f>IF(XLOOKUP([@categorie],tbl_RegulriTVA[categorie],tbl_RegulriTVA[cota_legala],-1)&lt;&gt;[@cota_tva],"TVA GRESIT","")</f>
        <v/>
      </c>
      <c r="S277">
        <f>IF([@data_scadentei]&lt;[@data_factura],"SCADENTA INAINTEA FACTURII","")</f>
        <v/>
      </c>
      <c r="T277">
        <f>IF(NETWORKDAYS.INTL([@data_factura],[@data_factura],1,tbl_SarbatoriLegale[data])=0,"ZI NELUCRATOARE","")</f>
        <v/>
      </c>
      <c r="U277">
        <f>IF([@motiv_anomalie]="","OK","DE INVESTIGAT")</f>
        <v/>
      </c>
      <c r="V277">
        <f>TEXTJOIN("; ",TRUE,[@flag_oras],[@flag_tva],[@flag_scadenta],[@flag_zi])</f>
        <v/>
      </c>
    </row>
    <row r="278">
      <c r="A278" t="inlineStr">
        <is>
          <t>F-2025-00277</t>
        </is>
      </c>
      <c r="B278" s="12" t="n">
        <v>46076</v>
      </c>
      <c r="C278" t="inlineStr">
        <is>
          <t>SC SOLARIS ENERGY SRL</t>
        </is>
      </c>
      <c r="D278" t="inlineStr">
        <is>
          <t>Prahova</t>
        </is>
      </c>
      <c r="E278" t="inlineStr">
        <is>
          <t>PRD-008</t>
        </is>
      </c>
      <c r="F278" t="inlineStr">
        <is>
          <t>Training utilizatori</t>
        </is>
      </c>
      <c r="G278" t="inlineStr">
        <is>
          <t>Servicii consultanță</t>
        </is>
      </c>
      <c r="H278" t="n">
        <v>1</v>
      </c>
      <c r="I278" t="n">
        <v>461.05</v>
      </c>
      <c r="J278" t="n">
        <v>461.05</v>
      </c>
      <c r="K278" s="13" t="n">
        <v>0.19</v>
      </c>
      <c r="L278" t="n">
        <v>87.59999999999999</v>
      </c>
      <c r="M278" t="n">
        <v>548.65</v>
      </c>
      <c r="N278" t="inlineStr">
        <is>
          <t>RON</t>
        </is>
      </c>
      <c r="O278" t="inlineStr">
        <is>
          <t>Câmpina</t>
        </is>
      </c>
      <c r="P278" s="12" t="n">
        <v>46106</v>
      </c>
      <c r="Q278">
        <f>IF(COUNTIF(tbl_Localitati[oras_oficial],[@oras])=0,"ORAS NEALINIAT",IF(XLOOKUP([@oras],tbl_Localitati[oras_oficial],tbl_Localitati[judet],"?")&lt;&gt;[@judet],"JUDET NECORESPUNZATOR",""))</f>
        <v/>
      </c>
      <c r="R278">
        <f>IF(XLOOKUP([@categorie],tbl_RegulriTVA[categorie],tbl_RegulriTVA[cota_legala],-1)&lt;&gt;[@cota_tva],"TVA GRESIT","")</f>
        <v/>
      </c>
      <c r="S278">
        <f>IF([@data_scadentei]&lt;[@data_factura],"SCADENTA INAINTEA FACTURII","")</f>
        <v/>
      </c>
      <c r="T278">
        <f>IF(NETWORKDAYS.INTL([@data_factura],[@data_factura],1,tbl_SarbatoriLegale[data])=0,"ZI NELUCRATOARE","")</f>
        <v/>
      </c>
      <c r="U278">
        <f>IF([@motiv_anomalie]="","OK","DE INVESTIGAT")</f>
        <v/>
      </c>
      <c r="V278">
        <f>TEXTJOIN("; ",TRUE,[@flag_oras],[@flag_tva],[@flag_scadenta],[@flag_zi])</f>
        <v/>
      </c>
    </row>
    <row r="279">
      <c r="A279" t="inlineStr">
        <is>
          <t>F-2025-00278</t>
        </is>
      </c>
      <c r="B279" s="12" t="n">
        <v>46209</v>
      </c>
      <c r="C279" t="inlineStr">
        <is>
          <t>SC RAPID LOGISTIC SA</t>
        </is>
      </c>
      <c r="D279" t="inlineStr">
        <is>
          <t>Prahova</t>
        </is>
      </c>
      <c r="E279" t="inlineStr">
        <is>
          <t>PRD-008</t>
        </is>
      </c>
      <c r="F279" t="inlineStr">
        <is>
          <t>Trusa prim ajutor</t>
        </is>
      </c>
      <c r="G279" t="inlineStr">
        <is>
          <t>Produse farmaceutice</t>
        </is>
      </c>
      <c r="H279" t="n">
        <v>10</v>
      </c>
      <c r="I279" t="n">
        <v>428.13</v>
      </c>
      <c r="J279" t="n">
        <v>4281.3</v>
      </c>
      <c r="K279" s="13" t="n">
        <v>0.09</v>
      </c>
      <c r="L279" t="n">
        <v>385.32</v>
      </c>
      <c r="M279" t="n">
        <v>4666.62</v>
      </c>
      <c r="N279" t="inlineStr">
        <is>
          <t>RON</t>
        </is>
      </c>
      <c r="O279" t="inlineStr">
        <is>
          <t>Ploiești</t>
        </is>
      </c>
      <c r="P279" s="12" t="n">
        <v>46224</v>
      </c>
      <c r="Q279">
        <f>IF(COUNTIF(tbl_Localitati[oras_oficial],[@oras])=0,"ORAS NEALINIAT",IF(XLOOKUP([@oras],tbl_Localitati[oras_oficial],tbl_Localitati[judet],"?")&lt;&gt;[@judet],"JUDET NECORESPUNZATOR",""))</f>
        <v/>
      </c>
      <c r="R279">
        <f>IF(XLOOKUP([@categorie],tbl_RegulriTVA[categorie],tbl_RegulriTVA[cota_legala],-1)&lt;&gt;[@cota_tva],"TVA GRESIT","")</f>
        <v/>
      </c>
      <c r="S279">
        <f>IF([@data_scadentei]&lt;[@data_factura],"SCADENTA INAINTEA FACTURII","")</f>
        <v/>
      </c>
      <c r="T279">
        <f>IF(NETWORKDAYS.INTL([@data_factura],[@data_factura],1,tbl_SarbatoriLegale[data])=0,"ZI NELUCRATOARE","")</f>
        <v/>
      </c>
      <c r="U279">
        <f>IF([@motiv_anomalie]="","OK","DE INVESTIGAT")</f>
        <v/>
      </c>
      <c r="V279">
        <f>TEXTJOIN("; ",TRUE,[@flag_oras],[@flag_tva],[@flag_scadenta],[@flag_zi])</f>
        <v/>
      </c>
    </row>
    <row r="280">
      <c r="A280" t="inlineStr">
        <is>
          <t>F-2025-00279</t>
        </is>
      </c>
      <c r="B280" s="12" t="n">
        <v>46252</v>
      </c>
      <c r="C280" t="inlineStr">
        <is>
          <t>SC PROVITA MEDICAL SRL</t>
        </is>
      </c>
      <c r="D280" t="inlineStr">
        <is>
          <t>Mureș</t>
        </is>
      </c>
      <c r="E280" t="inlineStr">
        <is>
          <t>PRD-008</t>
        </is>
      </c>
      <c r="F280" t="inlineStr">
        <is>
          <t>Apa plata bax</t>
        </is>
      </c>
      <c r="G280" t="inlineStr">
        <is>
          <t>Alimente</t>
        </is>
      </c>
      <c r="H280" t="n">
        <v>1</v>
      </c>
      <c r="I280" t="n">
        <v>455.34</v>
      </c>
      <c r="J280" t="n">
        <v>455.34</v>
      </c>
      <c r="K280" s="13" t="n">
        <v>0.09</v>
      </c>
      <c r="L280" t="n">
        <v>40.98</v>
      </c>
      <c r="M280" t="n">
        <v>496.32</v>
      </c>
      <c r="N280" t="inlineStr">
        <is>
          <t>RON</t>
        </is>
      </c>
      <c r="O280" t="inlineStr">
        <is>
          <t>Târgu Mureș</t>
        </is>
      </c>
      <c r="P280" s="12" t="n">
        <v>46282</v>
      </c>
      <c r="Q280">
        <f>IF(COUNTIF(tbl_Localitati[oras_oficial],[@oras])=0,"ORAS NEALINIAT",IF(XLOOKUP([@oras],tbl_Localitati[oras_oficial],tbl_Localitati[judet],"?")&lt;&gt;[@judet],"JUDET NECORESPUNZATOR",""))</f>
        <v/>
      </c>
      <c r="R280">
        <f>IF(XLOOKUP([@categorie],tbl_RegulriTVA[categorie],tbl_RegulriTVA[cota_legala],-1)&lt;&gt;[@cota_tva],"TVA GRESIT","")</f>
        <v/>
      </c>
      <c r="S280">
        <f>IF([@data_scadentei]&lt;[@data_factura],"SCADENTA INAINTEA FACTURII","")</f>
        <v/>
      </c>
      <c r="T280">
        <f>IF(NETWORKDAYS.INTL([@data_factura],[@data_factura],1,tbl_SarbatoriLegale[data])=0,"ZI NELUCRATOARE","")</f>
        <v/>
      </c>
      <c r="U280">
        <f>IF([@motiv_anomalie]="","OK","DE INVESTIGAT")</f>
        <v/>
      </c>
      <c r="V280">
        <f>TEXTJOIN("; ",TRUE,[@flag_oras],[@flag_tva],[@flag_scadenta],[@flag_zi])</f>
        <v/>
      </c>
    </row>
    <row r="281">
      <c r="A281" t="inlineStr">
        <is>
          <t>F-2025-00280</t>
        </is>
      </c>
      <c r="B281" s="12" t="n">
        <v>46232</v>
      </c>
      <c r="C281" t="inlineStr">
        <is>
          <t>SC DACTECH SOLUTIONS SRL</t>
        </is>
      </c>
      <c r="D281" t="inlineStr">
        <is>
          <t>Argeș</t>
        </is>
      </c>
      <c r="E281" t="inlineStr">
        <is>
          <t>PRD-006</t>
        </is>
      </c>
      <c r="F281" t="inlineStr">
        <is>
          <t>Abonament suita cloud</t>
        </is>
      </c>
      <c r="G281" t="inlineStr">
        <is>
          <t>Licențe software</t>
        </is>
      </c>
      <c r="H281" t="n">
        <v>25</v>
      </c>
      <c r="I281" t="n">
        <v>764.71</v>
      </c>
      <c r="J281" t="n">
        <v>19117.75</v>
      </c>
      <c r="K281" s="13" t="n">
        <v>0.19</v>
      </c>
      <c r="L281" t="n">
        <v>3632.37</v>
      </c>
      <c r="M281" t="n">
        <v>22750.12</v>
      </c>
      <c r="N281" t="inlineStr">
        <is>
          <t>RON</t>
        </is>
      </c>
      <c r="O281" t="inlineStr">
        <is>
          <t>Pitești</t>
        </is>
      </c>
      <c r="P281" s="12" t="n">
        <v>46247</v>
      </c>
      <c r="Q281">
        <f>IF(COUNTIF(tbl_Localitati[oras_oficial],[@oras])=0,"ORAS NEALINIAT",IF(XLOOKUP([@oras],tbl_Localitati[oras_oficial],tbl_Localitati[judet],"?")&lt;&gt;[@judet],"JUDET NECORESPUNZATOR",""))</f>
        <v/>
      </c>
      <c r="R281">
        <f>IF(XLOOKUP([@categorie],tbl_RegulriTVA[categorie],tbl_RegulriTVA[cota_legala],-1)&lt;&gt;[@cota_tva],"TVA GRESIT","")</f>
        <v/>
      </c>
      <c r="S281">
        <f>IF([@data_scadentei]&lt;[@data_factura],"SCADENTA INAINTEA FACTURII","")</f>
        <v/>
      </c>
      <c r="T281">
        <f>IF(NETWORKDAYS.INTL([@data_factura],[@data_factura],1,tbl_SarbatoriLegale[data])=0,"ZI NELUCRATOARE","")</f>
        <v/>
      </c>
      <c r="U281">
        <f>IF([@motiv_anomalie]="","OK","DE INVESTIGAT")</f>
        <v/>
      </c>
      <c r="V281">
        <f>TEXTJOIN("; ",TRUE,[@flag_oras],[@flag_tva],[@flag_scadenta],[@flag_zi])</f>
        <v/>
      </c>
    </row>
    <row r="282">
      <c r="A282" t="inlineStr">
        <is>
          <t>F-2025-00281</t>
        </is>
      </c>
      <c r="B282" s="12" t="n">
        <v>46108</v>
      </c>
      <c r="C282" t="inlineStr">
        <is>
          <t>SC ELECTROBUILD SRL</t>
        </is>
      </c>
      <c r="D282" t="inlineStr">
        <is>
          <t>Bacău</t>
        </is>
      </c>
      <c r="E282" t="inlineStr">
        <is>
          <t>PRD-001</t>
        </is>
      </c>
      <c r="F282" t="inlineStr">
        <is>
          <t>Server rack 1U</t>
        </is>
      </c>
      <c r="G282" t="inlineStr">
        <is>
          <t>Hardware IT</t>
        </is>
      </c>
      <c r="H282" t="n">
        <v>10</v>
      </c>
      <c r="I282" t="n">
        <v>2394.94</v>
      </c>
      <c r="J282" t="n">
        <v>23949.4</v>
      </c>
      <c r="K282" s="13" t="n">
        <v>0.19</v>
      </c>
      <c r="L282" t="n">
        <v>4550.39</v>
      </c>
      <c r="M282" t="n">
        <v>28499.79</v>
      </c>
      <c r="N282" t="inlineStr">
        <is>
          <t>RON</t>
        </is>
      </c>
      <c r="O282" t="inlineStr">
        <is>
          <t>Bacău</t>
        </is>
      </c>
      <c r="P282" s="12" t="n">
        <v>46123</v>
      </c>
      <c r="Q282">
        <f>IF(COUNTIF(tbl_Localitati[oras_oficial],[@oras])=0,"ORAS NEALINIAT",IF(XLOOKUP([@oras],tbl_Localitati[oras_oficial],tbl_Localitati[judet],"?")&lt;&gt;[@judet],"JUDET NECORESPUNZATOR",""))</f>
        <v/>
      </c>
      <c r="R282">
        <f>IF(XLOOKUP([@categorie],tbl_RegulriTVA[categorie],tbl_RegulriTVA[cota_legala],-1)&lt;&gt;[@cota_tva],"TVA GRESIT","")</f>
        <v/>
      </c>
      <c r="S282">
        <f>IF([@data_scadentei]&lt;[@data_factura],"SCADENTA INAINTEA FACTURII","")</f>
        <v/>
      </c>
      <c r="T282">
        <f>IF(NETWORKDAYS.INTL([@data_factura],[@data_factura],1,tbl_SarbatoriLegale[data])=0,"ZI NELUCRATOARE","")</f>
        <v/>
      </c>
      <c r="U282">
        <f>IF([@motiv_anomalie]="","OK","DE INVESTIGAT")</f>
        <v/>
      </c>
      <c r="V282">
        <f>TEXTJOIN("; ",TRUE,[@flag_oras],[@flag_tva],[@flag_scadenta],[@flag_zi])</f>
        <v/>
      </c>
    </row>
    <row r="283">
      <c r="A283" t="inlineStr">
        <is>
          <t>F-2025-00282</t>
        </is>
      </c>
      <c r="B283" s="12" t="n">
        <v>46266</v>
      </c>
      <c r="C283" t="inlineStr">
        <is>
          <t>SC INTEGROMED SA</t>
        </is>
      </c>
      <c r="D283" t="inlineStr">
        <is>
          <t>Cluj</t>
        </is>
      </c>
      <c r="E283" t="inlineStr">
        <is>
          <t>PRD-003</t>
        </is>
      </c>
      <c r="F283" t="inlineStr">
        <is>
          <t>Server rack 1U</t>
        </is>
      </c>
      <c r="G283" t="inlineStr">
        <is>
          <t>Hardware IT</t>
        </is>
      </c>
      <c r="H283" t="n">
        <v>1</v>
      </c>
      <c r="I283" t="n">
        <v>4108.88</v>
      </c>
      <c r="J283" t="n">
        <v>4108.88</v>
      </c>
      <c r="K283" s="13" t="n">
        <v>0.19</v>
      </c>
      <c r="L283" t="n">
        <v>780.6900000000001</v>
      </c>
      <c r="M283" t="n">
        <v>4889.57</v>
      </c>
      <c r="N283" t="inlineStr">
        <is>
          <t>RON</t>
        </is>
      </c>
      <c r="O283" t="inlineStr">
        <is>
          <t>Cluj-Napoca</t>
        </is>
      </c>
      <c r="P283" s="12" t="n">
        <v>46296</v>
      </c>
      <c r="Q283">
        <f>IF(COUNTIF(tbl_Localitati[oras_oficial],[@oras])=0,"ORAS NEALINIAT",IF(XLOOKUP([@oras],tbl_Localitati[oras_oficial],tbl_Localitati[judet],"?")&lt;&gt;[@judet],"JUDET NECORESPUNZATOR",""))</f>
        <v/>
      </c>
      <c r="R283">
        <f>IF(XLOOKUP([@categorie],tbl_RegulriTVA[categorie],tbl_RegulriTVA[cota_legala],-1)&lt;&gt;[@cota_tva],"TVA GRESIT","")</f>
        <v/>
      </c>
      <c r="S283">
        <f>IF([@data_scadentei]&lt;[@data_factura],"SCADENTA INAINTEA FACTURII","")</f>
        <v/>
      </c>
      <c r="T283">
        <f>IF(NETWORKDAYS.INTL([@data_factura],[@data_factura],1,tbl_SarbatoriLegale[data])=0,"ZI NELUCRATOARE","")</f>
        <v/>
      </c>
      <c r="U283">
        <f>IF([@motiv_anomalie]="","OK","DE INVESTIGAT")</f>
        <v/>
      </c>
      <c r="V283">
        <f>TEXTJOIN("; ",TRUE,[@flag_oras],[@flag_tva],[@flag_scadenta],[@flag_zi])</f>
        <v/>
      </c>
    </row>
    <row r="284">
      <c r="A284" t="inlineStr">
        <is>
          <t>F-2025-00283</t>
        </is>
      </c>
      <c r="B284" s="12" t="n">
        <v>46135</v>
      </c>
      <c r="C284" t="inlineStr">
        <is>
          <t>SC OMEGA SOFT SRL</t>
        </is>
      </c>
      <c r="D284" t="inlineStr">
        <is>
          <t>Dolj</t>
        </is>
      </c>
      <c r="E284" t="inlineStr">
        <is>
          <t>PRD-006</t>
        </is>
      </c>
      <c r="F284" t="inlineStr">
        <is>
          <t>Masti protectie cutie</t>
        </is>
      </c>
      <c r="G284" t="inlineStr">
        <is>
          <t>Produse farmaceutice</t>
        </is>
      </c>
      <c r="H284" t="n">
        <v>10</v>
      </c>
      <c r="I284" t="n">
        <v>753.76</v>
      </c>
      <c r="J284" t="n">
        <v>7537.6</v>
      </c>
      <c r="K284" s="13" t="n">
        <v>0.09</v>
      </c>
      <c r="L284" t="n">
        <v>678.38</v>
      </c>
      <c r="M284" t="n">
        <v>8215.98</v>
      </c>
      <c r="N284" t="inlineStr">
        <is>
          <t>RON</t>
        </is>
      </c>
      <c r="O284" t="inlineStr">
        <is>
          <t>Craiova</t>
        </is>
      </c>
      <c r="P284" s="12" t="n">
        <v>46180</v>
      </c>
      <c r="Q284">
        <f>IF(COUNTIF(tbl_Localitati[oras_oficial],[@oras])=0,"ORAS NEALINIAT",IF(XLOOKUP([@oras],tbl_Localitati[oras_oficial],tbl_Localitati[judet],"?")&lt;&gt;[@judet],"JUDET NECORESPUNZATOR",""))</f>
        <v/>
      </c>
      <c r="R284">
        <f>IF(XLOOKUP([@categorie],tbl_RegulriTVA[categorie],tbl_RegulriTVA[cota_legala],-1)&lt;&gt;[@cota_tva],"TVA GRESIT","")</f>
        <v/>
      </c>
      <c r="S284">
        <f>IF([@data_scadentei]&lt;[@data_factura],"SCADENTA INAINTEA FACTURII","")</f>
        <v/>
      </c>
      <c r="T284">
        <f>IF(NETWORKDAYS.INTL([@data_factura],[@data_factura],1,tbl_SarbatoriLegale[data])=0,"ZI NELUCRATOARE","")</f>
        <v/>
      </c>
      <c r="U284">
        <f>IF([@motiv_anomalie]="","OK","DE INVESTIGAT")</f>
        <v/>
      </c>
      <c r="V284">
        <f>TEXTJOIN("; ",TRUE,[@flag_oras],[@flag_tva],[@flag_scadenta],[@flag_zi])</f>
        <v/>
      </c>
    </row>
    <row r="285">
      <c r="A285" t="inlineStr">
        <is>
          <t>F-2025-00284</t>
        </is>
      </c>
      <c r="B285" s="12" t="n">
        <v>46332</v>
      </c>
      <c r="C285" t="inlineStr">
        <is>
          <t>SC AROMET TRADING SRL</t>
        </is>
      </c>
      <c r="D285" t="inlineStr">
        <is>
          <t>Alba</t>
        </is>
      </c>
      <c r="E285" t="inlineStr">
        <is>
          <t>PRD-002</t>
        </is>
      </c>
      <c r="F285" t="inlineStr">
        <is>
          <t>Telefon IP birou</t>
        </is>
      </c>
      <c r="G285" t="inlineStr">
        <is>
          <t>Echipamente birou</t>
        </is>
      </c>
      <c r="H285" t="n">
        <v>1</v>
      </c>
      <c r="I285" t="n">
        <v>1095.16</v>
      </c>
      <c r="J285" t="n">
        <v>1095.16</v>
      </c>
      <c r="K285" s="13" t="n">
        <v>0.19</v>
      </c>
      <c r="L285" t="n">
        <v>208.08</v>
      </c>
      <c r="M285" t="n">
        <v>1303.24</v>
      </c>
      <c r="N285" t="inlineStr">
        <is>
          <t>RON</t>
        </is>
      </c>
      <c r="O285" t="inlineStr">
        <is>
          <t>Alba Iulia</t>
        </is>
      </c>
      <c r="P285" s="12" t="n">
        <v>46362</v>
      </c>
      <c r="Q285">
        <f>IF(COUNTIF(tbl_Localitati[oras_oficial],[@oras])=0,"ORAS NEALINIAT",IF(XLOOKUP([@oras],tbl_Localitati[oras_oficial],tbl_Localitati[judet],"?")&lt;&gt;[@judet],"JUDET NECORESPUNZATOR",""))</f>
        <v/>
      </c>
      <c r="R285">
        <f>IF(XLOOKUP([@categorie],tbl_RegulriTVA[categorie],tbl_RegulriTVA[cota_legala],-1)&lt;&gt;[@cota_tva],"TVA GRESIT","")</f>
        <v/>
      </c>
      <c r="S285">
        <f>IF([@data_scadentei]&lt;[@data_factura],"SCADENTA INAINTEA FACTURII","")</f>
        <v/>
      </c>
      <c r="T285">
        <f>IF(NETWORKDAYS.INTL([@data_factura],[@data_factura],1,tbl_SarbatoriLegale[data])=0,"ZI NELUCRATOARE","")</f>
        <v/>
      </c>
      <c r="U285">
        <f>IF([@motiv_anomalie]="","OK","DE INVESTIGAT")</f>
        <v/>
      </c>
      <c r="V285">
        <f>TEXTJOIN("; ",TRUE,[@flag_oras],[@flag_tva],[@flag_scadenta],[@flag_zi])</f>
        <v/>
      </c>
    </row>
    <row r="286">
      <c r="A286" t="inlineStr">
        <is>
          <t>F-2025-00285</t>
        </is>
      </c>
      <c r="B286" s="12" t="n">
        <v>46197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Licenta antivirus enterprise</t>
        </is>
      </c>
      <c r="G286" t="inlineStr">
        <is>
          <t>Licențe software</t>
        </is>
      </c>
      <c r="H286" t="n">
        <v>3</v>
      </c>
      <c r="I286" t="n">
        <v>940.9400000000001</v>
      </c>
      <c r="J286" t="n">
        <v>2822.82</v>
      </c>
      <c r="K286" s="13" t="n">
        <v>0.19</v>
      </c>
      <c r="L286" t="n">
        <v>536.34</v>
      </c>
      <c r="M286" t="n">
        <v>3359.16</v>
      </c>
      <c r="N286" t="inlineStr">
        <is>
          <t>RON</t>
        </is>
      </c>
      <c r="O286" t="inlineStr">
        <is>
          <t>Sibiu</t>
        </is>
      </c>
      <c r="P286" s="12" t="n">
        <v>46242</v>
      </c>
      <c r="Q286">
        <f>IF(COUNTIF(tbl_Localitati[oras_oficial],[@oras])=0,"ORAS NEALINIAT",IF(XLOOKUP([@oras],tbl_Localitati[oras_oficial],tbl_Localitati[judet],"?")&lt;&gt;[@judet],"JUDET NECORESPUNZATOR",""))</f>
        <v/>
      </c>
      <c r="R286">
        <f>IF(XLOOKUP([@categorie],tbl_RegulriTVA[categorie],tbl_RegulriTVA[cota_legala],-1)&lt;&gt;[@cota_tva],"TVA GRESIT","")</f>
        <v/>
      </c>
      <c r="S286">
        <f>IF([@data_scadentei]&lt;[@data_factura],"SCADENTA INAINTEA FACTURII","")</f>
        <v/>
      </c>
      <c r="T286">
        <f>IF(NETWORKDAYS.INTL([@data_factura],[@data_factura],1,tbl_SarbatoriLegale[data])=0,"ZI NELUCRATOARE","")</f>
        <v/>
      </c>
      <c r="U286">
        <f>IF([@motiv_anomalie]="","OK","DE INVESTIGAT")</f>
        <v/>
      </c>
      <c r="V286">
        <f>TEXTJOIN("; ",TRUE,[@flag_oras],[@flag_tva],[@flag_scadenta],[@flag_zi])</f>
        <v/>
      </c>
    </row>
    <row r="287">
      <c r="A287" t="inlineStr">
        <is>
          <t>F-2025-00286</t>
        </is>
      </c>
      <c r="B287" s="12" t="n">
        <v>46097</v>
      </c>
      <c r="C287" t="inlineStr">
        <is>
          <t>SC METALPLAST INVEST SA</t>
        </is>
      </c>
      <c r="D287" t="inlineStr">
        <is>
          <t>Cluj</t>
        </is>
      </c>
      <c r="E287" t="inlineStr">
        <is>
          <t>PRD-003</t>
        </is>
      </c>
      <c r="F287" t="inlineStr">
        <is>
          <t>Tocator documente</t>
        </is>
      </c>
      <c r="G287" t="inlineStr">
        <is>
          <t>Echipamente birou</t>
        </is>
      </c>
      <c r="H287" t="n">
        <v>10</v>
      </c>
      <c r="I287" t="n">
        <v>4115</v>
      </c>
      <c r="J287" t="n">
        <v>41150</v>
      </c>
      <c r="K287" s="13" t="n">
        <v>0.19</v>
      </c>
      <c r="L287" t="n">
        <v>7818.5</v>
      </c>
      <c r="M287" t="n">
        <v>48968.5</v>
      </c>
      <c r="N287" t="inlineStr">
        <is>
          <t>RON</t>
        </is>
      </c>
      <c r="O287" t="inlineStr">
        <is>
          <t>Turda</t>
        </is>
      </c>
      <c r="P287" s="12" t="n">
        <v>46142</v>
      </c>
      <c r="Q287">
        <f>IF(COUNTIF(tbl_Localitati[oras_oficial],[@oras])=0,"ORAS NEALINIAT",IF(XLOOKUP([@oras],tbl_Localitati[oras_oficial],tbl_Localitati[judet],"?")&lt;&gt;[@judet],"JUDET NECORESPUNZATOR",""))</f>
        <v/>
      </c>
      <c r="R287">
        <f>IF(XLOOKUP([@categorie],tbl_RegulriTVA[categorie],tbl_RegulriTVA[cota_legala],-1)&lt;&gt;[@cota_tva],"TVA GRESIT","")</f>
        <v/>
      </c>
      <c r="S287">
        <f>IF([@data_scadentei]&lt;[@data_factura],"SCADENTA INAINTEA FACTURII","")</f>
        <v/>
      </c>
      <c r="T287">
        <f>IF(NETWORKDAYS.INTL([@data_factura],[@data_factura],1,tbl_SarbatoriLegale[data])=0,"ZI NELUCRATOARE","")</f>
        <v/>
      </c>
      <c r="U287">
        <f>IF([@motiv_anomalie]="","OK","DE INVESTIGAT")</f>
        <v/>
      </c>
      <c r="V287">
        <f>TEXTJOIN("; ",TRUE,[@flag_oras],[@flag_tva],[@flag_scadenta],[@flag_zi])</f>
        <v/>
      </c>
    </row>
    <row r="288">
      <c r="A288" t="inlineStr">
        <is>
          <t>F-2025-00287</t>
        </is>
      </c>
      <c r="B288" s="12" t="n">
        <v>46129</v>
      </c>
      <c r="C288" t="inlineStr">
        <is>
          <t>SC NORDIS DISTRIBUTIE SRL</t>
        </is>
      </c>
      <c r="D288" t="inlineStr">
        <is>
          <t>Constanța</t>
        </is>
      </c>
      <c r="E288" t="inlineStr">
        <is>
          <t>PRD-001</t>
        </is>
      </c>
      <c r="F288" t="inlineStr">
        <is>
          <t>Monitor 27" 4K</t>
        </is>
      </c>
      <c r="G288" t="inlineStr">
        <is>
          <t>Hardware IT</t>
        </is>
      </c>
      <c r="H288" t="n">
        <v>2</v>
      </c>
      <c r="I288" t="n">
        <v>2381.06</v>
      </c>
      <c r="J288" t="n">
        <v>4762.12</v>
      </c>
      <c r="K288" s="13" t="n">
        <v>0.19</v>
      </c>
      <c r="L288" t="n">
        <v>904.8</v>
      </c>
      <c r="M288" t="n">
        <v>5666.92</v>
      </c>
      <c r="N288" t="inlineStr">
        <is>
          <t>RON</t>
        </is>
      </c>
      <c r="O288" t="inlineStr">
        <is>
          <t>Mangalia</t>
        </is>
      </c>
      <c r="P288" s="12" t="n">
        <v>46159</v>
      </c>
      <c r="Q288">
        <f>IF(COUNTIF(tbl_Localitati[oras_oficial],[@oras])=0,"ORAS NEALINIAT",IF(XLOOKUP([@oras],tbl_Localitati[oras_oficial],tbl_Localitati[judet],"?")&lt;&gt;[@judet],"JUDET NECORESPUNZATOR",""))</f>
        <v/>
      </c>
      <c r="R288">
        <f>IF(XLOOKUP([@categorie],tbl_RegulriTVA[categorie],tbl_RegulriTVA[cota_legala],-1)&lt;&gt;[@cota_tva],"TVA GRESIT","")</f>
        <v/>
      </c>
      <c r="S288">
        <f>IF([@data_scadentei]&lt;[@data_factura],"SCADENTA INAINTEA FACTURII","")</f>
        <v/>
      </c>
      <c r="T288">
        <f>IF(NETWORKDAYS.INTL([@data_factura],[@data_factura],1,tbl_SarbatoriLegale[data])=0,"ZI NELUCRATOARE","")</f>
        <v/>
      </c>
      <c r="U288">
        <f>IF([@motiv_anomalie]="","OK","DE INVESTIGAT")</f>
        <v/>
      </c>
      <c r="V288">
        <f>TEXTJOIN("; ",TRUE,[@flag_oras],[@flag_tva],[@flag_scadenta],[@flag_zi])</f>
        <v/>
      </c>
    </row>
    <row r="289">
      <c r="A289" t="inlineStr">
        <is>
          <t>F-2025-00288</t>
        </is>
      </c>
      <c r="B289" s="12" t="n">
        <v>46127</v>
      </c>
      <c r="C289" t="inlineStr">
        <is>
          <t>SC ZENITH AUTO SRL</t>
        </is>
      </c>
      <c r="D289" t="inlineStr">
        <is>
          <t>București</t>
        </is>
      </c>
      <c r="E289" t="inlineStr">
        <is>
          <t>PRD-009</t>
        </is>
      </c>
      <c r="F289" t="inlineStr">
        <is>
          <t>Videoproiector sala</t>
        </is>
      </c>
      <c r="G289" t="inlineStr">
        <is>
          <t>Echipamente birou</t>
        </is>
      </c>
      <c r="H289" t="n">
        <v>10</v>
      </c>
      <c r="I289" t="n">
        <v>28.33</v>
      </c>
      <c r="J289" t="n">
        <v>283.3</v>
      </c>
      <c r="K289" s="13" t="n">
        <v>0.19</v>
      </c>
      <c r="L289" t="n">
        <v>53.83</v>
      </c>
      <c r="M289" t="n">
        <v>337.13</v>
      </c>
      <c r="N289" t="inlineStr">
        <is>
          <t>RON</t>
        </is>
      </c>
      <c r="O289" t="inlineStr">
        <is>
          <t>București</t>
        </is>
      </c>
      <c r="P289" s="12" t="n">
        <v>46142</v>
      </c>
      <c r="Q289">
        <f>IF(COUNTIF(tbl_Localitati[oras_oficial],[@oras])=0,"ORAS NEALINIAT",IF(XLOOKUP([@oras],tbl_Localitati[oras_oficial],tbl_Localitati[judet],"?")&lt;&gt;[@judet],"JUDET NECORESPUNZATOR",""))</f>
        <v/>
      </c>
      <c r="R289">
        <f>IF(XLOOKUP([@categorie],tbl_RegulriTVA[categorie],tbl_RegulriTVA[cota_legala],-1)&lt;&gt;[@cota_tva],"TVA GRESIT","")</f>
        <v/>
      </c>
      <c r="S289">
        <f>IF([@data_scadentei]&lt;[@data_factura],"SCADENTA INAINTEA FACTURII","")</f>
        <v/>
      </c>
      <c r="T289">
        <f>IF(NETWORKDAYS.INTL([@data_factura],[@data_factura],1,tbl_SarbatoriLegale[data])=0,"ZI NELUCRATOARE","")</f>
        <v/>
      </c>
      <c r="U289">
        <f>IF([@motiv_anomalie]="","OK","DE INVESTIGAT")</f>
        <v/>
      </c>
      <c r="V289">
        <f>TEXTJOIN("; ",TRUE,[@flag_oras],[@flag_tva],[@flag_scadenta],[@flag_zi])</f>
        <v/>
      </c>
    </row>
    <row r="290">
      <c r="A290" t="inlineStr">
        <is>
          <t>F-2025-00289</t>
        </is>
      </c>
      <c r="B290" s="12" t="n">
        <v>46139</v>
      </c>
      <c r="C290" t="inlineStr">
        <is>
          <t>SC DACTECH SOLUTIONS SRL</t>
        </is>
      </c>
      <c r="D290" t="inlineStr">
        <is>
          <t>Argeș</t>
        </is>
      </c>
      <c r="E290" t="inlineStr">
        <is>
          <t>PRD-009</t>
        </is>
      </c>
      <c r="F290" t="inlineStr">
        <is>
          <t>Termometru digital</t>
        </is>
      </c>
      <c r="G290" t="inlineStr">
        <is>
          <t>Produse farmaceutice</t>
        </is>
      </c>
      <c r="H290" t="n">
        <v>20</v>
      </c>
      <c r="I290" t="n">
        <v>28.53</v>
      </c>
      <c r="J290" t="n">
        <v>570.6</v>
      </c>
      <c r="K290" s="13" t="n">
        <v>0.09</v>
      </c>
      <c r="L290" t="n">
        <v>51.35</v>
      </c>
      <c r="M290" t="n">
        <v>621.95</v>
      </c>
      <c r="N290" t="inlineStr">
        <is>
          <t>RON</t>
        </is>
      </c>
      <c r="O290" t="inlineStr">
        <is>
          <t>Pitești</t>
        </is>
      </c>
      <c r="P290" s="12" t="n">
        <v>46184</v>
      </c>
      <c r="Q290">
        <f>IF(COUNTIF(tbl_Localitati[oras_oficial],[@oras])=0,"ORAS NEALINIAT",IF(XLOOKUP([@oras],tbl_Localitati[oras_oficial],tbl_Localitati[judet],"?")&lt;&gt;[@judet],"JUDET NECORESPUNZATOR",""))</f>
        <v/>
      </c>
      <c r="R290">
        <f>IF(XLOOKUP([@categorie],tbl_RegulriTVA[categorie],tbl_RegulriTVA[cota_legala],-1)&lt;&gt;[@cota_tva],"TVA GRESIT","")</f>
        <v/>
      </c>
      <c r="S290">
        <f>IF([@data_scadentei]&lt;[@data_factura],"SCADENTA INAINTEA FACTURII","")</f>
        <v/>
      </c>
      <c r="T290">
        <f>IF(NETWORKDAYS.INTL([@data_factura],[@data_factura],1,tbl_SarbatoriLegale[data])=0,"ZI NELUCRATOARE","")</f>
        <v/>
      </c>
      <c r="U290">
        <f>IF([@motiv_anomalie]="","OK","DE INVESTIGAT")</f>
        <v/>
      </c>
      <c r="V290">
        <f>TEXTJOIN("; ",TRUE,[@flag_oras],[@flag_tva],[@flag_scadenta],[@flag_zi])</f>
        <v/>
      </c>
    </row>
    <row r="291">
      <c r="A291" t="inlineStr">
        <is>
          <t>F-2025-00290</t>
        </is>
      </c>
      <c r="B291" s="12" t="n">
        <v>46195</v>
      </c>
      <c r="C291" t="inlineStr">
        <is>
          <t>SC AROMET TRADING SRL</t>
        </is>
      </c>
      <c r="D291" t="inlineStr">
        <is>
          <t>Alba</t>
        </is>
      </c>
      <c r="E291" t="inlineStr">
        <is>
          <t>PRD-011</t>
        </is>
      </c>
      <c r="F291" t="inlineStr">
        <is>
          <t>Server rack 1U</t>
        </is>
      </c>
      <c r="G291" t="inlineStr">
        <is>
          <t>Hardware IT</t>
        </is>
      </c>
      <c r="H291" t="n">
        <v>5</v>
      </c>
      <c r="I291" t="n">
        <v>46.91</v>
      </c>
      <c r="J291" t="n">
        <v>234.55</v>
      </c>
      <c r="K291" s="13" t="n">
        <v>0.19</v>
      </c>
      <c r="L291" t="n">
        <v>44.56</v>
      </c>
      <c r="M291" t="n">
        <v>279.11</v>
      </c>
      <c r="N291" t="inlineStr">
        <is>
          <t>RON</t>
        </is>
      </c>
      <c r="O291" t="inlineStr">
        <is>
          <t>Alba Iulia</t>
        </is>
      </c>
      <c r="P291" s="12" t="n">
        <v>46240</v>
      </c>
      <c r="Q291">
        <f>IF(COUNTIF(tbl_Localitati[oras_oficial],[@oras])=0,"ORAS NEALINIAT",IF(XLOOKUP([@oras],tbl_Localitati[oras_oficial],tbl_Localitati[judet],"?")&lt;&gt;[@judet],"JUDET NECORESPUNZATOR",""))</f>
        <v/>
      </c>
      <c r="R291">
        <f>IF(XLOOKUP([@categorie],tbl_RegulriTVA[categorie],tbl_RegulriTVA[cota_legala],-1)&lt;&gt;[@cota_tva],"TVA GRESIT","")</f>
        <v/>
      </c>
      <c r="S291">
        <f>IF([@data_scadentei]&lt;[@data_factura],"SCADENTA INAINTEA FACTURII","")</f>
        <v/>
      </c>
      <c r="T291">
        <f>IF(NETWORKDAYS.INTL([@data_factura],[@data_factura],1,tbl_SarbatoriLegale[data])=0,"ZI NELUCRATOARE","")</f>
        <v/>
      </c>
      <c r="U291">
        <f>IF([@motiv_anomalie]="","OK","DE INVESTIGAT")</f>
        <v/>
      </c>
      <c r="V291">
        <f>TEXTJOIN("; ",TRUE,[@flag_oras],[@flag_tva],[@flag_scadenta],[@flag_zi])</f>
        <v/>
      </c>
    </row>
    <row r="292">
      <c r="A292" t="inlineStr">
        <is>
          <t>F-2025-00291</t>
        </is>
      </c>
      <c r="B292" s="12" t="n">
        <v>46153</v>
      </c>
      <c r="C292" t="inlineStr">
        <is>
          <t>SC PROVITA MEDICAL SRL</t>
        </is>
      </c>
      <c r="D292" t="inlineStr">
        <is>
          <t>Cluj</t>
        </is>
      </c>
      <c r="E292" t="inlineStr">
        <is>
          <t>PRD-011</t>
        </is>
      </c>
      <c r="F292" t="inlineStr">
        <is>
          <t>Abonament suita cloud</t>
        </is>
      </c>
      <c r="G292" t="inlineStr">
        <is>
          <t>Licențe software</t>
        </is>
      </c>
      <c r="H292" t="n">
        <v>5</v>
      </c>
      <c r="I292" t="n">
        <v>45.33</v>
      </c>
      <c r="J292" t="n">
        <v>226.65</v>
      </c>
      <c r="K292" s="13" t="n">
        <v>0.19</v>
      </c>
      <c r="L292" t="n">
        <v>43.06</v>
      </c>
      <c r="M292" t="n">
        <v>269.71</v>
      </c>
      <c r="N292" t="inlineStr">
        <is>
          <t>RON</t>
        </is>
      </c>
      <c r="O292" t="inlineStr">
        <is>
          <t>Târgu Mureș</t>
        </is>
      </c>
      <c r="P292" s="12" t="n">
        <v>46198</v>
      </c>
      <c r="Q292">
        <f>IF(COUNTIF(tbl_Localitati[oras_oficial],[@oras])=0,"ORAS NEALINIAT",IF(XLOOKUP([@oras],tbl_Localitati[oras_oficial],tbl_Localitati[judet],"?")&lt;&gt;[@judet],"JUDET NECORESPUNZATOR",""))</f>
        <v/>
      </c>
      <c r="R292">
        <f>IF(XLOOKUP([@categorie],tbl_RegulriTVA[categorie],tbl_RegulriTVA[cota_legala],-1)&lt;&gt;[@cota_tva],"TVA GRESIT","")</f>
        <v/>
      </c>
      <c r="S292">
        <f>IF([@data_scadentei]&lt;[@data_factura],"SCADENTA INAINTEA FACTURII","")</f>
        <v/>
      </c>
      <c r="T292">
        <f>IF(NETWORKDAYS.INTL([@data_factura],[@data_factura],1,tbl_SarbatoriLegale[data])=0,"ZI NELUCRATOARE","")</f>
        <v/>
      </c>
      <c r="U292">
        <f>IF([@motiv_anomalie]="","OK","DE INVESTIGAT")</f>
        <v/>
      </c>
      <c r="V292">
        <f>TEXTJOIN("; ",TRUE,[@flag_oras],[@flag_tva],[@flag_scadenta],[@flag_zi])</f>
        <v/>
      </c>
    </row>
    <row r="293">
      <c r="A293" t="inlineStr">
        <is>
          <t>F-2025-00292</t>
        </is>
      </c>
      <c r="B293" s="12" t="n">
        <v>46371</v>
      </c>
      <c r="C293" t="inlineStr">
        <is>
          <t>SC DACTECH SOLUTIONS SRL</t>
        </is>
      </c>
      <c r="D293" t="inlineStr">
        <is>
          <t>Argeș</t>
        </is>
      </c>
      <c r="E293" t="inlineStr">
        <is>
          <t>PRD-006</t>
        </is>
      </c>
      <c r="F293" t="inlineStr">
        <is>
          <t>Tocator documente</t>
        </is>
      </c>
      <c r="G293" t="inlineStr">
        <is>
          <t>Echipamente birou</t>
        </is>
      </c>
      <c r="H293" t="n">
        <v>5</v>
      </c>
      <c r="I293" t="n">
        <v>719.9</v>
      </c>
      <c r="J293" t="n">
        <v>3599.5</v>
      </c>
      <c r="K293" s="13" t="n">
        <v>0.19</v>
      </c>
      <c r="L293" t="n">
        <v>683.9</v>
      </c>
      <c r="M293" t="n">
        <v>4283.4</v>
      </c>
      <c r="N293" t="inlineStr">
        <is>
          <t>RON</t>
        </is>
      </c>
      <c r="O293" t="inlineStr">
        <is>
          <t>Pitești</t>
        </is>
      </c>
      <c r="P293" s="12" t="n">
        <v>46401</v>
      </c>
      <c r="Q293">
        <f>IF(COUNTIF(tbl_Localitati[oras_oficial],[@oras])=0,"ORAS NEALINIAT",IF(XLOOKUP([@oras],tbl_Localitati[oras_oficial],tbl_Localitati[judet],"?")&lt;&gt;[@judet],"JUDET NECORESPUNZATOR",""))</f>
        <v/>
      </c>
      <c r="R293">
        <f>IF(XLOOKUP([@categorie],tbl_RegulriTVA[categorie],tbl_RegulriTVA[cota_legala],-1)&lt;&gt;[@cota_tva],"TVA GRESIT","")</f>
        <v/>
      </c>
      <c r="S293">
        <f>IF([@data_scadentei]&lt;[@data_factura],"SCADENTA INAINTEA FACTURII","")</f>
        <v/>
      </c>
      <c r="T293">
        <f>IF(NETWORKDAYS.INTL([@data_factura],[@data_factura],1,tbl_SarbatoriLegale[data])=0,"ZI NELUCRATOARE","")</f>
        <v/>
      </c>
      <c r="U293">
        <f>IF([@motiv_anomalie]="","OK","DE INVESTIGAT")</f>
        <v/>
      </c>
      <c r="V293">
        <f>TEXTJOIN("; ",TRUE,[@flag_oras],[@flag_tva],[@flag_scadenta],[@flag_zi])</f>
        <v/>
      </c>
    </row>
    <row r="294">
      <c r="A294" t="inlineStr">
        <is>
          <t>F-2025-00293</t>
        </is>
      </c>
      <c r="B294" s="12" t="n">
        <v>46114</v>
      </c>
      <c r="C294" t="inlineStr">
        <is>
          <t>SC RAPID LOGISTIC SA</t>
        </is>
      </c>
      <c r="D294" t="inlineStr">
        <is>
          <t>Prahova</t>
        </is>
      </c>
      <c r="E294" t="inlineStr">
        <is>
          <t>PRD-001</t>
        </is>
      </c>
      <c r="F294" t="inlineStr">
        <is>
          <t>Termometru digital</t>
        </is>
      </c>
      <c r="G294" t="inlineStr">
        <is>
          <t>Produse farmaceutice</t>
        </is>
      </c>
      <c r="H294" t="n">
        <v>3</v>
      </c>
      <c r="I294" t="n">
        <v>2281.24</v>
      </c>
      <c r="J294" t="n">
        <v>6843.72</v>
      </c>
      <c r="K294" s="13" t="n">
        <v>0.09</v>
      </c>
      <c r="L294" t="n">
        <v>615.9299999999999</v>
      </c>
      <c r="M294" t="n">
        <v>7459.65</v>
      </c>
      <c r="N294" t="inlineStr">
        <is>
          <t>RON</t>
        </is>
      </c>
      <c r="O294" t="inlineStr">
        <is>
          <t>Ploiești</t>
        </is>
      </c>
      <c r="P294" s="12" t="n">
        <v>46159</v>
      </c>
      <c r="Q294">
        <f>IF(COUNTIF(tbl_Localitati[oras_oficial],[@oras])=0,"ORAS NEALINIAT",IF(XLOOKUP([@oras],tbl_Localitati[oras_oficial],tbl_Localitati[judet],"?")&lt;&gt;[@judet],"JUDET NECORESPUNZATOR",""))</f>
        <v/>
      </c>
      <c r="R294">
        <f>IF(XLOOKUP([@categorie],tbl_RegulriTVA[categorie],tbl_RegulriTVA[cota_legala],-1)&lt;&gt;[@cota_tva],"TVA GRESIT","")</f>
        <v/>
      </c>
      <c r="S294">
        <f>IF([@data_scadentei]&lt;[@data_factura],"SCADENTA INAINTEA FACTURII","")</f>
        <v/>
      </c>
      <c r="T294">
        <f>IF(NETWORKDAYS.INTL([@data_factura],[@data_factura],1,tbl_SarbatoriLegale[data])=0,"ZI NELUCRATOARE","")</f>
        <v/>
      </c>
      <c r="U294">
        <f>IF([@motiv_anomalie]="","OK","DE INVESTIGAT")</f>
        <v/>
      </c>
      <c r="V294">
        <f>TEXTJOIN("; ",TRUE,[@flag_oras],[@flag_tva],[@flag_scadenta],[@flag_zi])</f>
        <v/>
      </c>
    </row>
    <row r="295">
      <c r="A295" t="inlineStr">
        <is>
          <t>F-2025-00294</t>
        </is>
      </c>
      <c r="B295" s="12" t="n">
        <v>46342</v>
      </c>
      <c r="C295" t="inlineStr">
        <is>
          <t>SC DACTECH SOLUTIONS SRL</t>
        </is>
      </c>
      <c r="D295" t="inlineStr">
        <is>
          <t>Argeș</t>
        </is>
      </c>
      <c r="E295" t="inlineStr">
        <is>
          <t>PRD-009</t>
        </is>
      </c>
      <c r="F295" t="inlineStr">
        <is>
          <t>Laptop business 15"</t>
        </is>
      </c>
      <c r="G295" t="inlineStr">
        <is>
          <t>Hardware IT</t>
        </is>
      </c>
      <c r="H295" t="n">
        <v>100</v>
      </c>
      <c r="I295" t="n">
        <v>27.45</v>
      </c>
      <c r="J295" t="n">
        <v>2745</v>
      </c>
      <c r="K295" s="13" t="n">
        <v>0.19</v>
      </c>
      <c r="L295" t="n">
        <v>521.55</v>
      </c>
      <c r="M295" t="n">
        <v>3266.55</v>
      </c>
      <c r="N295" t="inlineStr">
        <is>
          <t>RON</t>
        </is>
      </c>
      <c r="O295" t="inlineStr">
        <is>
          <t>Pitești</t>
        </is>
      </c>
      <c r="P295" s="12" t="n">
        <v>46372</v>
      </c>
      <c r="Q295">
        <f>IF(COUNTIF(tbl_Localitati[oras_oficial],[@oras])=0,"ORAS NEALINIAT",IF(XLOOKUP([@oras],tbl_Localitati[oras_oficial],tbl_Localitati[judet],"?")&lt;&gt;[@judet],"JUDET NECORESPUNZATOR",""))</f>
        <v/>
      </c>
      <c r="R295">
        <f>IF(XLOOKUP([@categorie],tbl_RegulriTVA[categorie],tbl_RegulriTVA[cota_legala],-1)&lt;&gt;[@cota_tva],"TVA GRESIT","")</f>
        <v/>
      </c>
      <c r="S295">
        <f>IF([@data_scadentei]&lt;[@data_factura],"SCADENTA INAINTEA FACTURII","")</f>
        <v/>
      </c>
      <c r="T295">
        <f>IF(NETWORKDAYS.INTL([@data_factura],[@data_factura],1,tbl_SarbatoriLegale[data])=0,"ZI NELUCRATOARE","")</f>
        <v/>
      </c>
      <c r="U295">
        <f>IF([@motiv_anomalie]="","OK","DE INVESTIGAT")</f>
        <v/>
      </c>
      <c r="V295">
        <f>TEXTJOIN("; ",TRUE,[@flag_oras],[@flag_tva],[@flag_scadenta],[@flag_zi])</f>
        <v/>
      </c>
    </row>
    <row r="296">
      <c r="A296" t="inlineStr">
        <is>
          <t>F-2025-00295</t>
        </is>
      </c>
      <c r="B296" s="12" t="n">
        <v>46301</v>
      </c>
      <c r="C296" t="inlineStr">
        <is>
          <t>SC PROVITA MEDICAL SRL</t>
        </is>
      </c>
      <c r="D296" t="inlineStr">
        <is>
          <t>Mureș</t>
        </is>
      </c>
      <c r="E296" t="inlineStr">
        <is>
          <t>PRD-007</t>
        </is>
      </c>
      <c r="F296" t="inlineStr">
        <is>
          <t>Abonament suita cloud</t>
        </is>
      </c>
      <c r="G296" t="inlineStr">
        <is>
          <t>Licențe software</t>
        </is>
      </c>
      <c r="H296" t="n">
        <v>25</v>
      </c>
      <c r="I296" t="n">
        <v>174.39</v>
      </c>
      <c r="J296" t="n">
        <v>4359.75</v>
      </c>
      <c r="K296" s="13" t="n">
        <v>0.19</v>
      </c>
      <c r="L296" t="n">
        <v>828.35</v>
      </c>
      <c r="M296" t="n">
        <v>5188.1</v>
      </c>
      <c r="N296" t="inlineStr">
        <is>
          <t>RON</t>
        </is>
      </c>
      <c r="O296" t="inlineStr">
        <is>
          <t>Târgu Mureș</t>
        </is>
      </c>
      <c r="P296" s="12" t="n">
        <v>46331</v>
      </c>
      <c r="Q296">
        <f>IF(COUNTIF(tbl_Localitati[oras_oficial],[@oras])=0,"ORAS NEALINIAT",IF(XLOOKUP([@oras],tbl_Localitati[oras_oficial],tbl_Localitati[judet],"?")&lt;&gt;[@judet],"JUDET NECORESPUNZATOR",""))</f>
        <v/>
      </c>
      <c r="R296">
        <f>IF(XLOOKUP([@categorie],tbl_RegulriTVA[categorie],tbl_RegulriTVA[cota_legala],-1)&lt;&gt;[@cota_tva],"TVA GRESIT","")</f>
        <v/>
      </c>
      <c r="S296">
        <f>IF([@data_scadentei]&lt;[@data_factura],"SCADENTA INAINTEA FACTURII","")</f>
        <v/>
      </c>
      <c r="T296">
        <f>IF(NETWORKDAYS.INTL([@data_factura],[@data_factura],1,tbl_SarbatoriLegale[data])=0,"ZI NELUCRATOARE","")</f>
        <v/>
      </c>
      <c r="U296">
        <f>IF([@motiv_anomalie]="","OK","DE INVESTIGAT")</f>
        <v/>
      </c>
      <c r="V296">
        <f>TEXTJOIN("; ",TRUE,[@flag_oras],[@flag_tva],[@flag_scadenta],[@flag_zi])</f>
        <v/>
      </c>
    </row>
    <row r="297">
      <c r="A297" t="inlineStr">
        <is>
          <t>F-2025-00296</t>
        </is>
      </c>
      <c r="B297" s="12" t="n">
        <v>46272</v>
      </c>
      <c r="C297" t="inlineStr">
        <is>
          <t>SC METALPLAST INVEST SA</t>
        </is>
      </c>
      <c r="D297" t="inlineStr">
        <is>
          <t>Dolj</t>
        </is>
      </c>
      <c r="E297" t="inlineStr">
        <is>
          <t>PRD-003</t>
        </is>
      </c>
      <c r="F297" t="inlineStr">
        <is>
          <t>Tocator documente</t>
        </is>
      </c>
      <c r="G297" t="inlineStr">
        <is>
          <t>Echipamente birou</t>
        </is>
      </c>
      <c r="H297" t="n">
        <v>2</v>
      </c>
      <c r="I297" t="n">
        <v>4386.26</v>
      </c>
      <c r="J297" t="n">
        <v>8772.52</v>
      </c>
      <c r="K297" s="13" t="n">
        <v>0.19</v>
      </c>
      <c r="L297" t="n">
        <v>1666.78</v>
      </c>
      <c r="M297" t="n">
        <v>10439.3</v>
      </c>
      <c r="N297" t="inlineStr">
        <is>
          <t>RON</t>
        </is>
      </c>
      <c r="O297" t="inlineStr">
        <is>
          <t>Turda</t>
        </is>
      </c>
      <c r="P297" s="12" t="n">
        <v>46332</v>
      </c>
      <c r="Q297">
        <f>IF(COUNTIF(tbl_Localitati[oras_oficial],[@oras])=0,"ORAS NEALINIAT",IF(XLOOKUP([@oras],tbl_Localitati[oras_oficial],tbl_Localitati[judet],"?")&lt;&gt;[@judet],"JUDET NECORESPUNZATOR",""))</f>
        <v/>
      </c>
      <c r="R297">
        <f>IF(XLOOKUP([@categorie],tbl_RegulriTVA[categorie],tbl_RegulriTVA[cota_legala],-1)&lt;&gt;[@cota_tva],"TVA GRESIT","")</f>
        <v/>
      </c>
      <c r="S297">
        <f>IF([@data_scadentei]&lt;[@data_factura],"SCADENTA INAINTEA FACTURII","")</f>
        <v/>
      </c>
      <c r="T297">
        <f>IF(NETWORKDAYS.INTL([@data_factura],[@data_factura],1,tbl_SarbatoriLegale[data])=0,"ZI NELUCRATOARE","")</f>
        <v/>
      </c>
      <c r="U297">
        <f>IF([@motiv_anomalie]="","OK","DE INVESTIGAT")</f>
        <v/>
      </c>
      <c r="V297">
        <f>TEXTJOIN("; ",TRUE,[@flag_oras],[@flag_tva],[@flag_scadenta],[@flag_zi])</f>
        <v/>
      </c>
    </row>
    <row r="298">
      <c r="A298" t="inlineStr">
        <is>
          <t>F-2025-00297</t>
        </is>
      </c>
      <c r="B298" s="12" t="n">
        <v>46384</v>
      </c>
      <c r="C298" t="inlineStr">
        <is>
          <t>SC PROVITA MEDICAL SRL</t>
        </is>
      </c>
      <c r="D298" t="inlineStr">
        <is>
          <t>Mureș</t>
        </is>
      </c>
      <c r="E298" t="inlineStr">
        <is>
          <t>PRD-010</t>
        </is>
      </c>
      <c r="F298" t="inlineStr">
        <is>
          <t>Tocator documente</t>
        </is>
      </c>
      <c r="G298" t="inlineStr">
        <is>
          <t>Echipamente birou</t>
        </is>
      </c>
      <c r="H298" t="n">
        <v>10</v>
      </c>
      <c r="I298" t="n">
        <v>355.27</v>
      </c>
      <c r="J298" t="n">
        <v>3552.7</v>
      </c>
      <c r="K298" s="13" t="n">
        <v>0.19</v>
      </c>
      <c r="L298" t="n">
        <v>675.01</v>
      </c>
      <c r="M298" t="n">
        <v>4227.71</v>
      </c>
      <c r="N298" t="inlineStr">
        <is>
          <t>RON</t>
        </is>
      </c>
      <c r="O298" t="inlineStr">
        <is>
          <t>Târgu Mureș</t>
        </is>
      </c>
      <c r="P298" s="12" t="n">
        <v>46399</v>
      </c>
      <c r="Q298">
        <f>IF(COUNTIF(tbl_Localitati[oras_oficial],[@oras])=0,"ORAS NEALINIAT",IF(XLOOKUP([@oras],tbl_Localitati[oras_oficial],tbl_Localitati[judet],"?")&lt;&gt;[@judet],"JUDET NECORESPUNZATOR",""))</f>
        <v/>
      </c>
      <c r="R298">
        <f>IF(XLOOKUP([@categorie],tbl_RegulriTVA[categorie],tbl_RegulriTVA[cota_legala],-1)&lt;&gt;[@cota_tva],"TVA GRESIT","")</f>
        <v/>
      </c>
      <c r="S298">
        <f>IF([@data_scadentei]&lt;[@data_factura],"SCADENTA INAINTEA FACTURII","")</f>
        <v/>
      </c>
      <c r="T298">
        <f>IF(NETWORKDAYS.INTL([@data_factura],[@data_factura],1,tbl_SarbatoriLegale[data])=0,"ZI NELUCRATOARE","")</f>
        <v/>
      </c>
      <c r="U298">
        <f>IF([@motiv_anomalie]="","OK","DE INVESTIGAT")</f>
        <v/>
      </c>
      <c r="V298">
        <f>TEXTJOIN("; ",TRUE,[@flag_oras],[@flag_tva],[@flag_scadenta],[@flag_zi])</f>
        <v/>
      </c>
    </row>
    <row r="299">
      <c r="A299" t="inlineStr">
        <is>
          <t>F-2025-00298</t>
        </is>
      </c>
      <c r="B299" s="12" t="n">
        <v>46385</v>
      </c>
      <c r="C299" t="inlineStr">
        <is>
          <t>SC METALPLAST INVEST SA</t>
        </is>
      </c>
      <c r="D299" t="inlineStr">
        <is>
          <t>Cluj</t>
        </is>
      </c>
      <c r="E299" t="inlineStr">
        <is>
          <t>PRD-009</t>
        </is>
      </c>
      <c r="F299" t="inlineStr">
        <is>
          <t>Videoproiector sala</t>
        </is>
      </c>
      <c r="G299" t="inlineStr">
        <is>
          <t>Echipamente birou</t>
        </is>
      </c>
      <c r="H299" t="n">
        <v>10</v>
      </c>
      <c r="I299" t="n">
        <v>29.11</v>
      </c>
      <c r="J299" t="n">
        <v>291.1</v>
      </c>
      <c r="K299" s="13" t="n">
        <v>0.19</v>
      </c>
      <c r="L299" t="n">
        <v>55.31</v>
      </c>
      <c r="M299" t="n">
        <v>346.41</v>
      </c>
      <c r="N299" t="inlineStr">
        <is>
          <t>RON</t>
        </is>
      </c>
      <c r="O299" t="inlineStr">
        <is>
          <t>Turda</t>
        </is>
      </c>
      <c r="P299" s="12" t="n">
        <v>46430</v>
      </c>
      <c r="Q299">
        <f>IF(COUNTIF(tbl_Localitati[oras_oficial],[@oras])=0,"ORAS NEALINIAT",IF(XLOOKUP([@oras],tbl_Localitati[oras_oficial],tbl_Localitati[judet],"?")&lt;&gt;[@judet],"JUDET NECORESPUNZATOR",""))</f>
        <v/>
      </c>
      <c r="R299">
        <f>IF(XLOOKUP([@categorie],tbl_RegulriTVA[categorie],tbl_RegulriTVA[cota_legala],-1)&lt;&gt;[@cota_tva],"TVA GRESIT","")</f>
        <v/>
      </c>
      <c r="S299">
        <f>IF([@data_scadentei]&lt;[@data_factura],"SCADENTA INAINTEA FACTURII","")</f>
        <v/>
      </c>
      <c r="T299">
        <f>IF(NETWORKDAYS.INTL([@data_factura],[@data_factura],1,tbl_SarbatoriLegale[data])=0,"ZI NELUCRATOARE","")</f>
        <v/>
      </c>
      <c r="U299">
        <f>IF([@motiv_anomalie]="","OK","DE INVESTIGAT")</f>
        <v/>
      </c>
      <c r="V299">
        <f>TEXTJOIN("; ",TRUE,[@flag_oras],[@flag_tva],[@flag_scadenta],[@flag_zi])</f>
        <v/>
      </c>
    </row>
    <row r="300">
      <c r="A300" t="inlineStr">
        <is>
          <t>F-2025-00299</t>
        </is>
      </c>
      <c r="B300" s="12" t="n">
        <v>46346</v>
      </c>
      <c r="C300" t="inlineStr">
        <is>
          <t>SC ZENITH AUTO SRL</t>
        </is>
      </c>
      <c r="D300" t="inlineStr">
        <is>
          <t>București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 IT</t>
        </is>
      </c>
      <c r="H300" t="n">
        <v>5</v>
      </c>
      <c r="I300" t="n">
        <v>2455.24</v>
      </c>
      <c r="J300" t="n">
        <v>12276.2</v>
      </c>
      <c r="K300" s="13" t="n">
        <v>0.19</v>
      </c>
      <c r="L300" t="n">
        <v>2332.48</v>
      </c>
      <c r="M300" t="n">
        <v>14608.68</v>
      </c>
      <c r="N300" t="inlineStr">
        <is>
          <t>RON</t>
        </is>
      </c>
      <c r="O300" t="inlineStr">
        <is>
          <t>București</t>
        </is>
      </c>
      <c r="P300" s="12" t="n">
        <v>46376</v>
      </c>
      <c r="Q300">
        <f>IF(COUNTIF(tbl_Localitati[oras_oficial],[@oras])=0,"ORAS NEALINIAT",IF(XLOOKUP([@oras],tbl_Localitati[oras_oficial],tbl_Localitati[judet],"?")&lt;&gt;[@judet],"JUDET NECORESPUNZATOR",""))</f>
        <v/>
      </c>
      <c r="R300">
        <f>IF(XLOOKUP([@categorie],tbl_RegulriTVA[categorie],tbl_RegulriTVA[cota_legala],-1)&lt;&gt;[@cota_tva],"TVA GRESIT","")</f>
        <v/>
      </c>
      <c r="S300">
        <f>IF([@data_scadentei]&lt;[@data_factura],"SCADENTA INAINTEA FACTURII","")</f>
        <v/>
      </c>
      <c r="T300">
        <f>IF(NETWORKDAYS.INTL([@data_factura],[@data_factura],1,tbl_SarbatoriLegale[data])=0,"ZI NELUCRATOARE","")</f>
        <v/>
      </c>
      <c r="U300">
        <f>IF([@motiv_anomalie]="","OK","DE INVESTIGAT")</f>
        <v/>
      </c>
      <c r="V300">
        <f>TEXTJOIN("; ",TRUE,[@flag_oras],[@flag_tva],[@flag_scadenta],[@flag_zi])</f>
        <v/>
      </c>
    </row>
    <row r="301">
      <c r="A301" t="inlineStr">
        <is>
          <t>F-2025-00300</t>
        </is>
      </c>
      <c r="B301" s="12" t="n">
        <v>46364</v>
      </c>
      <c r="C301" t="inlineStr">
        <is>
          <t>SC DACTECH SOLUTIONS SRL</t>
        </is>
      </c>
      <c r="D301" t="inlineStr">
        <is>
          <t>Argeș</t>
        </is>
      </c>
      <c r="E301" t="inlineStr">
        <is>
          <t>PRD-002</t>
        </is>
      </c>
      <c r="F301" t="inlineStr">
        <is>
          <t>Consultanta implementare IT</t>
        </is>
      </c>
      <c r="G301" t="inlineStr">
        <is>
          <t>Servicii consultanță</t>
        </is>
      </c>
      <c r="H301" t="n">
        <v>3</v>
      </c>
      <c r="I301" t="n">
        <v>1090.14</v>
      </c>
      <c r="J301" t="n">
        <v>3270.42</v>
      </c>
      <c r="K301" s="13" t="n">
        <v>0.19</v>
      </c>
      <c r="L301" t="n">
        <v>621.38</v>
      </c>
      <c r="M301" t="n">
        <v>3891.8</v>
      </c>
      <c r="N301" t="inlineStr">
        <is>
          <t>RON</t>
        </is>
      </c>
      <c r="O301" t="inlineStr">
        <is>
          <t>Pitești</t>
        </is>
      </c>
      <c r="P301" s="12" t="n">
        <v>46394</v>
      </c>
      <c r="Q301">
        <f>IF(COUNTIF(tbl_Localitati[oras_oficial],[@oras])=0,"ORAS NEALINIAT",IF(XLOOKUP([@oras],tbl_Localitati[oras_oficial],tbl_Localitati[judet],"?")&lt;&gt;[@judet],"JUDET NECORESPUNZATOR",""))</f>
        <v/>
      </c>
      <c r="R301">
        <f>IF(XLOOKUP([@categorie],tbl_RegulriTVA[categorie],tbl_RegulriTVA[cota_legala],-1)&lt;&gt;[@cota_tva],"TVA GRESIT","")</f>
        <v/>
      </c>
      <c r="S301">
        <f>IF([@data_scadentei]&lt;[@data_factura],"SCADENTA INAINTEA FACTURII","")</f>
        <v/>
      </c>
      <c r="T301">
        <f>IF(NETWORKDAYS.INTL([@data_factura],[@data_factura],1,tbl_SarbatoriLegale[data])=0,"ZI NELUCRATOARE","")</f>
        <v/>
      </c>
      <c r="U301">
        <f>IF([@motiv_anomalie]="","OK","DE INVESTIGAT")</f>
        <v/>
      </c>
      <c r="V301">
        <f>TEXTJOIN("; ",TRUE,[@flag_oras],[@flag_tva],[@flag_scadenta],[@flag_zi])</f>
        <v/>
      </c>
    </row>
    <row r="302">
      <c r="A302" t="inlineStr">
        <is>
          <t>F-2025-00301</t>
        </is>
      </c>
      <c r="B302" s="12" t="n">
        <v>46079</v>
      </c>
      <c r="C302" t="inlineStr">
        <is>
          <t>SC UNIFOOD DISTRIBUTION SA</t>
        </is>
      </c>
      <c r="D302" t="inlineStr">
        <is>
          <t>Sibiu</t>
        </is>
      </c>
      <c r="E302" t="inlineStr">
        <is>
          <t>PRD-011</t>
        </is>
      </c>
      <c r="F302" t="inlineStr">
        <is>
          <t>Dezinfectant maini 5L</t>
        </is>
      </c>
      <c r="G302" t="inlineStr">
        <is>
          <t>Produse farmaceutice</t>
        </is>
      </c>
      <c r="H302" t="n">
        <v>10</v>
      </c>
      <c r="I302" t="n">
        <v>45.82</v>
      </c>
      <c r="J302" t="n">
        <v>458.2</v>
      </c>
      <c r="K302" s="13" t="n">
        <v>0.09</v>
      </c>
      <c r="L302" t="n">
        <v>41.24</v>
      </c>
      <c r="M302" t="n">
        <v>499.44</v>
      </c>
      <c r="N302" t="inlineStr">
        <is>
          <t>RON</t>
        </is>
      </c>
      <c r="O302" t="inlineStr">
        <is>
          <t>Mediaș</t>
        </is>
      </c>
      <c r="P302" s="12" t="n">
        <v>46109</v>
      </c>
      <c r="Q302">
        <f>IF(COUNTIF(tbl_Localitati[oras_oficial],[@oras])=0,"ORAS NEALINIAT",IF(XLOOKUP([@oras],tbl_Localitati[oras_oficial],tbl_Localitati[judet],"?")&lt;&gt;[@judet],"JUDET NECORESPUNZATOR",""))</f>
        <v/>
      </c>
      <c r="R302">
        <f>IF(XLOOKUP([@categorie],tbl_RegulriTVA[categorie],tbl_RegulriTVA[cota_legala],-1)&lt;&gt;[@cota_tva],"TVA GRESIT","")</f>
        <v/>
      </c>
      <c r="S302">
        <f>IF([@data_scadentei]&lt;[@data_factura],"SCADENTA INAINTEA FACTURII","")</f>
        <v/>
      </c>
      <c r="T302">
        <f>IF(NETWORKDAYS.INTL([@data_factura],[@data_factura],1,tbl_SarbatoriLegale[data])=0,"ZI NELUCRATOARE","")</f>
        <v/>
      </c>
      <c r="U302">
        <f>IF([@motiv_anomalie]="","OK","DE INVESTIGAT")</f>
        <v/>
      </c>
      <c r="V302">
        <f>TEXTJOIN("; ",TRUE,[@flag_oras],[@flag_tva],[@flag_scadenta],[@flag_zi])</f>
        <v/>
      </c>
    </row>
    <row r="303">
      <c r="A303" t="inlineStr">
        <is>
          <t>F-2025-00302</t>
        </is>
      </c>
      <c r="B303" s="12" t="n">
        <v>46203</v>
      </c>
      <c r="C303" t="inlineStr">
        <is>
          <t>SC DACTECH SOLUTIONS SRL</t>
        </is>
      </c>
      <c r="D303" t="inlineStr">
        <is>
          <t>Argeș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 IT</t>
        </is>
      </c>
      <c r="H303" t="n">
        <v>5</v>
      </c>
      <c r="I303" t="n">
        <v>1051.21</v>
      </c>
      <c r="J303" t="n">
        <v>5256.05</v>
      </c>
      <c r="K303" s="13" t="n">
        <v>0.19</v>
      </c>
      <c r="L303" t="n">
        <v>998.65</v>
      </c>
      <c r="M303" t="n">
        <v>6254.7</v>
      </c>
      <c r="N303" t="inlineStr">
        <is>
          <t>RON</t>
        </is>
      </c>
      <c r="O303" t="inlineStr">
        <is>
          <t>Pitești</t>
        </is>
      </c>
      <c r="P303" s="12" t="n">
        <v>46233</v>
      </c>
      <c r="Q303">
        <f>IF(COUNTIF(tbl_Localitati[oras_oficial],[@oras])=0,"ORAS NEALINIAT",IF(XLOOKUP([@oras],tbl_Localitati[oras_oficial],tbl_Localitati[judet],"?")&lt;&gt;[@judet],"JUDET NECORESPUNZATOR",""))</f>
        <v/>
      </c>
      <c r="R303">
        <f>IF(XLOOKUP([@categorie],tbl_RegulriTVA[categorie],tbl_RegulriTVA[cota_legala],-1)&lt;&gt;[@cota_tva],"TVA GRESIT","")</f>
        <v/>
      </c>
      <c r="S303">
        <f>IF([@data_scadentei]&lt;[@data_factura],"SCADENTA INAINTEA FACTURII","")</f>
        <v/>
      </c>
      <c r="T303">
        <f>IF(NETWORKDAYS.INTL([@data_factura],[@data_factura],1,tbl_SarbatoriLegale[data])=0,"ZI NELUCRATOARE","")</f>
        <v/>
      </c>
      <c r="U303">
        <f>IF([@motiv_anomalie]="","OK","DE INVESTIGAT")</f>
        <v/>
      </c>
      <c r="V303">
        <f>TEXTJOIN("; ",TRUE,[@flag_oras],[@flag_tva],[@flag_scadenta],[@flag_zi])</f>
        <v/>
      </c>
    </row>
    <row r="304">
      <c r="A304" t="inlineStr">
        <is>
          <t>F-2025-00303</t>
        </is>
      </c>
      <c r="B304" s="12" t="n">
        <v>46282</v>
      </c>
      <c r="C304" t="inlineStr">
        <is>
          <t>SC METALPLAST INVEST SA</t>
        </is>
      </c>
      <c r="D304" t="inlineStr">
        <is>
          <t>Cluj</t>
        </is>
      </c>
      <c r="E304" t="inlineStr">
        <is>
          <t>PRD-006</t>
        </is>
      </c>
      <c r="F304" t="inlineStr">
        <is>
          <t>Cafea boabe 1kg</t>
        </is>
      </c>
      <c r="G304" t="inlineStr">
        <is>
          <t>Alimente</t>
        </is>
      </c>
      <c r="H304" t="n">
        <v>1</v>
      </c>
      <c r="I304" t="n">
        <v>719.22</v>
      </c>
      <c r="J304" t="n">
        <v>719.22</v>
      </c>
      <c r="K304" s="13" t="n">
        <v>0.09</v>
      </c>
      <c r="L304" t="n">
        <v>64.73</v>
      </c>
      <c r="M304" t="n">
        <v>783.95</v>
      </c>
      <c r="N304" t="inlineStr">
        <is>
          <t>RON</t>
        </is>
      </c>
      <c r="O304" t="inlineStr">
        <is>
          <t>Turda</t>
        </is>
      </c>
      <c r="P304" s="12" t="n">
        <v>46312</v>
      </c>
      <c r="Q304">
        <f>IF(COUNTIF(tbl_Localitati[oras_oficial],[@oras])=0,"ORAS NEALINIAT",IF(XLOOKUP([@oras],tbl_Localitati[oras_oficial],tbl_Localitati[judet],"?")&lt;&gt;[@judet],"JUDET NECORESPUNZATOR",""))</f>
        <v/>
      </c>
      <c r="R304">
        <f>IF(XLOOKUP([@categorie],tbl_RegulriTVA[categorie],tbl_RegulriTVA[cota_legala],-1)&lt;&gt;[@cota_tva],"TVA GRESIT","")</f>
        <v/>
      </c>
      <c r="S304">
        <f>IF([@data_scadentei]&lt;[@data_factura],"SCADENTA INAINTEA FACTURII","")</f>
        <v/>
      </c>
      <c r="T304">
        <f>IF(NETWORKDAYS.INTL([@data_factura],[@data_factura],1,tbl_SarbatoriLegale[data])=0,"ZI NELUCRATOARE","")</f>
        <v/>
      </c>
      <c r="U304">
        <f>IF([@motiv_anomalie]="","OK","DE INVESTIGAT")</f>
        <v/>
      </c>
      <c r="V304">
        <f>TEXTJOIN("; ",TRUE,[@flag_oras],[@flag_tva],[@flag_scadenta],[@flag_zi])</f>
        <v/>
      </c>
    </row>
    <row r="305">
      <c r="A305" t="inlineStr">
        <is>
          <t>F-2025-00304</t>
        </is>
      </c>
      <c r="B305" s="12" t="n">
        <v>46339</v>
      </c>
      <c r="C305" t="inlineStr">
        <is>
          <t>SC SOLARIS ENERGY SRL</t>
        </is>
      </c>
      <c r="D305" t="inlineStr">
        <is>
          <t>Prahova</t>
        </is>
      </c>
      <c r="E305" t="inlineStr">
        <is>
          <t>PRD-007</t>
        </is>
      </c>
      <c r="F305" t="inlineStr">
        <is>
          <t>Abonament suita cloud</t>
        </is>
      </c>
      <c r="G305" t="inlineStr">
        <is>
          <t>Licențe software</t>
        </is>
      </c>
      <c r="H305" t="n">
        <v>5</v>
      </c>
      <c r="I305" t="n">
        <v>177.21</v>
      </c>
      <c r="J305" t="n">
        <v>886.05</v>
      </c>
      <c r="K305" s="13" t="n">
        <v>0.19</v>
      </c>
      <c r="L305" t="n">
        <v>168.35</v>
      </c>
      <c r="M305" t="n">
        <v>1054.4</v>
      </c>
      <c r="N305" t="inlineStr">
        <is>
          <t>RON</t>
        </is>
      </c>
      <c r="O305" t="inlineStr">
        <is>
          <t>Câmpina</t>
        </is>
      </c>
      <c r="P305" s="12" t="n">
        <v>46399</v>
      </c>
      <c r="Q305">
        <f>IF(COUNTIF(tbl_Localitati[oras_oficial],[@oras])=0,"ORAS NEALINIAT",IF(XLOOKUP([@oras],tbl_Localitati[oras_oficial],tbl_Localitati[judet],"?")&lt;&gt;[@judet],"JUDET NECORESPUNZATOR",""))</f>
        <v/>
      </c>
      <c r="R305">
        <f>IF(XLOOKUP([@categorie],tbl_RegulriTVA[categorie],tbl_RegulriTVA[cota_legala],-1)&lt;&gt;[@cota_tva],"TVA GRESIT","")</f>
        <v/>
      </c>
      <c r="S305">
        <f>IF([@data_scadentei]&lt;[@data_factura],"SCADENTA INAINTEA FACTURII","")</f>
        <v/>
      </c>
      <c r="T305">
        <f>IF(NETWORKDAYS.INTL([@data_factura],[@data_factura],1,tbl_SarbatoriLegale[data])=0,"ZI NELUCRATOARE","")</f>
        <v/>
      </c>
      <c r="U305">
        <f>IF([@motiv_anomalie]="","OK","DE INVESTIGAT")</f>
        <v/>
      </c>
      <c r="V305">
        <f>TEXTJOIN("; ",TRUE,[@flag_oras],[@flag_tva],[@flag_scadenta],[@flag_zi])</f>
        <v/>
      </c>
    </row>
    <row r="306">
      <c r="A306" t="inlineStr">
        <is>
          <t>F-2025-00305</t>
        </is>
      </c>
      <c r="B306" s="12" t="n">
        <v>46259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Abonament suita cloud</t>
        </is>
      </c>
      <c r="G306" t="inlineStr">
        <is>
          <t>Licențe software</t>
        </is>
      </c>
      <c r="H306" t="n">
        <v>3</v>
      </c>
      <c r="I306" t="n">
        <v>262</v>
      </c>
      <c r="J306" t="n">
        <v>786</v>
      </c>
      <c r="K306" s="13" t="n">
        <v>0.19</v>
      </c>
      <c r="L306" t="n">
        <v>149.34</v>
      </c>
      <c r="M306" t="n">
        <v>935.34</v>
      </c>
      <c r="N306" t="inlineStr">
        <is>
          <t>RON</t>
        </is>
      </c>
      <c r="O306" t="inlineStr">
        <is>
          <t>Sibiu</t>
        </is>
      </c>
      <c r="P306" s="12" t="n">
        <v>46319</v>
      </c>
      <c r="Q306">
        <f>IF(COUNTIF(tbl_Localitati[oras_oficial],[@oras])=0,"ORAS NEALINIAT",IF(XLOOKUP([@oras],tbl_Localitati[oras_oficial],tbl_Localitati[judet],"?")&lt;&gt;[@judet],"JUDET NECORESPUNZATOR",""))</f>
        <v/>
      </c>
      <c r="R306">
        <f>IF(XLOOKUP([@categorie],tbl_RegulriTVA[categorie],tbl_RegulriTVA[cota_legala],-1)&lt;&gt;[@cota_tva],"TVA GRESIT","")</f>
        <v/>
      </c>
      <c r="S306">
        <f>IF([@data_scadentei]&lt;[@data_factura],"SCADENTA INAINTEA FACTURII","")</f>
        <v/>
      </c>
      <c r="T306">
        <f>IF(NETWORKDAYS.INTL([@data_factura],[@data_factura],1,tbl_SarbatoriLegale[data])=0,"ZI NELUCRATOARE","")</f>
        <v/>
      </c>
      <c r="U306">
        <f>IF([@motiv_anomalie]="","OK","DE INVESTIGAT")</f>
        <v/>
      </c>
      <c r="V306">
        <f>TEXTJOIN("; ",TRUE,[@flag_oras],[@flag_tva],[@flag_scadenta],[@flag_zi])</f>
        <v/>
      </c>
    </row>
    <row r="307">
      <c r="A307" t="inlineStr">
        <is>
          <t>F-2025-00306</t>
        </is>
      </c>
      <c r="B307" s="12" t="n">
        <v>46042</v>
      </c>
      <c r="C307" t="inlineStr">
        <is>
          <t>SC METALPLAST INVEST SA</t>
        </is>
      </c>
      <c r="D307" t="inlineStr">
        <is>
          <t>Cluj</t>
        </is>
      </c>
      <c r="E307" t="inlineStr">
        <is>
          <t>PRD-004</t>
        </is>
      </c>
      <c r="F307" t="inlineStr">
        <is>
          <t>Consultanta implementare IT</t>
        </is>
      </c>
      <c r="G307" t="inlineStr">
        <is>
          <t>Servicii consultanță</t>
        </is>
      </c>
      <c r="H307" t="n">
        <v>1</v>
      </c>
      <c r="I307" t="n">
        <v>937.09</v>
      </c>
      <c r="J307" t="n">
        <v>937.09</v>
      </c>
      <c r="K307" s="13" t="n">
        <v>0.19</v>
      </c>
      <c r="L307" t="n">
        <v>178.05</v>
      </c>
      <c r="M307" t="n">
        <v>1115.14</v>
      </c>
      <c r="N307" t="inlineStr">
        <is>
          <t>RON</t>
        </is>
      </c>
      <c r="O307" t="inlineStr">
        <is>
          <t>Turda</t>
        </is>
      </c>
      <c r="P307" s="12" t="n">
        <v>46087</v>
      </c>
      <c r="Q307">
        <f>IF(COUNTIF(tbl_Localitati[oras_oficial],[@oras])=0,"ORAS NEALINIAT",IF(XLOOKUP([@oras],tbl_Localitati[oras_oficial],tbl_Localitati[judet],"?")&lt;&gt;[@judet],"JUDET NECORESPUNZATOR",""))</f>
        <v/>
      </c>
      <c r="R307">
        <f>IF(XLOOKUP([@categorie],tbl_RegulriTVA[categorie],tbl_RegulriTVA[cota_legala],-1)&lt;&gt;[@cota_tva],"TVA GRESIT","")</f>
        <v/>
      </c>
      <c r="S307">
        <f>IF([@data_scadentei]&lt;[@data_factura],"SCADENTA INAINTEA FACTURII","")</f>
        <v/>
      </c>
      <c r="T307">
        <f>IF(NETWORKDAYS.INTL([@data_factura],[@data_factura],1,tbl_SarbatoriLegale[data])=0,"ZI NELUCRATOARE","")</f>
        <v/>
      </c>
      <c r="U307">
        <f>IF([@motiv_anomalie]="","OK","DE INVESTIGAT")</f>
        <v/>
      </c>
      <c r="V307">
        <f>TEXTJOIN("; ",TRUE,[@flag_oras],[@flag_tva],[@flag_scadenta],[@flag_zi])</f>
        <v/>
      </c>
    </row>
    <row r="308">
      <c r="A308" t="inlineStr">
        <is>
          <t>F-2025-00307</t>
        </is>
      </c>
      <c r="B308" s="12" t="n">
        <v>46260</v>
      </c>
      <c r="C308" t="inlineStr">
        <is>
          <t>SC ELECTROBUILD SRL</t>
        </is>
      </c>
      <c r="D308" t="inlineStr">
        <is>
          <t>Bacău</t>
        </is>
      </c>
      <c r="E308" t="inlineStr">
        <is>
          <t>PRD-007</t>
        </is>
      </c>
      <c r="F308" t="inlineStr">
        <is>
          <t>Licenta ERP contabilitate</t>
        </is>
      </c>
      <c r="G308" t="inlineStr">
        <is>
          <t>Licențe software</t>
        </is>
      </c>
      <c r="H308" t="n">
        <v>5</v>
      </c>
      <c r="I308" t="n">
        <v>174.03</v>
      </c>
      <c r="J308" t="n">
        <v>870.15</v>
      </c>
      <c r="K308" s="13" t="n">
        <v>0.19</v>
      </c>
      <c r="L308" t="n">
        <v>165.33</v>
      </c>
      <c r="M308" t="n">
        <v>1035.48</v>
      </c>
      <c r="N308" t="inlineStr">
        <is>
          <t>RON</t>
        </is>
      </c>
      <c r="O308" t="inlineStr">
        <is>
          <t>Bacău</t>
        </is>
      </c>
      <c r="P308" s="12" t="n">
        <v>46320</v>
      </c>
      <c r="Q308">
        <f>IF(COUNTIF(tbl_Localitati[oras_oficial],[@oras])=0,"ORAS NEALINIAT",IF(XLOOKUP([@oras],tbl_Localitati[oras_oficial],tbl_Localitati[judet],"?")&lt;&gt;[@judet],"JUDET NECORESPUNZATOR",""))</f>
        <v/>
      </c>
      <c r="R308">
        <f>IF(XLOOKUP([@categorie],tbl_RegulriTVA[categorie],tbl_RegulriTVA[cota_legala],-1)&lt;&gt;[@cota_tva],"TVA GRESIT","")</f>
        <v/>
      </c>
      <c r="S308">
        <f>IF([@data_scadentei]&lt;[@data_factura],"SCADENTA INAINTEA FACTURII","")</f>
        <v/>
      </c>
      <c r="T308">
        <f>IF(NETWORKDAYS.INTL([@data_factura],[@data_factura],1,tbl_SarbatoriLegale[data])=0,"ZI NELUCRATOARE","")</f>
        <v/>
      </c>
      <c r="U308">
        <f>IF([@motiv_anomalie]="","OK","DE INVESTIGAT")</f>
        <v/>
      </c>
      <c r="V308">
        <f>TEXTJOIN("; ",TRUE,[@flag_oras],[@flag_tva],[@flag_scadenta],[@flag_zi])</f>
        <v/>
      </c>
    </row>
    <row r="309">
      <c r="A309" t="inlineStr">
        <is>
          <t>F-2025-00308</t>
        </is>
      </c>
      <c r="B309" s="12" t="n">
        <v>46302</v>
      </c>
      <c r="C309" t="inlineStr">
        <is>
          <t>SC DACTECH SOLUTIONS SRL</t>
        </is>
      </c>
      <c r="D309" t="inlineStr">
        <is>
          <t>Argeș</t>
        </is>
      </c>
      <c r="E309" t="inlineStr">
        <is>
          <t>PRD-011</t>
        </is>
      </c>
      <c r="F309" t="inlineStr">
        <is>
          <t>Server rack 1U</t>
        </is>
      </c>
      <c r="G309" t="inlineStr">
        <is>
          <t>Hardware IT</t>
        </is>
      </c>
      <c r="H309" t="n">
        <v>100</v>
      </c>
      <c r="I309" t="n">
        <v>44.06</v>
      </c>
      <c r="J309" t="n">
        <v>4406</v>
      </c>
      <c r="K309" s="13" t="n">
        <v>0.19</v>
      </c>
      <c r="L309" t="n">
        <v>837.14</v>
      </c>
      <c r="M309" t="n">
        <v>5243.14</v>
      </c>
      <c r="N309" t="inlineStr">
        <is>
          <t>RON</t>
        </is>
      </c>
      <c r="O309" t="inlineStr">
        <is>
          <t>Pitești</t>
        </is>
      </c>
      <c r="P309" s="12" t="n">
        <v>46317</v>
      </c>
      <c r="Q309">
        <f>IF(COUNTIF(tbl_Localitati[oras_oficial],[@oras])=0,"ORAS NEALINIAT",IF(XLOOKUP([@oras],tbl_Localitati[oras_oficial],tbl_Localitati[judet],"?")&lt;&gt;[@judet],"JUDET NECORESPUNZATOR",""))</f>
        <v/>
      </c>
      <c r="R309">
        <f>IF(XLOOKUP([@categorie],tbl_RegulriTVA[categorie],tbl_RegulriTVA[cota_legala],-1)&lt;&gt;[@cota_tva],"TVA GRESIT","")</f>
        <v/>
      </c>
      <c r="S309">
        <f>IF([@data_scadentei]&lt;[@data_factura],"SCADENTA INAINTEA FACTURII","")</f>
        <v/>
      </c>
      <c r="T309">
        <f>IF(NETWORKDAYS.INTL([@data_factura],[@data_factura],1,tbl_SarbatoriLegale[data])=0,"ZI NELUCRATOARE","")</f>
        <v/>
      </c>
      <c r="U309">
        <f>IF([@motiv_anomalie]="","OK","DE INVESTIGAT")</f>
        <v/>
      </c>
      <c r="V309">
        <f>TEXTJOIN("; ",TRUE,[@flag_oras],[@flag_tva],[@flag_scadenta],[@flag_zi])</f>
        <v/>
      </c>
    </row>
    <row r="310">
      <c r="A310" t="inlineStr">
        <is>
          <t>F-2025-00309</t>
        </is>
      </c>
      <c r="B310" s="12" t="n">
        <v>46307</v>
      </c>
      <c r="C310" t="inlineStr">
        <is>
          <t>SC NORDIS DISTRIBUTIE SRL</t>
        </is>
      </c>
      <c r="D310" t="inlineStr">
        <is>
          <t>Constanța</t>
        </is>
      </c>
      <c r="E310" t="inlineStr">
        <is>
          <t>PRD-011</t>
        </is>
      </c>
      <c r="F310" t="inlineStr">
        <is>
          <t>Laptop business 15"</t>
        </is>
      </c>
      <c r="G310" t="inlineStr">
        <is>
          <t>Hardware IT</t>
        </is>
      </c>
      <c r="H310" t="n">
        <v>50</v>
      </c>
      <c r="I310" t="n">
        <v>44.86</v>
      </c>
      <c r="J310" t="n">
        <v>2243</v>
      </c>
      <c r="K310" s="13" t="n">
        <v>0.19</v>
      </c>
      <c r="L310" t="n">
        <v>426.17</v>
      </c>
      <c r="M310" t="n">
        <v>2669.17</v>
      </c>
      <c r="N310" t="inlineStr">
        <is>
          <t>RON</t>
        </is>
      </c>
      <c r="O310" t="inlineStr">
        <is>
          <t>Mangalia</t>
        </is>
      </c>
      <c r="P310" s="12" t="n">
        <v>46367</v>
      </c>
      <c r="Q310">
        <f>IF(COUNTIF(tbl_Localitati[oras_oficial],[@oras])=0,"ORAS NEALINIAT",IF(XLOOKUP([@oras],tbl_Localitati[oras_oficial],tbl_Localitati[judet],"?")&lt;&gt;[@judet],"JUDET NECORESPUNZATOR",""))</f>
        <v/>
      </c>
      <c r="R310">
        <f>IF(XLOOKUP([@categorie],tbl_RegulriTVA[categorie],tbl_RegulriTVA[cota_legala],-1)&lt;&gt;[@cota_tva],"TVA GRESIT","")</f>
        <v/>
      </c>
      <c r="S310">
        <f>IF([@data_scadentei]&lt;[@data_factura],"SCADENTA INAINTEA FACTURII","")</f>
        <v/>
      </c>
      <c r="T310">
        <f>IF(NETWORKDAYS.INTL([@data_factura],[@data_factura],1,tbl_SarbatoriLegale[data])=0,"ZI NELUCRATOARE","")</f>
        <v/>
      </c>
      <c r="U310">
        <f>IF([@motiv_anomalie]="","OK","DE INVESTIGAT")</f>
        <v/>
      </c>
      <c r="V310">
        <f>TEXTJOIN("; ",TRUE,[@flag_oras],[@flag_tva],[@flag_scadenta],[@flag_zi])</f>
        <v/>
      </c>
    </row>
    <row r="311">
      <c r="A311" t="inlineStr">
        <is>
          <t>F-2025-00310</t>
        </is>
      </c>
      <c r="B311" s="12" t="n">
        <v>46087</v>
      </c>
      <c r="C311" t="inlineStr">
        <is>
          <t>SC NORDIS DISTRIBUTIE SRL</t>
        </is>
      </c>
      <c r="D311" t="inlineStr">
        <is>
          <t>Constanța</t>
        </is>
      </c>
      <c r="E311" t="inlineStr">
        <is>
          <t>PRD-008</t>
        </is>
      </c>
      <c r="F311" t="inlineStr">
        <is>
          <t>Videoproiector sala</t>
        </is>
      </c>
      <c r="G311" t="inlineStr">
        <is>
          <t>Echipamente birou</t>
        </is>
      </c>
      <c r="H311" t="n">
        <v>10</v>
      </c>
      <c r="I311" t="n">
        <v>449.5</v>
      </c>
      <c r="J311" t="n">
        <v>4495</v>
      </c>
      <c r="K311" s="13" t="n">
        <v>0.19</v>
      </c>
      <c r="L311" t="n">
        <v>854.05</v>
      </c>
      <c r="M311" t="n">
        <v>5349.05</v>
      </c>
      <c r="N311" t="inlineStr">
        <is>
          <t>RON</t>
        </is>
      </c>
      <c r="O311" t="inlineStr">
        <is>
          <t>Mangalia</t>
        </is>
      </c>
      <c r="P311" s="12" t="n">
        <v>46147</v>
      </c>
      <c r="Q311">
        <f>IF(COUNTIF(tbl_Localitati[oras_oficial],[@oras])=0,"ORAS NEALINIAT",IF(XLOOKUP([@oras],tbl_Localitati[oras_oficial],tbl_Localitati[judet],"?")&lt;&gt;[@judet],"JUDET NECORESPUNZATOR",""))</f>
        <v/>
      </c>
      <c r="R311">
        <f>IF(XLOOKUP([@categorie],tbl_RegulriTVA[categorie],tbl_RegulriTVA[cota_legala],-1)&lt;&gt;[@cota_tva],"TVA GRESIT","")</f>
        <v/>
      </c>
      <c r="S311">
        <f>IF([@data_scadentei]&lt;[@data_factura],"SCADENTA INAINTEA FACTURII","")</f>
        <v/>
      </c>
      <c r="T311">
        <f>IF(NETWORKDAYS.INTL([@data_factura],[@data_factura],1,tbl_SarbatoriLegale[data])=0,"ZI NELUCRATOARE","")</f>
        <v/>
      </c>
      <c r="U311">
        <f>IF([@motiv_anomalie]="","OK","DE INVESTIGAT")</f>
        <v/>
      </c>
      <c r="V311">
        <f>TEXTJOIN("; ",TRUE,[@flag_oras],[@flag_tva],[@flag_scadenta],[@flag_zi])</f>
        <v/>
      </c>
    </row>
    <row r="312">
      <c r="A312" t="inlineStr">
        <is>
          <t>F-2025-00311</t>
        </is>
      </c>
      <c r="B312" s="12" t="n">
        <v>46044</v>
      </c>
      <c r="C312" t="inlineStr">
        <is>
          <t>SC RAPID LOGISTIC SA</t>
        </is>
      </c>
      <c r="D312" t="inlineStr">
        <is>
          <t>Prahova</t>
        </is>
      </c>
      <c r="E312" t="inlineStr">
        <is>
          <t>PRD-006</t>
        </is>
      </c>
      <c r="F312" t="inlineStr">
        <is>
          <t>Laptop business 15"</t>
        </is>
      </c>
      <c r="G312" t="inlineStr">
        <is>
          <t>Hardware IT</t>
        </is>
      </c>
      <c r="H312" t="n">
        <v>1</v>
      </c>
      <c r="I312" t="n">
        <v>750.17</v>
      </c>
      <c r="J312" t="n">
        <v>750.17</v>
      </c>
      <c r="K312" s="13" t="n">
        <v>0.19</v>
      </c>
      <c r="L312" t="n">
        <v>142.53</v>
      </c>
      <c r="M312" t="n">
        <v>892.7</v>
      </c>
      <c r="N312" t="inlineStr">
        <is>
          <t>RON</t>
        </is>
      </c>
      <c r="O312" t="inlineStr">
        <is>
          <t>Ploiești</t>
        </is>
      </c>
      <c r="P312" s="12" t="n">
        <v>46074</v>
      </c>
      <c r="Q312">
        <f>IF(COUNTIF(tbl_Localitati[oras_oficial],[@oras])=0,"ORAS NEALINIAT",IF(XLOOKUP([@oras],tbl_Localitati[oras_oficial],tbl_Localitati[judet],"?")&lt;&gt;[@judet],"JUDET NECORESPUNZATOR",""))</f>
        <v/>
      </c>
      <c r="R312">
        <f>IF(XLOOKUP([@categorie],tbl_RegulriTVA[categorie],tbl_RegulriTVA[cota_legala],-1)&lt;&gt;[@cota_tva],"TVA GRESIT","")</f>
        <v/>
      </c>
      <c r="S312">
        <f>IF([@data_scadentei]&lt;[@data_factura],"SCADENTA INAINTEA FACTURII","")</f>
        <v/>
      </c>
      <c r="T312">
        <f>IF(NETWORKDAYS.INTL([@data_factura],[@data_factura],1,tbl_SarbatoriLegale[data])=0,"ZI NELUCRATOARE","")</f>
        <v/>
      </c>
      <c r="U312">
        <f>IF([@motiv_anomalie]="","OK","DE INVESTIGAT")</f>
        <v/>
      </c>
      <c r="V312">
        <f>TEXTJOIN("; ",TRUE,[@flag_oras],[@flag_tva],[@flag_scadenta],[@flag_zi])</f>
        <v/>
      </c>
    </row>
    <row r="313">
      <c r="A313" t="inlineStr">
        <is>
          <t>F-2025-00312</t>
        </is>
      </c>
      <c r="B313" s="12" t="n">
        <v>46161</v>
      </c>
      <c r="C313" t="inlineStr">
        <is>
          <t>SC DACTECH SOLUTIONS SRL</t>
        </is>
      </c>
      <c r="D313" t="inlineStr">
        <is>
          <t>Argeș</t>
        </is>
      </c>
      <c r="E313" t="inlineStr">
        <is>
          <t>PRD-002</t>
        </is>
      </c>
      <c r="F313" t="inlineStr">
        <is>
          <t>Abonament suita cloud</t>
        </is>
      </c>
      <c r="G313" t="inlineStr">
        <is>
          <t>Licențe software</t>
        </is>
      </c>
      <c r="H313" t="n">
        <v>5</v>
      </c>
      <c r="I313" t="n">
        <v>1078.35</v>
      </c>
      <c r="J313" t="n">
        <v>5391.75</v>
      </c>
      <c r="K313" s="13" t="n">
        <v>0.19</v>
      </c>
      <c r="L313" t="n">
        <v>1024.43</v>
      </c>
      <c r="M313" t="n">
        <v>6416.18</v>
      </c>
      <c r="N313" t="inlineStr">
        <is>
          <t>RON</t>
        </is>
      </c>
      <c r="O313" t="inlineStr">
        <is>
          <t>Pitești</t>
        </is>
      </c>
      <c r="P313" s="12" t="n">
        <v>46191</v>
      </c>
      <c r="Q313">
        <f>IF(COUNTIF(tbl_Localitati[oras_oficial],[@oras])=0,"ORAS NEALINIAT",IF(XLOOKUP([@oras],tbl_Localitati[oras_oficial],tbl_Localitati[judet],"?")&lt;&gt;[@judet],"JUDET NECORESPUNZATOR",""))</f>
        <v/>
      </c>
      <c r="R313">
        <f>IF(XLOOKUP([@categorie],tbl_RegulriTVA[categorie],tbl_RegulriTVA[cota_legala],-1)&lt;&gt;[@cota_tva],"TVA GRESIT","")</f>
        <v/>
      </c>
      <c r="S313">
        <f>IF([@data_scadentei]&lt;[@data_factura],"SCADENTA INAINTEA FACTURII","")</f>
        <v/>
      </c>
      <c r="T313">
        <f>IF(NETWORKDAYS.INTL([@data_factura],[@data_factura],1,tbl_SarbatoriLegale[data])=0,"ZI NELUCRATOARE","")</f>
        <v/>
      </c>
      <c r="U313">
        <f>IF([@motiv_anomalie]="","OK","DE INVESTIGAT")</f>
        <v/>
      </c>
      <c r="V313">
        <f>TEXTJOIN("; ",TRUE,[@flag_oras],[@flag_tva],[@flag_scadenta],[@flag_zi])</f>
        <v/>
      </c>
    </row>
    <row r="314">
      <c r="A314" t="inlineStr">
        <is>
          <t>F-2025-00313</t>
        </is>
      </c>
      <c r="B314" s="12" t="n">
        <v>46115</v>
      </c>
      <c r="C314" t="inlineStr">
        <is>
          <t>SC OMEGA SOFT SRL</t>
        </is>
      </c>
      <c r="D314" t="inlineStr">
        <is>
          <t>Dolj</t>
        </is>
      </c>
      <c r="E314" t="inlineStr">
        <is>
          <t>PRD-009</t>
        </is>
      </c>
      <c r="F314" t="inlineStr">
        <is>
          <t>Server rack 1U</t>
        </is>
      </c>
      <c r="G314" t="inlineStr">
        <is>
          <t>Hardware IT</t>
        </is>
      </c>
      <c r="H314" t="n">
        <v>20</v>
      </c>
      <c r="I314" t="n">
        <v>27.08</v>
      </c>
      <c r="J314" t="n">
        <v>541.6</v>
      </c>
      <c r="K314" s="13" t="n">
        <v>0.19</v>
      </c>
      <c r="L314" t="n">
        <v>102.9</v>
      </c>
      <c r="M314" t="n">
        <v>644.5</v>
      </c>
      <c r="N314" t="inlineStr">
        <is>
          <t>RON</t>
        </is>
      </c>
      <c r="O314" t="inlineStr">
        <is>
          <t>Craiova</t>
        </is>
      </c>
      <c r="P314" s="12" t="n">
        <v>46160</v>
      </c>
      <c r="Q314">
        <f>IF(COUNTIF(tbl_Localitati[oras_oficial],[@oras])=0,"ORAS NEALINIAT",IF(XLOOKUP([@oras],tbl_Localitati[oras_oficial],tbl_Localitati[judet],"?")&lt;&gt;[@judet],"JUDET NECORESPUNZATOR",""))</f>
        <v/>
      </c>
      <c r="R314">
        <f>IF(XLOOKUP([@categorie],tbl_RegulriTVA[categorie],tbl_RegulriTVA[cota_legala],-1)&lt;&gt;[@cota_tva],"TVA GRESIT","")</f>
        <v/>
      </c>
      <c r="S314">
        <f>IF([@data_scadentei]&lt;[@data_factura],"SCADENTA INAINTEA FACTURII","")</f>
        <v/>
      </c>
      <c r="T314">
        <f>IF(NETWORKDAYS.INTL([@data_factura],[@data_factura],1,tbl_SarbatoriLegale[data])=0,"ZI NELUCRATOARE","")</f>
        <v/>
      </c>
      <c r="U314">
        <f>IF([@motiv_anomalie]="","OK","DE INVESTIGAT")</f>
        <v/>
      </c>
      <c r="V314">
        <f>TEXTJOIN("; ",TRUE,[@flag_oras],[@flag_tva],[@flag_scadenta],[@flag_zi])</f>
        <v/>
      </c>
    </row>
    <row r="315">
      <c r="A315" t="inlineStr">
        <is>
          <t>F-2025-00314</t>
        </is>
      </c>
      <c r="B315" s="12" t="n">
        <v>46122</v>
      </c>
      <c r="C315" t="inlineStr">
        <is>
          <t>SC PROVITA MEDICAL SRL</t>
        </is>
      </c>
      <c r="D315" t="inlineStr">
        <is>
          <t>Mureș</t>
        </is>
      </c>
      <c r="E315" t="inlineStr">
        <is>
          <t>PRD-005</t>
        </is>
      </c>
      <c r="F315" t="inlineStr">
        <is>
          <t>Audit infrastructura</t>
        </is>
      </c>
      <c r="G315" t="inlineStr">
        <is>
          <t>Servicii consultanță</t>
        </is>
      </c>
      <c r="H315" t="n">
        <v>10</v>
      </c>
      <c r="I315" t="n">
        <v>257.96</v>
      </c>
      <c r="J315" t="n">
        <v>2579.6</v>
      </c>
      <c r="K315" s="13" t="n">
        <v>0.19</v>
      </c>
      <c r="L315" t="n">
        <v>490.12</v>
      </c>
      <c r="M315" t="n">
        <v>3069.72</v>
      </c>
      <c r="N315" t="inlineStr">
        <is>
          <t>RON</t>
        </is>
      </c>
      <c r="O315" t="inlineStr">
        <is>
          <t>Târgu Mureș</t>
        </is>
      </c>
      <c r="P315" s="12" t="n">
        <v>46152</v>
      </c>
      <c r="Q315">
        <f>IF(COUNTIF(tbl_Localitati[oras_oficial],[@oras])=0,"ORAS NEALINIAT",IF(XLOOKUP([@oras],tbl_Localitati[oras_oficial],tbl_Localitati[judet],"?")&lt;&gt;[@judet],"JUDET NECORESPUNZATOR",""))</f>
        <v/>
      </c>
      <c r="R315">
        <f>IF(XLOOKUP([@categorie],tbl_RegulriTVA[categorie],tbl_RegulriTVA[cota_legala],-1)&lt;&gt;[@cota_tva],"TVA GRESIT","")</f>
        <v/>
      </c>
      <c r="S315">
        <f>IF([@data_scadentei]&lt;[@data_factura],"SCADENTA INAINTEA FACTURII","")</f>
        <v/>
      </c>
      <c r="T315">
        <f>IF(NETWORKDAYS.INTL([@data_factura],[@data_factura],1,tbl_SarbatoriLegale[data])=0,"ZI NELUCRATOARE","")</f>
        <v/>
      </c>
      <c r="U315">
        <f>IF([@motiv_anomalie]="","OK","DE INVESTIGAT")</f>
        <v/>
      </c>
      <c r="V315">
        <f>TEXTJOIN("; ",TRUE,[@flag_oras],[@flag_tva],[@flag_scadenta],[@flag_zi])</f>
        <v/>
      </c>
    </row>
    <row r="316">
      <c r="A316" t="inlineStr">
        <is>
          <t>F-2025-00315</t>
        </is>
      </c>
      <c r="B316" s="12" t="n">
        <v>46057</v>
      </c>
      <c r="C316" t="inlineStr">
        <is>
          <t>SC DACTECH SOLUTIONS SRL</t>
        </is>
      </c>
      <c r="D316" t="inlineStr">
        <is>
          <t>Argeș</t>
        </is>
      </c>
      <c r="E316" t="inlineStr">
        <is>
          <t>PRD-001</t>
        </is>
      </c>
      <c r="F316" t="inlineStr">
        <is>
          <t>Server rack 1U</t>
        </is>
      </c>
      <c r="G316" t="inlineStr">
        <is>
          <t>Hardware IT</t>
        </is>
      </c>
      <c r="H316" t="n">
        <v>5</v>
      </c>
      <c r="I316" t="n">
        <v>2334.16</v>
      </c>
      <c r="J316" t="n">
        <v>11670.8</v>
      </c>
      <c r="K316" s="13" t="n">
        <v>0.19</v>
      </c>
      <c r="L316" t="n">
        <v>2217.45</v>
      </c>
      <c r="M316" t="n">
        <v>13888.25</v>
      </c>
      <c r="N316" t="inlineStr">
        <is>
          <t>RON</t>
        </is>
      </c>
      <c r="O316" t="inlineStr">
        <is>
          <t>Pitești</t>
        </is>
      </c>
      <c r="P316" s="12" t="n">
        <v>46102</v>
      </c>
      <c r="Q316">
        <f>IF(COUNTIF(tbl_Localitati[oras_oficial],[@oras])=0,"ORAS NEALINIAT",IF(XLOOKUP([@oras],tbl_Localitati[oras_oficial],tbl_Localitati[judet],"?")&lt;&gt;[@judet],"JUDET NECORESPUNZATOR",""))</f>
        <v/>
      </c>
      <c r="R316">
        <f>IF(XLOOKUP([@categorie],tbl_RegulriTVA[categorie],tbl_RegulriTVA[cota_legala],-1)&lt;&gt;[@cota_tva],"TVA GRESIT","")</f>
        <v/>
      </c>
      <c r="S316">
        <f>IF([@data_scadentei]&lt;[@data_factura],"SCADENTA INAINTEA FACTURII","")</f>
        <v/>
      </c>
      <c r="T316">
        <f>IF(NETWORKDAYS.INTL([@data_factura],[@data_factura],1,tbl_SarbatoriLegale[data])=0,"ZI NELUCRATOARE","")</f>
        <v/>
      </c>
      <c r="U316">
        <f>IF([@motiv_anomalie]="","OK","DE INVESTIGAT")</f>
        <v/>
      </c>
      <c r="V316">
        <f>TEXTJOIN("; ",TRUE,[@flag_oras],[@flag_tva],[@flag_scadenta],[@flag_zi])</f>
        <v/>
      </c>
    </row>
    <row r="317">
      <c r="A317" t="inlineStr">
        <is>
          <t>F-2025-00316</t>
        </is>
      </c>
      <c r="B317" s="12" t="n">
        <v>46279</v>
      </c>
      <c r="C317" t="inlineStr">
        <is>
          <t>SC DACTECH SOLUTIONS SRL</t>
        </is>
      </c>
      <c r="D317" t="inlineStr">
        <is>
          <t>Argeș</t>
        </is>
      </c>
      <c r="E317" t="inlineStr">
        <is>
          <t>PRD-010</t>
        </is>
      </c>
      <c r="F317" t="inlineStr">
        <is>
          <t>Ceai cutie 100buc</t>
        </is>
      </c>
      <c r="G317" t="inlineStr">
        <is>
          <t>Alimente</t>
        </is>
      </c>
      <c r="H317" t="n">
        <v>10</v>
      </c>
      <c r="I317" t="n">
        <v>363.88</v>
      </c>
      <c r="J317" t="n">
        <v>3638.8</v>
      </c>
      <c r="K317" s="13" t="n">
        <v>0.09</v>
      </c>
      <c r="L317" t="n">
        <v>327.49</v>
      </c>
      <c r="M317" t="n">
        <v>3966.29</v>
      </c>
      <c r="N317" t="inlineStr">
        <is>
          <t>RON</t>
        </is>
      </c>
      <c r="O317" t="inlineStr">
        <is>
          <t>Pitești</t>
        </is>
      </c>
      <c r="P317" s="12" t="n">
        <v>46309</v>
      </c>
      <c r="Q317">
        <f>IF(COUNTIF(tbl_Localitati[oras_oficial],[@oras])=0,"ORAS NEALINIAT",IF(XLOOKUP([@oras],tbl_Localitati[oras_oficial],tbl_Localitati[judet],"?")&lt;&gt;[@judet],"JUDET NECORESPUNZATOR",""))</f>
        <v/>
      </c>
      <c r="R317">
        <f>IF(XLOOKUP([@categorie],tbl_RegulriTVA[categorie],tbl_RegulriTVA[cota_legala],-1)&lt;&gt;[@cota_tva],"TVA GRESIT","")</f>
        <v/>
      </c>
      <c r="S317">
        <f>IF([@data_scadentei]&lt;[@data_factura],"SCADENTA INAINTEA FACTURII","")</f>
        <v/>
      </c>
      <c r="T317">
        <f>IF(NETWORKDAYS.INTL([@data_factura],[@data_factura],1,tbl_SarbatoriLegale[data])=0,"ZI NELUCRATOARE","")</f>
        <v/>
      </c>
      <c r="U317">
        <f>IF([@motiv_anomalie]="","OK","DE INVESTIGAT")</f>
        <v/>
      </c>
      <c r="V317">
        <f>TEXTJOIN("; ",TRUE,[@flag_oras],[@flag_tva],[@flag_scadenta],[@flag_zi])</f>
        <v/>
      </c>
    </row>
    <row r="318">
      <c r="A318" t="inlineStr">
        <is>
          <t>F-2025-00317</t>
        </is>
      </c>
      <c r="B318" s="12" t="n">
        <v>46079</v>
      </c>
      <c r="C318" t="inlineStr">
        <is>
          <t>SC SOLARIS ENERGY SRL</t>
        </is>
      </c>
      <c r="D318" t="inlineStr">
        <is>
          <t>Prahova</t>
        </is>
      </c>
      <c r="E318" t="inlineStr">
        <is>
          <t>PRD-004</t>
        </is>
      </c>
      <c r="F318" t="inlineStr">
        <is>
          <t>Training utilizatori</t>
        </is>
      </c>
      <c r="G318" t="inlineStr">
        <is>
          <t>Servicii consultanță</t>
        </is>
      </c>
      <c r="H318" t="n">
        <v>1</v>
      </c>
      <c r="I318" t="n">
        <v>925.73</v>
      </c>
      <c r="J318" t="n">
        <v>925.73</v>
      </c>
      <c r="K318" s="13" t="n">
        <v>0.19</v>
      </c>
      <c r="L318" t="n">
        <v>175.89</v>
      </c>
      <c r="M318" t="n">
        <v>1101.62</v>
      </c>
      <c r="N318" t="inlineStr">
        <is>
          <t>RON</t>
        </is>
      </c>
      <c r="O318" t="inlineStr">
        <is>
          <t>Câmpina</t>
        </is>
      </c>
      <c r="P318" s="12" t="n">
        <v>46109</v>
      </c>
      <c r="Q318">
        <f>IF(COUNTIF(tbl_Localitati[oras_oficial],[@oras])=0,"ORAS NEALINIAT",IF(XLOOKUP([@oras],tbl_Localitati[oras_oficial],tbl_Localitati[judet],"?")&lt;&gt;[@judet],"JUDET NECORESPUNZATOR",""))</f>
        <v/>
      </c>
      <c r="R318">
        <f>IF(XLOOKUP([@categorie],tbl_RegulriTVA[categorie],tbl_RegulriTVA[cota_legala],-1)&lt;&gt;[@cota_tva],"TVA GRESIT","")</f>
        <v/>
      </c>
      <c r="S318">
        <f>IF([@data_scadentei]&lt;[@data_factura],"SCADENTA INAINTEA FACTURII","")</f>
        <v/>
      </c>
      <c r="T318">
        <f>IF(NETWORKDAYS.INTL([@data_factura],[@data_factura],1,tbl_SarbatoriLegale[data])=0,"ZI NELUCRATOARE","")</f>
        <v/>
      </c>
      <c r="U318">
        <f>IF([@motiv_anomalie]="","OK","DE INVESTIGAT")</f>
        <v/>
      </c>
      <c r="V318">
        <f>TEXTJOIN("; ",TRUE,[@flag_oras],[@flag_tva],[@flag_scadenta],[@flag_zi])</f>
        <v/>
      </c>
    </row>
    <row r="319">
      <c r="A319" t="inlineStr">
        <is>
          <t>F-2025-00318</t>
        </is>
      </c>
      <c r="B319" s="12" t="n">
        <v>46120</v>
      </c>
      <c r="C319" t="inlineStr">
        <is>
          <t>SC DACTECH SOLUTIONS SRL</t>
        </is>
      </c>
      <c r="D319" t="inlineStr">
        <is>
          <t>Argeș</t>
        </is>
      </c>
      <c r="E319" t="inlineStr">
        <is>
          <t>PRD-011</t>
        </is>
      </c>
      <c r="F319" t="inlineStr">
        <is>
          <t>Pachet protocol sedinte</t>
        </is>
      </c>
      <c r="G319" t="inlineStr">
        <is>
          <t>Alimente</t>
        </is>
      </c>
      <c r="H319" t="n">
        <v>10</v>
      </c>
      <c r="I319" t="n">
        <v>44.8</v>
      </c>
      <c r="J319" t="n">
        <v>448</v>
      </c>
      <c r="K319" s="13" t="n">
        <v>0.09</v>
      </c>
      <c r="L319" t="n">
        <v>40.32</v>
      </c>
      <c r="M319" t="n">
        <v>488.32</v>
      </c>
      <c r="N319" t="inlineStr">
        <is>
          <t>RON</t>
        </is>
      </c>
      <c r="O319" t="inlineStr">
        <is>
          <t>Pitești</t>
        </is>
      </c>
      <c r="P319" s="12" t="n">
        <v>46150</v>
      </c>
      <c r="Q319">
        <f>IF(COUNTIF(tbl_Localitati[oras_oficial],[@oras])=0,"ORAS NEALINIAT",IF(XLOOKUP([@oras],tbl_Localitati[oras_oficial],tbl_Localitati[judet],"?")&lt;&gt;[@judet],"JUDET NECORESPUNZATOR",""))</f>
        <v/>
      </c>
      <c r="R319">
        <f>IF(XLOOKUP([@categorie],tbl_RegulriTVA[categorie],tbl_RegulriTVA[cota_legala],-1)&lt;&gt;[@cota_tva],"TVA GRESIT","")</f>
        <v/>
      </c>
      <c r="S319">
        <f>IF([@data_scadentei]&lt;[@data_factura],"SCADENTA INAINTEA FACTURII","")</f>
        <v/>
      </c>
      <c r="T319">
        <f>IF(NETWORKDAYS.INTL([@data_factura],[@data_factura],1,tbl_SarbatoriLegale[data])=0,"ZI NELUCRATOARE","")</f>
        <v/>
      </c>
      <c r="U319">
        <f>IF([@motiv_anomalie]="","OK","DE INVESTIGAT")</f>
        <v/>
      </c>
      <c r="V319">
        <f>TEXTJOIN("; ",TRUE,[@flag_oras],[@flag_tva],[@flag_scadenta],[@flag_zi])</f>
        <v/>
      </c>
    </row>
    <row r="320">
      <c r="A320" t="inlineStr">
        <is>
          <t>F-2025-00319</t>
        </is>
      </c>
      <c r="B320" s="12" t="n">
        <v>46031</v>
      </c>
      <c r="C320" t="inlineStr">
        <is>
          <t>SC INTEGROMED SA</t>
        </is>
      </c>
      <c r="D320" t="inlineStr">
        <is>
          <t>Cluj</t>
        </is>
      </c>
      <c r="E320" t="inlineStr">
        <is>
          <t>PRD-003</t>
        </is>
      </c>
      <c r="F320" t="inlineStr">
        <is>
          <t>Pachet protocol sedinte</t>
        </is>
      </c>
      <c r="G320" t="inlineStr">
        <is>
          <t>Alimente</t>
        </is>
      </c>
      <c r="H320" t="n">
        <v>3</v>
      </c>
      <c r="I320" t="n">
        <v>4185.47</v>
      </c>
      <c r="J320" t="n">
        <v>12556.41</v>
      </c>
      <c r="K320" s="13" t="n">
        <v>0.09</v>
      </c>
      <c r="L320" t="n">
        <v>1130.08</v>
      </c>
      <c r="M320" t="n">
        <v>13686.49</v>
      </c>
      <c r="N320" t="inlineStr">
        <is>
          <t>RON</t>
        </is>
      </c>
      <c r="O320" t="inlineStr">
        <is>
          <t>Cluj-Napoca</t>
        </is>
      </c>
      <c r="P320" s="12" t="n">
        <v>46061</v>
      </c>
      <c r="Q320">
        <f>IF(COUNTIF(tbl_Localitati[oras_oficial],[@oras])=0,"ORAS NEALINIAT",IF(XLOOKUP([@oras],tbl_Localitati[oras_oficial],tbl_Localitati[judet],"?")&lt;&gt;[@judet],"JUDET NECORESPUNZATOR",""))</f>
        <v/>
      </c>
      <c r="R320">
        <f>IF(XLOOKUP([@categorie],tbl_RegulriTVA[categorie],tbl_RegulriTVA[cota_legala],-1)&lt;&gt;[@cota_tva],"TVA GRESIT","")</f>
        <v/>
      </c>
      <c r="S320">
        <f>IF([@data_scadentei]&lt;[@data_factura],"SCADENTA INAINTEA FACTURII","")</f>
        <v/>
      </c>
      <c r="T320">
        <f>IF(NETWORKDAYS.INTL([@data_factura],[@data_factura],1,tbl_SarbatoriLegale[data])=0,"ZI NELUCRATOARE","")</f>
        <v/>
      </c>
      <c r="U320">
        <f>IF([@motiv_anomalie]="","OK","DE INVESTIGAT")</f>
        <v/>
      </c>
      <c r="V320">
        <f>TEXTJOIN("; ",TRUE,[@flag_oras],[@flag_tva],[@flag_scadenta],[@flag_zi])</f>
        <v/>
      </c>
    </row>
    <row r="321">
      <c r="A321" t="inlineStr">
        <is>
          <t>F-2025-00320</t>
        </is>
      </c>
      <c r="B321" s="12" t="n">
        <v>46230</v>
      </c>
      <c r="C321" t="inlineStr">
        <is>
          <t>SC UNIFOOD DISTRIBUTION SA</t>
        </is>
      </c>
      <c r="D321" t="inlineStr">
        <is>
          <t>Sibiu</t>
        </is>
      </c>
      <c r="E321" t="inlineStr">
        <is>
          <t>PRD-001</t>
        </is>
      </c>
      <c r="F321" t="inlineStr">
        <is>
          <t>Cafea boabe 1kg</t>
        </is>
      </c>
      <c r="G321" t="inlineStr">
        <is>
          <t>Alimente</t>
        </is>
      </c>
      <c r="H321" t="n">
        <v>10</v>
      </c>
      <c r="I321" t="n">
        <v>2374.33</v>
      </c>
      <c r="J321" t="n">
        <v>23743.3</v>
      </c>
      <c r="K321" s="13" t="n">
        <v>0.09</v>
      </c>
      <c r="L321" t="n">
        <v>2136.9</v>
      </c>
      <c r="M321" t="n">
        <v>25880.2</v>
      </c>
      <c r="N321" t="inlineStr">
        <is>
          <t>EUR</t>
        </is>
      </c>
      <c r="O321" t="inlineStr">
        <is>
          <t>Mediaș</t>
        </is>
      </c>
      <c r="P321" s="12" t="n">
        <v>46260</v>
      </c>
      <c r="Q321">
        <f>IF(COUNTIF(tbl_Localitati[oras_oficial],[@oras])=0,"ORAS NEALINIAT",IF(XLOOKUP([@oras],tbl_Localitati[oras_oficial],tbl_Localitati[judet],"?")&lt;&gt;[@judet],"JUDET NECORESPUNZATOR",""))</f>
        <v/>
      </c>
      <c r="R321">
        <f>IF(XLOOKUP([@categorie],tbl_RegulriTVA[categorie],tbl_RegulriTVA[cota_legala],-1)&lt;&gt;[@cota_tva],"TVA GRESIT","")</f>
        <v/>
      </c>
      <c r="S321">
        <f>IF([@data_scadentei]&lt;[@data_factura],"SCADENTA INAINTEA FACTURII","")</f>
        <v/>
      </c>
      <c r="T321">
        <f>IF(NETWORKDAYS.INTL([@data_factura],[@data_factura],1,tbl_SarbatoriLegale[data])=0,"ZI NELUCRATOARE","")</f>
        <v/>
      </c>
      <c r="U321">
        <f>IF([@motiv_anomalie]="","OK","DE INVESTIGAT")</f>
        <v/>
      </c>
      <c r="V321">
        <f>TEXTJOIN("; ",TRUE,[@flag_oras],[@flag_tva],[@flag_scadenta],[@flag_zi])</f>
        <v/>
      </c>
    </row>
    <row r="322">
      <c r="A322" t="inlineStr">
        <is>
          <t>F-2025-00321</t>
        </is>
      </c>
      <c r="B322" s="12" t="n">
        <v>46374</v>
      </c>
      <c r="C322" t="inlineStr">
        <is>
          <t>SC PROVITA MEDICAL SRL</t>
        </is>
      </c>
      <c r="D322" t="inlineStr">
        <is>
          <t>Mureș</t>
        </is>
      </c>
      <c r="E322" t="inlineStr">
        <is>
          <t>PRD-009</t>
        </is>
      </c>
      <c r="F322" t="inlineStr">
        <is>
          <t>Videoproiector sala</t>
        </is>
      </c>
      <c r="G322" t="inlineStr">
        <is>
          <t>Echipamente birou</t>
        </is>
      </c>
      <c r="H322" t="n">
        <v>10</v>
      </c>
      <c r="I322" t="n">
        <v>27.77</v>
      </c>
      <c r="J322" t="n">
        <v>277.7</v>
      </c>
      <c r="K322" s="13" t="n">
        <v>0.19</v>
      </c>
      <c r="L322" t="n">
        <v>52.76</v>
      </c>
      <c r="M322" t="n">
        <v>330.46</v>
      </c>
      <c r="N322" t="inlineStr">
        <is>
          <t>RON</t>
        </is>
      </c>
      <c r="O322" t="inlineStr">
        <is>
          <t>Târgu Mureș</t>
        </is>
      </c>
      <c r="P322" s="12" t="n">
        <v>46404</v>
      </c>
      <c r="Q322">
        <f>IF(COUNTIF(tbl_Localitati[oras_oficial],[@oras])=0,"ORAS NEALINIAT",IF(XLOOKUP([@oras],tbl_Localitati[oras_oficial],tbl_Localitati[judet],"?")&lt;&gt;[@judet],"JUDET NECORESPUNZATOR",""))</f>
        <v/>
      </c>
      <c r="R322">
        <f>IF(XLOOKUP([@categorie],tbl_RegulriTVA[categorie],tbl_RegulriTVA[cota_legala],-1)&lt;&gt;[@cota_tva],"TVA GRESIT","")</f>
        <v/>
      </c>
      <c r="S322">
        <f>IF([@data_scadentei]&lt;[@data_factura],"SCADENTA INAINTEA FACTURII","")</f>
        <v/>
      </c>
      <c r="T322">
        <f>IF(NETWORKDAYS.INTL([@data_factura],[@data_factura],1,tbl_SarbatoriLegale[data])=0,"ZI NELUCRATOARE","")</f>
        <v/>
      </c>
      <c r="U322">
        <f>IF([@motiv_anomalie]="","OK","DE INVESTIGAT")</f>
        <v/>
      </c>
      <c r="V322">
        <f>TEXTJOIN("; ",TRUE,[@flag_oras],[@flag_tva],[@flag_scadenta],[@flag_zi])</f>
        <v/>
      </c>
    </row>
    <row r="323">
      <c r="A323" t="inlineStr">
        <is>
          <t>F-2025-00322</t>
        </is>
      </c>
      <c r="B323" s="12" t="n">
        <v>46384</v>
      </c>
      <c r="C323" t="inlineStr">
        <is>
          <t>SC AROMET TRADING SRL</t>
        </is>
      </c>
      <c r="D323" t="inlineStr">
        <is>
          <t>Alba</t>
        </is>
      </c>
      <c r="E323" t="inlineStr">
        <is>
          <t>PRD-005</t>
        </is>
      </c>
      <c r="F323" t="inlineStr">
        <is>
          <t>Pachet protocol sedinte</t>
        </is>
      </c>
      <c r="G323" t="inlineStr">
        <is>
          <t>Alimente</t>
        </is>
      </c>
      <c r="H323" t="n">
        <v>1</v>
      </c>
      <c r="I323" t="n">
        <v>250.89</v>
      </c>
      <c r="J323" t="n">
        <v>250.89</v>
      </c>
      <c r="K323" s="13" t="n">
        <v>0.09</v>
      </c>
      <c r="L323" t="n">
        <v>22.58</v>
      </c>
      <c r="M323" t="n">
        <v>273.47</v>
      </c>
      <c r="N323" t="inlineStr">
        <is>
          <t>RON</t>
        </is>
      </c>
      <c r="O323" t="inlineStr">
        <is>
          <t>Alba Iulia</t>
        </is>
      </c>
      <c r="P323" s="12" t="n">
        <v>46414</v>
      </c>
      <c r="Q323">
        <f>IF(COUNTIF(tbl_Localitati[oras_oficial],[@oras])=0,"ORAS NEALINIAT",IF(XLOOKUP([@oras],tbl_Localitati[oras_oficial],tbl_Localitati[judet],"?")&lt;&gt;[@judet],"JUDET NECORESPUNZATOR",""))</f>
        <v/>
      </c>
      <c r="R323">
        <f>IF(XLOOKUP([@categorie],tbl_RegulriTVA[categorie],tbl_RegulriTVA[cota_legala],-1)&lt;&gt;[@cota_tva],"TVA GRESIT","")</f>
        <v/>
      </c>
      <c r="S323">
        <f>IF([@data_scadentei]&lt;[@data_factura],"SCADENTA INAINTEA FACTURII","")</f>
        <v/>
      </c>
      <c r="T323">
        <f>IF(NETWORKDAYS.INTL([@data_factura],[@data_factura],1,tbl_SarbatoriLegale[data])=0,"ZI NELUCRATOARE","")</f>
        <v/>
      </c>
      <c r="U323">
        <f>IF([@motiv_anomalie]="","OK","DE INVESTIGAT")</f>
        <v/>
      </c>
      <c r="V323">
        <f>TEXTJOIN("; ",TRUE,[@flag_oras],[@flag_tva],[@flag_scadenta],[@flag_zi])</f>
        <v/>
      </c>
    </row>
    <row r="324">
      <c r="A324" t="inlineStr">
        <is>
          <t>F-2025-00323</t>
        </is>
      </c>
      <c r="B324" s="12" t="n">
        <v>46337</v>
      </c>
      <c r="C324" t="inlineStr">
        <is>
          <t>SC PROVITA MEDICAL SRL</t>
        </is>
      </c>
      <c r="D324" t="inlineStr">
        <is>
          <t>Mureș</t>
        </is>
      </c>
      <c r="E324" t="inlineStr">
        <is>
          <t>PRD-005</t>
        </is>
      </c>
      <c r="F324" t="inlineStr">
        <is>
          <t>Tocator documente</t>
        </is>
      </c>
      <c r="G324" t="inlineStr">
        <is>
          <t>Echipamente birou</t>
        </is>
      </c>
      <c r="H324" t="n">
        <v>3</v>
      </c>
      <c r="I324" t="n">
        <v>261.64</v>
      </c>
      <c r="J324" t="n">
        <v>784.92</v>
      </c>
      <c r="K324" s="13" t="n">
        <v>0.19</v>
      </c>
      <c r="L324" t="n">
        <v>149.13</v>
      </c>
      <c r="M324" t="n">
        <v>934.05</v>
      </c>
      <c r="N324" t="inlineStr">
        <is>
          <t>RON</t>
        </is>
      </c>
      <c r="O324" t="inlineStr">
        <is>
          <t>Târgu Mureș</t>
        </is>
      </c>
      <c r="P324" s="12" t="n">
        <v>46367</v>
      </c>
      <c r="Q324">
        <f>IF(COUNTIF(tbl_Localitati[oras_oficial],[@oras])=0,"ORAS NEALINIAT",IF(XLOOKUP([@oras],tbl_Localitati[oras_oficial],tbl_Localitati[judet],"?")&lt;&gt;[@judet],"JUDET NECORESPUNZATOR",""))</f>
        <v/>
      </c>
      <c r="R324">
        <f>IF(XLOOKUP([@categorie],tbl_RegulriTVA[categorie],tbl_RegulriTVA[cota_legala],-1)&lt;&gt;[@cota_tva],"TVA GRESIT","")</f>
        <v/>
      </c>
      <c r="S324">
        <f>IF([@data_scadentei]&lt;[@data_factura],"SCADENTA INAINTEA FACTURII","")</f>
        <v/>
      </c>
      <c r="T324">
        <f>IF(NETWORKDAYS.INTL([@data_factura],[@data_factura],1,tbl_SarbatoriLegale[data])=0,"ZI NELUCRATOARE","")</f>
        <v/>
      </c>
      <c r="U324">
        <f>IF([@motiv_anomalie]="","OK","DE INVESTIGAT")</f>
        <v/>
      </c>
      <c r="V324">
        <f>TEXTJOIN("; ",TRUE,[@flag_oras],[@flag_tva],[@flag_scadenta],[@flag_zi])</f>
        <v/>
      </c>
    </row>
    <row r="325">
      <c r="A325" t="inlineStr">
        <is>
          <t>F-2025-00324</t>
        </is>
      </c>
      <c r="B325" s="12" t="n">
        <v>46339</v>
      </c>
      <c r="C325" t="inlineStr">
        <is>
          <t>SC RAPID LOGISTIC SA</t>
        </is>
      </c>
      <c r="D325" t="inlineStr">
        <is>
          <t>Prahova</t>
        </is>
      </c>
      <c r="E325" t="inlineStr">
        <is>
          <t>PRD-002</t>
        </is>
      </c>
      <c r="F325" t="inlineStr">
        <is>
          <t>Multifunctionala laser</t>
        </is>
      </c>
      <c r="G325" t="inlineStr">
        <is>
          <t>Echipamente birou</t>
        </is>
      </c>
      <c r="H325" t="n">
        <v>5</v>
      </c>
      <c r="I325" t="n">
        <v>1143.67</v>
      </c>
      <c r="J325" t="n">
        <v>5718.35</v>
      </c>
      <c r="K325" s="13" t="n">
        <v>0.19</v>
      </c>
      <c r="L325" t="n">
        <v>1086.49</v>
      </c>
      <c r="M325" t="n">
        <v>6804.84</v>
      </c>
      <c r="N325" t="inlineStr">
        <is>
          <t>RON</t>
        </is>
      </c>
      <c r="O325" t="inlineStr">
        <is>
          <t>Ploiești</t>
        </is>
      </c>
      <c r="P325" s="12" t="n">
        <v>46369</v>
      </c>
      <c r="Q325">
        <f>IF(COUNTIF(tbl_Localitati[oras_oficial],[@oras])=0,"ORAS NEALINIAT",IF(XLOOKUP([@oras],tbl_Localitati[oras_oficial],tbl_Localitati[judet],"?")&lt;&gt;[@judet],"JUDET NECORESPUNZATOR",""))</f>
        <v/>
      </c>
      <c r="R325">
        <f>IF(XLOOKUP([@categorie],tbl_RegulriTVA[categorie],tbl_RegulriTVA[cota_legala],-1)&lt;&gt;[@cota_tva],"TVA GRESIT","")</f>
        <v/>
      </c>
      <c r="S325">
        <f>IF([@data_scadentei]&lt;[@data_factura],"SCADENTA INAINTEA FACTURII","")</f>
        <v/>
      </c>
      <c r="T325">
        <f>IF(NETWORKDAYS.INTL([@data_factura],[@data_factura],1,tbl_SarbatoriLegale[data])=0,"ZI NELUCRATOARE","")</f>
        <v/>
      </c>
      <c r="U325">
        <f>IF([@motiv_anomalie]="","OK","DE INVESTIGAT")</f>
        <v/>
      </c>
      <c r="V325">
        <f>TEXTJOIN("; ",TRUE,[@flag_oras],[@flag_tva],[@flag_scadenta],[@flag_zi])</f>
        <v/>
      </c>
    </row>
    <row r="326">
      <c r="A326" t="inlineStr">
        <is>
          <t>F-2025-00325</t>
        </is>
      </c>
      <c r="B326" s="12" t="n">
        <v>46169</v>
      </c>
      <c r="C326" t="inlineStr">
        <is>
          <t>SC ZENITH AUTO SRL</t>
        </is>
      </c>
      <c r="D326" t="inlineStr">
        <is>
          <t>București</t>
        </is>
      </c>
      <c r="E326" t="inlineStr">
        <is>
          <t>PRD-010</t>
        </is>
      </c>
      <c r="F326" t="inlineStr">
        <is>
          <t>Licenta ERP contabilitate</t>
        </is>
      </c>
      <c r="G326" t="inlineStr">
        <is>
          <t>Licențe software</t>
        </is>
      </c>
      <c r="H326" t="n">
        <v>20</v>
      </c>
      <c r="I326" t="n">
        <v>333.65</v>
      </c>
      <c r="J326" t="n">
        <v>6673</v>
      </c>
      <c r="K326" s="13" t="n">
        <v>0.19</v>
      </c>
      <c r="L326" t="n">
        <v>1267.87</v>
      </c>
      <c r="M326" t="n">
        <v>7940.87</v>
      </c>
      <c r="N326" t="inlineStr">
        <is>
          <t>RON</t>
        </is>
      </c>
      <c r="O326" t="inlineStr">
        <is>
          <t>București</t>
        </is>
      </c>
      <c r="P326" s="12" t="n">
        <v>46214</v>
      </c>
      <c r="Q326">
        <f>IF(COUNTIF(tbl_Localitati[oras_oficial],[@oras])=0,"ORAS NEALINIAT",IF(XLOOKUP([@oras],tbl_Localitati[oras_oficial],tbl_Localitati[judet],"?")&lt;&gt;[@judet],"JUDET NECORESPUNZATOR",""))</f>
        <v/>
      </c>
      <c r="R326">
        <f>IF(XLOOKUP([@categorie],tbl_RegulriTVA[categorie],tbl_RegulriTVA[cota_legala],-1)&lt;&gt;[@cota_tva],"TVA GRESIT","")</f>
        <v/>
      </c>
      <c r="S326">
        <f>IF([@data_scadentei]&lt;[@data_factura],"SCADENTA INAINTEA FACTURII","")</f>
        <v/>
      </c>
      <c r="T326">
        <f>IF(NETWORKDAYS.INTL([@data_factura],[@data_factura],1,tbl_SarbatoriLegale[data])=0,"ZI NELUCRATOARE","")</f>
        <v/>
      </c>
      <c r="U326">
        <f>IF([@motiv_anomalie]="","OK","DE INVESTIGAT")</f>
        <v/>
      </c>
      <c r="V326">
        <f>TEXTJOIN("; ",TRUE,[@flag_oras],[@flag_tva],[@flag_scadenta],[@flag_zi])</f>
        <v/>
      </c>
    </row>
    <row r="327">
      <c r="A327" t="inlineStr">
        <is>
          <t>F-2025-00326</t>
        </is>
      </c>
      <c r="B327" s="12" t="n">
        <v>46136</v>
      </c>
      <c r="C327" t="inlineStr">
        <is>
          <t>SC NORDIS DISTRIBUTIE SRL</t>
        </is>
      </c>
      <c r="D327" t="inlineStr">
        <is>
          <t>Constanța</t>
        </is>
      </c>
      <c r="E327" t="inlineStr">
        <is>
          <t>PRD-007</t>
        </is>
      </c>
      <c r="F327" t="inlineStr">
        <is>
          <t>Suport tehnic anual</t>
        </is>
      </c>
      <c r="G327" t="inlineStr">
        <is>
          <t>Servicii consultanță</t>
        </is>
      </c>
      <c r="H327" t="n">
        <v>1</v>
      </c>
      <c r="I327" t="n">
        <v>182.86</v>
      </c>
      <c r="J327" t="n">
        <v>182.86</v>
      </c>
      <c r="K327" s="13" t="n">
        <v>0.19</v>
      </c>
      <c r="L327" t="n">
        <v>34.74</v>
      </c>
      <c r="M327" t="n">
        <v>217.6</v>
      </c>
      <c r="N327" t="inlineStr">
        <is>
          <t>RON</t>
        </is>
      </c>
      <c r="O327" t="inlineStr">
        <is>
          <t>Mangalia</t>
        </is>
      </c>
      <c r="P327" s="12" t="n">
        <v>46196</v>
      </c>
      <c r="Q327">
        <f>IF(COUNTIF(tbl_Localitati[oras_oficial],[@oras])=0,"ORAS NEALINIAT",IF(XLOOKUP([@oras],tbl_Localitati[oras_oficial],tbl_Localitati[judet],"?")&lt;&gt;[@judet],"JUDET NECORESPUNZATOR",""))</f>
        <v/>
      </c>
      <c r="R327">
        <f>IF(XLOOKUP([@categorie],tbl_RegulriTVA[categorie],tbl_RegulriTVA[cota_legala],-1)&lt;&gt;[@cota_tva],"TVA GRESIT","")</f>
        <v/>
      </c>
      <c r="S327">
        <f>IF([@data_scadentei]&lt;[@data_factura],"SCADENTA INAINTEA FACTURII","")</f>
        <v/>
      </c>
      <c r="T327">
        <f>IF(NETWORKDAYS.INTL([@data_factura],[@data_factura],1,tbl_SarbatoriLegale[data])=0,"ZI NELUCRATOARE","")</f>
        <v/>
      </c>
      <c r="U327">
        <f>IF([@motiv_anomalie]="","OK","DE INVESTIGAT")</f>
        <v/>
      </c>
      <c r="V327">
        <f>TEXTJOIN("; ",TRUE,[@flag_oras],[@flag_tva],[@flag_scadenta],[@flag_zi])</f>
        <v/>
      </c>
    </row>
    <row r="328">
      <c r="A328" t="inlineStr">
        <is>
          <t>F-2025-00327</t>
        </is>
      </c>
      <c r="B328" s="12" t="n">
        <v>46331</v>
      </c>
      <c r="C328" t="inlineStr">
        <is>
          <t>SC NORDIS DISTRIBUTIE SRL</t>
        </is>
      </c>
      <c r="D328" t="inlineStr">
        <is>
          <t>Constanța</t>
        </is>
      </c>
      <c r="E328" t="inlineStr">
        <is>
          <t>PRD-006</t>
        </is>
      </c>
      <c r="F328" t="inlineStr">
        <is>
          <t>Server rack 1U</t>
        </is>
      </c>
      <c r="G328" t="inlineStr">
        <is>
          <t>Hardware IT</t>
        </is>
      </c>
      <c r="H328" t="n">
        <v>10</v>
      </c>
      <c r="I328" t="n">
        <v>782.59</v>
      </c>
      <c r="J328" t="n">
        <v>7825.9</v>
      </c>
      <c r="K328" s="13" t="n">
        <v>0.19</v>
      </c>
      <c r="L328" t="n">
        <v>1486.92</v>
      </c>
      <c r="M328" t="n">
        <v>9312.82</v>
      </c>
      <c r="N328" t="inlineStr">
        <is>
          <t>RON</t>
        </is>
      </c>
      <c r="O328" t="inlineStr">
        <is>
          <t>Mangalia</t>
        </is>
      </c>
      <c r="P328" s="12" t="n">
        <v>46391</v>
      </c>
      <c r="Q328">
        <f>IF(COUNTIF(tbl_Localitati[oras_oficial],[@oras])=0,"ORAS NEALINIAT",IF(XLOOKUP([@oras],tbl_Localitati[oras_oficial],tbl_Localitati[judet],"?")&lt;&gt;[@judet],"JUDET NECORESPUNZATOR",""))</f>
        <v/>
      </c>
      <c r="R328">
        <f>IF(XLOOKUP([@categorie],tbl_RegulriTVA[categorie],tbl_RegulriTVA[cota_legala],-1)&lt;&gt;[@cota_tva],"TVA GRESIT","")</f>
        <v/>
      </c>
      <c r="S328">
        <f>IF([@data_scadentei]&lt;[@data_factura],"SCADENTA INAINTEA FACTURII","")</f>
        <v/>
      </c>
      <c r="T328">
        <f>IF(NETWORKDAYS.INTL([@data_factura],[@data_factura],1,tbl_SarbatoriLegale[data])=0,"ZI NELUCRATOARE","")</f>
        <v/>
      </c>
      <c r="U328">
        <f>IF([@motiv_anomalie]="","OK","DE INVESTIGAT")</f>
        <v/>
      </c>
      <c r="V328">
        <f>TEXTJOIN("; ",TRUE,[@flag_oras],[@flag_tva],[@flag_scadenta],[@flag_zi])</f>
        <v/>
      </c>
    </row>
    <row r="329">
      <c r="A329" t="inlineStr">
        <is>
          <t>F-2025-00328</t>
        </is>
      </c>
      <c r="B329" s="12" t="n">
        <v>46031</v>
      </c>
      <c r="C329" t="inlineStr">
        <is>
          <t>SC METALPLAST INVEST SA</t>
        </is>
      </c>
      <c r="D329" t="inlineStr">
        <is>
          <t>Cluj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Licențe software</t>
        </is>
      </c>
      <c r="H329" t="n">
        <v>5</v>
      </c>
      <c r="I329" t="n">
        <v>762.3099999999999</v>
      </c>
      <c r="J329" t="n">
        <v>3811.55</v>
      </c>
      <c r="K329" s="13" t="n">
        <v>0.19</v>
      </c>
      <c r="L329" t="n">
        <v>724.1900000000001</v>
      </c>
      <c r="M329" t="n">
        <v>4535.74</v>
      </c>
      <c r="N329" t="inlineStr">
        <is>
          <t>RON</t>
        </is>
      </c>
      <c r="O329" t="inlineStr">
        <is>
          <t>Turda</t>
        </is>
      </c>
      <c r="P329" s="12" t="n">
        <v>46076</v>
      </c>
      <c r="Q329">
        <f>IF(COUNTIF(tbl_Localitati[oras_oficial],[@oras])=0,"ORAS NEALINIAT",IF(XLOOKUP([@oras],tbl_Localitati[oras_oficial],tbl_Localitati[judet],"?")&lt;&gt;[@judet],"JUDET NECORESPUNZATOR",""))</f>
        <v/>
      </c>
      <c r="R329">
        <f>IF(XLOOKUP([@categorie],tbl_RegulriTVA[categorie],tbl_RegulriTVA[cota_legala],-1)&lt;&gt;[@cota_tva],"TVA GRESIT","")</f>
        <v/>
      </c>
      <c r="S329">
        <f>IF([@data_scadentei]&lt;[@data_factura],"SCADENTA INAINTEA FACTURII","")</f>
        <v/>
      </c>
      <c r="T329">
        <f>IF(NETWORKDAYS.INTL([@data_factura],[@data_factura],1,tbl_SarbatoriLegale[data])=0,"ZI NELUCRATOARE","")</f>
        <v/>
      </c>
      <c r="U329">
        <f>IF([@motiv_anomalie]="","OK","DE INVESTIGAT")</f>
        <v/>
      </c>
      <c r="V329">
        <f>TEXTJOIN("; ",TRUE,[@flag_oras],[@flag_tva],[@flag_scadenta],[@flag_zi])</f>
        <v/>
      </c>
    </row>
    <row r="330">
      <c r="A330" t="inlineStr">
        <is>
          <t>F-2025-00329</t>
        </is>
      </c>
      <c r="B330" s="12" t="n">
        <v>46301</v>
      </c>
      <c r="C330" t="inlineStr">
        <is>
          <t>SC AROMET TRADING SRL</t>
        </is>
      </c>
      <c r="D330" t="inlineStr">
        <is>
          <t>Alba</t>
        </is>
      </c>
      <c r="E330" t="inlineStr">
        <is>
          <t>PRD-013</t>
        </is>
      </c>
      <c r="F330" t="inlineStr">
        <is>
          <t>Suport tehnic anual</t>
        </is>
      </c>
      <c r="G330" t="inlineStr">
        <is>
          <t>Servicii consultanță</t>
        </is>
      </c>
      <c r="H330" t="n">
        <v>8</v>
      </c>
      <c r="I330" t="n">
        <v>1148.28</v>
      </c>
      <c r="J330" t="n">
        <v>9186.24</v>
      </c>
      <c r="K330" s="13" t="n">
        <v>0.19</v>
      </c>
      <c r="L330" t="n">
        <v>1745.39</v>
      </c>
      <c r="M330" t="n">
        <v>10931.63</v>
      </c>
      <c r="N330" t="inlineStr">
        <is>
          <t>RON</t>
        </is>
      </c>
      <c r="O330" t="inlineStr">
        <is>
          <t>Alba Iulia</t>
        </is>
      </c>
      <c r="P330" s="12" t="n">
        <v>46331</v>
      </c>
      <c r="Q330">
        <f>IF(COUNTIF(tbl_Localitati[oras_oficial],[@oras])=0,"ORAS NEALINIAT",IF(XLOOKUP([@oras],tbl_Localitati[oras_oficial],tbl_Localitati[judet],"?")&lt;&gt;[@judet],"JUDET NECORESPUNZATOR",""))</f>
        <v/>
      </c>
      <c r="R330">
        <f>IF(XLOOKUP([@categorie],tbl_RegulriTVA[categorie],tbl_RegulriTVA[cota_legala],-1)&lt;&gt;[@cota_tva],"TVA GRESIT","")</f>
        <v/>
      </c>
      <c r="S330">
        <f>IF([@data_scadentei]&lt;[@data_factura],"SCADENTA INAINTEA FACTURII","")</f>
        <v/>
      </c>
      <c r="T330">
        <f>IF(NETWORKDAYS.INTL([@data_factura],[@data_factura],1,tbl_SarbatoriLegale[data])=0,"ZI NELUCRATOARE","")</f>
        <v/>
      </c>
      <c r="U330">
        <f>IF([@motiv_anomalie]="","OK","DE INVESTIGAT")</f>
        <v/>
      </c>
      <c r="V330">
        <f>TEXTJOIN("; ",TRUE,[@flag_oras],[@flag_tva],[@flag_scadenta],[@flag_zi])</f>
        <v/>
      </c>
    </row>
    <row r="331">
      <c r="A331" t="inlineStr">
        <is>
          <t>F-2025-00330</t>
        </is>
      </c>
      <c r="B331" s="12" t="n">
        <v>46321</v>
      </c>
      <c r="C331" t="inlineStr">
        <is>
          <t>SC DACTECH SOLUTIONS SRL</t>
        </is>
      </c>
      <c r="D331" t="inlineStr">
        <is>
          <t>Argeș</t>
        </is>
      </c>
      <c r="E331" t="inlineStr">
        <is>
          <t>PRD-008</t>
        </is>
      </c>
      <c r="F331" t="inlineStr">
        <is>
          <t>Ghid legislatie GDPR</t>
        </is>
      </c>
      <c r="G331" t="inlineStr">
        <is>
          <t>Cărți și manuale</t>
        </is>
      </c>
      <c r="H331" t="n">
        <v>25</v>
      </c>
      <c r="I331" t="n">
        <v>456.92</v>
      </c>
      <c r="J331" t="n">
        <v>11423</v>
      </c>
      <c r="K331" s="13" t="n">
        <v>0.05</v>
      </c>
      <c r="L331" t="n">
        <v>571.15</v>
      </c>
      <c r="M331" t="n">
        <v>11994.15</v>
      </c>
      <c r="N331" t="inlineStr">
        <is>
          <t>RON</t>
        </is>
      </c>
      <c r="O331" t="inlineStr">
        <is>
          <t>Pitești</t>
        </is>
      </c>
      <c r="P331" s="12" t="n">
        <v>46351</v>
      </c>
      <c r="Q331">
        <f>IF(COUNTIF(tbl_Localitati[oras_oficial],[@oras])=0,"ORAS NEALINIAT",IF(XLOOKUP([@oras],tbl_Localitati[oras_oficial],tbl_Localitati[judet],"?")&lt;&gt;[@judet],"JUDET NECORESPUNZATOR",""))</f>
        <v/>
      </c>
      <c r="R331">
        <f>IF(XLOOKUP([@categorie],tbl_RegulriTVA[categorie],tbl_RegulriTVA[cota_legala],-1)&lt;&gt;[@cota_tva],"TVA GRESIT","")</f>
        <v/>
      </c>
      <c r="S331">
        <f>IF([@data_scadentei]&lt;[@data_factura],"SCADENTA INAINTEA FACTURII","")</f>
        <v/>
      </c>
      <c r="T331">
        <f>IF(NETWORKDAYS.INTL([@data_factura],[@data_factura],1,tbl_SarbatoriLegale[data])=0,"ZI NELUCRATOARE","")</f>
        <v/>
      </c>
      <c r="U331">
        <f>IF([@motiv_anomalie]="","OK","DE INVESTIGAT")</f>
        <v/>
      </c>
      <c r="V331">
        <f>TEXTJOIN("; ",TRUE,[@flag_oras],[@flag_tva],[@flag_scadenta],[@flag_zi])</f>
        <v/>
      </c>
    </row>
    <row r="332">
      <c r="A332" t="inlineStr">
        <is>
          <t>F-2025-00331</t>
        </is>
      </c>
      <c r="B332" s="12" t="n">
        <v>46261</v>
      </c>
      <c r="C332" t="inlineStr">
        <is>
          <t>SC DACTECH SOLUTIONS SRL</t>
        </is>
      </c>
      <c r="D332" t="inlineStr">
        <is>
          <t>Argeș</t>
        </is>
      </c>
      <c r="E332" t="inlineStr">
        <is>
          <t>PRD-009</t>
        </is>
      </c>
      <c r="F332" t="inlineStr">
        <is>
          <t>Switch gigabit 24p</t>
        </is>
      </c>
      <c r="G332" t="inlineStr">
        <is>
          <t>Hardware IT</t>
        </is>
      </c>
      <c r="H332" t="n">
        <v>50</v>
      </c>
      <c r="I332" t="n">
        <v>26.79</v>
      </c>
      <c r="J332" t="n">
        <v>1339.5</v>
      </c>
      <c r="K332" s="13" t="n">
        <v>0.19</v>
      </c>
      <c r="L332" t="n">
        <v>254.5</v>
      </c>
      <c r="M332" t="n">
        <v>1594</v>
      </c>
      <c r="N332" t="inlineStr">
        <is>
          <t>RON</t>
        </is>
      </c>
      <c r="O332" t="inlineStr">
        <is>
          <t>Pitești</t>
        </is>
      </c>
      <c r="P332" s="12" t="n">
        <v>46291</v>
      </c>
      <c r="Q332">
        <f>IF(COUNTIF(tbl_Localitati[oras_oficial],[@oras])=0,"ORAS NEALINIAT",IF(XLOOKUP([@oras],tbl_Localitati[oras_oficial],tbl_Localitati[judet],"?")&lt;&gt;[@judet],"JUDET NECORESPUNZATOR",""))</f>
        <v/>
      </c>
      <c r="R332">
        <f>IF(XLOOKUP([@categorie],tbl_RegulriTVA[categorie],tbl_RegulriTVA[cota_legala],-1)&lt;&gt;[@cota_tva],"TVA GRESIT","")</f>
        <v/>
      </c>
      <c r="S332">
        <f>IF([@data_scadentei]&lt;[@data_factura],"SCADENTA INAINTEA FACTURII","")</f>
        <v/>
      </c>
      <c r="T332">
        <f>IF(NETWORKDAYS.INTL([@data_factura],[@data_factura],1,tbl_SarbatoriLegale[data])=0,"ZI NELUCRATOARE","")</f>
        <v/>
      </c>
      <c r="U332">
        <f>IF([@motiv_anomalie]="","OK","DE INVESTIGAT")</f>
        <v/>
      </c>
      <c r="V332">
        <f>TEXTJOIN("; ",TRUE,[@flag_oras],[@flag_tva],[@flag_scadenta],[@flag_zi])</f>
        <v/>
      </c>
    </row>
    <row r="333">
      <c r="A333" t="inlineStr">
        <is>
          <t>F-2025-00332</t>
        </is>
      </c>
      <c r="B333" s="12" t="n">
        <v>46276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Licenta antivirus enterprise</t>
        </is>
      </c>
      <c r="G333" t="inlineStr">
        <is>
          <t>Licențe software</t>
        </is>
      </c>
      <c r="H333" t="n">
        <v>5</v>
      </c>
      <c r="I333" t="n">
        <v>180.17</v>
      </c>
      <c r="J333" t="n">
        <v>900.85</v>
      </c>
      <c r="K333" s="13" t="n">
        <v>0.19</v>
      </c>
      <c r="L333" t="n">
        <v>171.16</v>
      </c>
      <c r="M333" t="n">
        <v>1072.01</v>
      </c>
      <c r="N333" t="inlineStr">
        <is>
          <t>RON</t>
        </is>
      </c>
      <c r="O333" t="inlineStr">
        <is>
          <t>Sibiu</t>
        </is>
      </c>
      <c r="P333" s="12" t="n">
        <v>46336</v>
      </c>
      <c r="Q333">
        <f>IF(COUNTIF(tbl_Localitati[oras_oficial],[@oras])=0,"ORAS NEALINIAT",IF(XLOOKUP([@oras],tbl_Localitati[oras_oficial],tbl_Localitati[judet],"?")&lt;&gt;[@judet],"JUDET NECORESPUNZATOR",""))</f>
        <v/>
      </c>
      <c r="R333">
        <f>IF(XLOOKUP([@categorie],tbl_RegulriTVA[categorie],tbl_RegulriTVA[cota_legala],-1)&lt;&gt;[@cota_tva],"TVA GRESIT","")</f>
        <v/>
      </c>
      <c r="S333">
        <f>IF([@data_scadentei]&lt;[@data_factura],"SCADENTA INAINTEA FACTURII","")</f>
        <v/>
      </c>
      <c r="T333">
        <f>IF(NETWORKDAYS.INTL([@data_factura],[@data_factura],1,tbl_SarbatoriLegale[data])=0,"ZI NELUCRATOARE","")</f>
        <v/>
      </c>
      <c r="U333">
        <f>IF([@motiv_anomalie]="","OK","DE INVESTIGAT")</f>
        <v/>
      </c>
      <c r="V333">
        <f>TEXTJOIN("; ",TRUE,[@flag_oras],[@flag_tva],[@flag_scadenta],[@flag_zi])</f>
        <v/>
      </c>
    </row>
    <row r="334">
      <c r="A334" t="inlineStr">
        <is>
          <t>F-2025-00333</t>
        </is>
      </c>
      <c r="B334" s="12" t="n">
        <v>46063</v>
      </c>
      <c r="C334" t="inlineStr">
        <is>
          <t>SC UNIFOOD DISTRIBUTION SA</t>
        </is>
      </c>
      <c r="D334" t="inlineStr">
        <is>
          <t>Sibiu</t>
        </is>
      </c>
      <c r="E334" t="inlineStr">
        <is>
          <t>PRD-007</t>
        </is>
      </c>
      <c r="F334" t="inlineStr">
        <is>
          <t>Cafea boabe 1kg</t>
        </is>
      </c>
      <c r="G334" t="inlineStr">
        <is>
          <t>Alimente</t>
        </is>
      </c>
      <c r="H334" t="n">
        <v>10</v>
      </c>
      <c r="I334" t="n">
        <v>175.78</v>
      </c>
      <c r="J334" t="n">
        <v>1757.8</v>
      </c>
      <c r="K334" s="13" t="n">
        <v>0.09</v>
      </c>
      <c r="L334" t="n">
        <v>158.2</v>
      </c>
      <c r="M334" t="n">
        <v>1916</v>
      </c>
      <c r="N334" t="inlineStr">
        <is>
          <t>EUR</t>
        </is>
      </c>
      <c r="O334" t="inlineStr">
        <is>
          <t>Mediaș</t>
        </is>
      </c>
      <c r="P334" s="12" t="n">
        <v>46123</v>
      </c>
      <c r="Q334">
        <f>IF(COUNTIF(tbl_Localitati[oras_oficial],[@oras])=0,"ORAS NEALINIAT",IF(XLOOKUP([@oras],tbl_Localitati[oras_oficial],tbl_Localitati[judet],"?")&lt;&gt;[@judet],"JUDET NECORESPUNZATOR",""))</f>
        <v/>
      </c>
      <c r="R334">
        <f>IF(XLOOKUP([@categorie],tbl_RegulriTVA[categorie],tbl_RegulriTVA[cota_legala],-1)&lt;&gt;[@cota_tva],"TVA GRESIT","")</f>
        <v/>
      </c>
      <c r="S334">
        <f>IF([@data_scadentei]&lt;[@data_factura],"SCADENTA INAINTEA FACTURII","")</f>
        <v/>
      </c>
      <c r="T334">
        <f>IF(NETWORKDAYS.INTL([@data_factura],[@data_factura],1,tbl_SarbatoriLegale[data])=0,"ZI NELUCRATOARE","")</f>
        <v/>
      </c>
      <c r="U334">
        <f>IF([@motiv_anomalie]="","OK","DE INVESTIGAT")</f>
        <v/>
      </c>
      <c r="V334">
        <f>TEXTJOIN("; ",TRUE,[@flag_oras],[@flag_tva],[@flag_scadenta],[@flag_zi])</f>
        <v/>
      </c>
    </row>
    <row r="335">
      <c r="A335" t="inlineStr">
        <is>
          <t>F-2025-00334</t>
        </is>
      </c>
      <c r="B335" s="12" t="n">
        <v>46316</v>
      </c>
      <c r="C335" t="inlineStr">
        <is>
          <t>SC AROMET TRADING SRL</t>
        </is>
      </c>
      <c r="D335" t="inlineStr">
        <is>
          <t>Alba</t>
        </is>
      </c>
      <c r="E335" t="inlineStr">
        <is>
          <t>PRD-003</t>
        </is>
      </c>
      <c r="F335" t="inlineStr">
        <is>
          <t>Licenta Office 365 anuala</t>
        </is>
      </c>
      <c r="G335" t="inlineStr">
        <is>
          <t>Licențe software</t>
        </is>
      </c>
      <c r="H335" t="n">
        <v>1</v>
      </c>
      <c r="I335" t="n">
        <v>4081.52</v>
      </c>
      <c r="J335" t="n">
        <v>4081.52</v>
      </c>
      <c r="K335" s="13" t="n">
        <v>0.19</v>
      </c>
      <c r="L335" t="n">
        <v>775.49</v>
      </c>
      <c r="M335" t="n">
        <v>4857.01</v>
      </c>
      <c r="N335" t="inlineStr">
        <is>
          <t>RON</t>
        </is>
      </c>
      <c r="O335" t="inlineStr">
        <is>
          <t>Alba Iulia</t>
        </is>
      </c>
      <c r="P335" s="12" t="n">
        <v>46346</v>
      </c>
      <c r="Q335">
        <f>IF(COUNTIF(tbl_Localitati[oras_oficial],[@oras])=0,"ORAS NEALINIAT",IF(XLOOKUP([@oras],tbl_Localitati[oras_oficial],tbl_Localitati[judet],"?")&lt;&gt;[@judet],"JUDET NECORESPUNZATOR",""))</f>
        <v/>
      </c>
      <c r="R335">
        <f>IF(XLOOKUP([@categorie],tbl_RegulriTVA[categorie],tbl_RegulriTVA[cota_legala],-1)&lt;&gt;[@cota_tva],"TVA GRESIT","")</f>
        <v/>
      </c>
      <c r="S335">
        <f>IF([@data_scadentei]&lt;[@data_factura],"SCADENTA INAINTEA FACTURII","")</f>
        <v/>
      </c>
      <c r="T335">
        <f>IF(NETWORKDAYS.INTL([@data_factura],[@data_factura],1,tbl_SarbatoriLegale[data])=0,"ZI NELUCRATOARE","")</f>
        <v/>
      </c>
      <c r="U335">
        <f>IF([@motiv_anomalie]="","OK","DE INVESTIGAT")</f>
        <v/>
      </c>
      <c r="V335">
        <f>TEXTJOIN("; ",TRUE,[@flag_oras],[@flag_tva],[@flag_scadenta],[@flag_zi])</f>
        <v/>
      </c>
    </row>
    <row r="336">
      <c r="A336" t="inlineStr">
        <is>
          <t>F-2025-00335</t>
        </is>
      </c>
      <c r="B336" s="12" t="n">
        <v>46163</v>
      </c>
      <c r="C336" t="inlineStr">
        <is>
          <t>SC METALPLAST INVEST SA</t>
        </is>
      </c>
      <c r="D336" t="inlineStr">
        <is>
          <t>Cluj</t>
        </is>
      </c>
      <c r="E336" t="inlineStr">
        <is>
          <t>PRD-002</t>
        </is>
      </c>
      <c r="F336" t="inlineStr">
        <is>
          <t>Audit infrastructura</t>
        </is>
      </c>
      <c r="G336" t="inlineStr">
        <is>
          <t>Servicii consultanță</t>
        </is>
      </c>
      <c r="H336" t="n">
        <v>5</v>
      </c>
      <c r="I336" t="n">
        <v>1153.94</v>
      </c>
      <c r="J336" t="n">
        <v>5769.7</v>
      </c>
      <c r="K336" s="13" t="n">
        <v>0.19</v>
      </c>
      <c r="L336" t="n">
        <v>1096.24</v>
      </c>
      <c r="M336" t="n">
        <v>6865.94</v>
      </c>
      <c r="N336" t="inlineStr">
        <is>
          <t>RON</t>
        </is>
      </c>
      <c r="O336" t="inlineStr">
        <is>
          <t>Turda</t>
        </is>
      </c>
      <c r="P336" s="12" t="n">
        <v>46223</v>
      </c>
      <c r="Q336">
        <f>IF(COUNTIF(tbl_Localitati[oras_oficial],[@oras])=0,"ORAS NEALINIAT",IF(XLOOKUP([@oras],tbl_Localitati[oras_oficial],tbl_Localitati[judet],"?")&lt;&gt;[@judet],"JUDET NECORESPUNZATOR",""))</f>
        <v/>
      </c>
      <c r="R336">
        <f>IF(XLOOKUP([@categorie],tbl_RegulriTVA[categorie],tbl_RegulriTVA[cota_legala],-1)&lt;&gt;[@cota_tva],"TVA GRESIT","")</f>
        <v/>
      </c>
      <c r="S336">
        <f>IF([@data_scadentei]&lt;[@data_factura],"SCADENTA INAINTEA FACTURII","")</f>
        <v/>
      </c>
      <c r="T336">
        <f>IF(NETWORKDAYS.INTL([@data_factura],[@data_factura],1,tbl_SarbatoriLegale[data])=0,"ZI NELUCRATOARE","")</f>
        <v/>
      </c>
      <c r="U336">
        <f>IF([@motiv_anomalie]="","OK","DE INVESTIGAT")</f>
        <v/>
      </c>
      <c r="V336">
        <f>TEXTJOIN("; ",TRUE,[@flag_oras],[@flag_tva],[@flag_scadenta],[@flag_zi])</f>
        <v/>
      </c>
    </row>
    <row r="337">
      <c r="A337" t="inlineStr">
        <is>
          <t>F-2025-00336</t>
        </is>
      </c>
      <c r="B337" s="12" t="n">
        <v>46363</v>
      </c>
      <c r="C337" t="inlineStr">
        <is>
          <t>SC UNIFOOD DISTRIBUTION SA</t>
        </is>
      </c>
      <c r="D337" t="inlineStr">
        <is>
          <t>Sibiu</t>
        </is>
      </c>
      <c r="E337" t="inlineStr">
        <is>
          <t>PRD-008</t>
        </is>
      </c>
      <c r="F337" t="inlineStr">
        <is>
          <t>Monitor 27" 4K</t>
        </is>
      </c>
      <c r="G337" t="inlineStr">
        <is>
          <t>Hardware IT</t>
        </is>
      </c>
      <c r="H337" t="n">
        <v>25</v>
      </c>
      <c r="I337" t="n">
        <v>439.4</v>
      </c>
      <c r="J337" t="n">
        <v>10985</v>
      </c>
      <c r="K337" s="13" t="n">
        <v>0.19</v>
      </c>
      <c r="L337" t="n">
        <v>2087.15</v>
      </c>
      <c r="M337" t="n">
        <v>13072.15</v>
      </c>
      <c r="N337" t="inlineStr">
        <is>
          <t>EUR</t>
        </is>
      </c>
      <c r="O337" t="inlineStr">
        <is>
          <t>Mediaș</t>
        </is>
      </c>
      <c r="P337" s="12" t="n">
        <v>46393</v>
      </c>
      <c r="Q337">
        <f>IF(COUNTIF(tbl_Localitati[oras_oficial],[@oras])=0,"ORAS NEALINIAT",IF(XLOOKUP([@oras],tbl_Localitati[oras_oficial],tbl_Localitati[judet],"?")&lt;&gt;[@judet],"JUDET NECORESPUNZATOR",""))</f>
        <v/>
      </c>
      <c r="R337">
        <f>IF(XLOOKUP([@categorie],tbl_RegulriTVA[categorie],tbl_RegulriTVA[cota_legala],-1)&lt;&gt;[@cota_tva],"TVA GRESIT","")</f>
        <v/>
      </c>
      <c r="S337">
        <f>IF([@data_scadentei]&lt;[@data_factura],"SCADENTA INAINTEA FACTURII","")</f>
        <v/>
      </c>
      <c r="T337">
        <f>IF(NETWORKDAYS.INTL([@data_factura],[@data_factura],1,tbl_SarbatoriLegale[data])=0,"ZI NELUCRATOARE","")</f>
        <v/>
      </c>
      <c r="U337">
        <f>IF([@motiv_anomalie]="","OK","DE INVESTIGAT")</f>
        <v/>
      </c>
      <c r="V337">
        <f>TEXTJOIN("; ",TRUE,[@flag_oras],[@flag_tva],[@flag_scadenta],[@flag_zi])</f>
        <v/>
      </c>
    </row>
    <row r="338">
      <c r="A338" t="inlineStr">
        <is>
          <t>F-2025-00337</t>
        </is>
      </c>
      <c r="B338" s="12" t="n">
        <v>46183</v>
      </c>
      <c r="C338" t="inlineStr">
        <is>
          <t>SC OMEGA SOFT SRL</t>
        </is>
      </c>
      <c r="D338" t="inlineStr">
        <is>
          <t>Dolj</t>
        </is>
      </c>
      <c r="E338" t="inlineStr">
        <is>
          <t>PRD-009</t>
        </is>
      </c>
      <c r="F338" t="inlineStr">
        <is>
          <t>Carte tehnica IT</t>
        </is>
      </c>
      <c r="G338" t="inlineStr">
        <is>
          <t>Cărți și manuale</t>
        </is>
      </c>
      <c r="I338" t="n">
        <v>28.08</v>
      </c>
      <c r="J338" t="n">
        <v>561.6</v>
      </c>
      <c r="K338" s="13" t="n">
        <v>0.05</v>
      </c>
      <c r="L338" t="n">
        <v>28.08</v>
      </c>
      <c r="M338" t="n">
        <v>589.6799999999999</v>
      </c>
      <c r="N338" t="inlineStr">
        <is>
          <t>RON</t>
        </is>
      </c>
      <c r="O338" t="inlineStr">
        <is>
          <t>Craiova</t>
        </is>
      </c>
      <c r="P338" s="12" t="n">
        <v>46213</v>
      </c>
      <c r="Q338">
        <f>IF(COUNTIF(tbl_Localitati[oras_oficial],[@oras])=0,"ORAS NEALINIAT",IF(XLOOKUP([@oras],tbl_Localitati[oras_oficial],tbl_Localitati[judet],"?")&lt;&gt;[@judet],"JUDET NECORESPUNZATOR",""))</f>
        <v/>
      </c>
      <c r="R338">
        <f>IF(XLOOKUP([@categorie],tbl_RegulriTVA[categorie],tbl_RegulriTVA[cota_legala],-1)&lt;&gt;[@cota_tva],"TVA GRESIT","")</f>
        <v/>
      </c>
      <c r="S338">
        <f>IF([@data_scadentei]&lt;[@data_factura],"SCADENTA INAINTEA FACTURII","")</f>
        <v/>
      </c>
      <c r="T338">
        <f>IF(NETWORKDAYS.INTL([@data_factura],[@data_factura],1,tbl_SarbatoriLegale[data])=0,"ZI NELUCRATOARE","")</f>
        <v/>
      </c>
      <c r="U338">
        <f>IF([@motiv_anomalie]="","OK","DE INVESTIGAT")</f>
        <v/>
      </c>
      <c r="V338">
        <f>TEXTJOIN("; ",TRUE,[@flag_oras],[@flag_tva],[@flag_scadenta],[@flag_zi])</f>
        <v/>
      </c>
    </row>
    <row r="339">
      <c r="A339" t="inlineStr">
        <is>
          <t>F-2025-00338</t>
        </is>
      </c>
      <c r="B339" s="12" t="n">
        <v>46316</v>
      </c>
      <c r="C339" t="inlineStr">
        <is>
          <t>SC AROMET TRADING SRL</t>
        </is>
      </c>
      <c r="D339" t="inlineStr">
        <is>
          <t>Alba</t>
        </is>
      </c>
      <c r="E339" t="inlineStr">
        <is>
          <t>PRD-007</t>
        </is>
      </c>
      <c r="F339" t="inlineStr">
        <is>
          <t>Monitor 27" 4K</t>
        </is>
      </c>
      <c r="G339" t="inlineStr">
        <is>
          <t>Hardware IT</t>
        </is>
      </c>
      <c r="H339" t="n">
        <v>10</v>
      </c>
      <c r="I339" t="n">
        <v>188.35</v>
      </c>
      <c r="J339" t="n">
        <v>1883.5</v>
      </c>
      <c r="K339" s="13" t="n">
        <v>0.19</v>
      </c>
      <c r="L339" t="n">
        <v>357.87</v>
      </c>
      <c r="M339" t="n">
        <v>2241.37</v>
      </c>
      <c r="N339" t="inlineStr">
        <is>
          <t>RON</t>
        </is>
      </c>
      <c r="O339" t="inlineStr">
        <is>
          <t>Alba Iulia</t>
        </is>
      </c>
      <c r="P339" s="12" t="n">
        <v>46361</v>
      </c>
      <c r="Q339">
        <f>IF(COUNTIF(tbl_Localitati[oras_oficial],[@oras])=0,"ORAS NEALINIAT",IF(XLOOKUP([@oras],tbl_Localitati[oras_oficial],tbl_Localitati[judet],"?")&lt;&gt;[@judet],"JUDET NECORESPUNZATOR",""))</f>
        <v/>
      </c>
      <c r="R339">
        <f>IF(XLOOKUP([@categorie],tbl_RegulriTVA[categorie],tbl_RegulriTVA[cota_legala],-1)&lt;&gt;[@cota_tva],"TVA GRESIT","")</f>
        <v/>
      </c>
      <c r="S339">
        <f>IF([@data_scadentei]&lt;[@data_factura],"SCADENTA INAINTEA FACTURII","")</f>
        <v/>
      </c>
      <c r="T339">
        <f>IF(NETWORKDAYS.INTL([@data_factura],[@data_factura],1,tbl_SarbatoriLegale[data])=0,"ZI NELUCRATOARE","")</f>
        <v/>
      </c>
      <c r="U339">
        <f>IF([@motiv_anomalie]="","OK","DE INVESTIGAT")</f>
        <v/>
      </c>
      <c r="V339">
        <f>TEXTJOIN("; ",TRUE,[@flag_oras],[@flag_tva],[@flag_scadenta],[@flag_zi])</f>
        <v/>
      </c>
    </row>
    <row r="340">
      <c r="A340" t="inlineStr">
        <is>
          <t>F-2025-00339</t>
        </is>
      </c>
      <c r="B340" s="12" t="n">
        <v>46213</v>
      </c>
      <c r="C340" t="inlineStr">
        <is>
          <t>SC METALPLAST INVEST SA</t>
        </is>
      </c>
      <c r="D340" t="inlineStr">
        <is>
          <t>Cluj</t>
        </is>
      </c>
      <c r="E340" t="inlineStr">
        <is>
          <t>PRD-003</t>
        </is>
      </c>
      <c r="F340" t="inlineStr">
        <is>
          <t>Audit infrastructura</t>
        </is>
      </c>
      <c r="G340" t="inlineStr">
        <is>
          <t>Servicii consultanță</t>
        </is>
      </c>
      <c r="H340" t="n">
        <v>1</v>
      </c>
      <c r="I340" t="n">
        <v>4350.17</v>
      </c>
      <c r="J340" t="n">
        <v>4350.17</v>
      </c>
      <c r="K340" s="13" t="n">
        <v>0.19</v>
      </c>
      <c r="L340" t="n">
        <v>826.53</v>
      </c>
      <c r="M340" t="n">
        <v>5176.7</v>
      </c>
      <c r="N340" t="inlineStr">
        <is>
          <t>RON</t>
        </is>
      </c>
      <c r="O340" t="inlineStr">
        <is>
          <t>Turda</t>
        </is>
      </c>
      <c r="P340" s="12" t="n">
        <v>46243</v>
      </c>
      <c r="Q340">
        <f>IF(COUNTIF(tbl_Localitati[oras_oficial],[@oras])=0,"ORAS NEALINIAT",IF(XLOOKUP([@oras],tbl_Localitati[oras_oficial],tbl_Localitati[judet],"?")&lt;&gt;[@judet],"JUDET NECORESPUNZATOR",""))</f>
        <v/>
      </c>
      <c r="R340">
        <f>IF(XLOOKUP([@categorie],tbl_RegulriTVA[categorie],tbl_RegulriTVA[cota_legala],-1)&lt;&gt;[@cota_tva],"TVA GRESIT","")</f>
        <v/>
      </c>
      <c r="S340">
        <f>IF([@data_scadentei]&lt;[@data_factura],"SCADENTA INAINTEA FACTURII","")</f>
        <v/>
      </c>
      <c r="T340">
        <f>IF(NETWORKDAYS.INTL([@data_factura],[@data_factura],1,tbl_SarbatoriLegale[data])=0,"ZI NELUCRATOARE","")</f>
        <v/>
      </c>
      <c r="U340">
        <f>IF([@motiv_anomalie]="","OK","DE INVESTIGAT")</f>
        <v/>
      </c>
      <c r="V340">
        <f>TEXTJOIN("; ",TRUE,[@flag_oras],[@flag_tva],[@flag_scadenta],[@flag_zi])</f>
        <v/>
      </c>
    </row>
    <row r="341">
      <c r="A341" t="inlineStr">
        <is>
          <t>F-2025-00340</t>
        </is>
      </c>
      <c r="B341" s="12" t="n">
        <v>46364</v>
      </c>
      <c r="C341" t="inlineStr">
        <is>
          <t>SC INTEGROMED SA</t>
        </is>
      </c>
      <c r="D341" t="inlineStr">
        <is>
          <t>Cluj</t>
        </is>
      </c>
      <c r="E341" t="inlineStr">
        <is>
          <t>PRD-005</t>
        </is>
      </c>
      <c r="F341" t="inlineStr">
        <is>
          <t>Licenta ERP contabilitate</t>
        </is>
      </c>
      <c r="G341" t="inlineStr">
        <is>
          <t>Licențe software</t>
        </is>
      </c>
      <c r="H341" t="n">
        <v>1</v>
      </c>
      <c r="I341" t="n">
        <v>247.19</v>
      </c>
      <c r="J341" t="n">
        <v>247.19</v>
      </c>
      <c r="K341" s="13" t="n">
        <v>0.19</v>
      </c>
      <c r="L341" t="n">
        <v>46.97</v>
      </c>
      <c r="M341" t="n">
        <v>294.16</v>
      </c>
      <c r="N341" t="inlineStr">
        <is>
          <t>RON</t>
        </is>
      </c>
      <c r="O341" t="inlineStr">
        <is>
          <t>Cluj-Napoca</t>
        </is>
      </c>
      <c r="P341" s="12" t="n">
        <v>46394</v>
      </c>
      <c r="Q341">
        <f>IF(COUNTIF(tbl_Localitati[oras_oficial],[@oras])=0,"ORAS NEALINIAT",IF(XLOOKUP([@oras],tbl_Localitati[oras_oficial],tbl_Localitati[judet],"?")&lt;&gt;[@judet],"JUDET NECORESPUNZATOR",""))</f>
        <v/>
      </c>
      <c r="R341">
        <f>IF(XLOOKUP([@categorie],tbl_RegulriTVA[categorie],tbl_RegulriTVA[cota_legala],-1)&lt;&gt;[@cota_tva],"TVA GRESIT","")</f>
        <v/>
      </c>
      <c r="S341">
        <f>IF([@data_scadentei]&lt;[@data_factura],"SCADENTA INAINTEA FACTURII","")</f>
        <v/>
      </c>
      <c r="T341">
        <f>IF(NETWORKDAYS.INTL([@data_factura],[@data_factura],1,tbl_SarbatoriLegale[data])=0,"ZI NELUCRATOARE","")</f>
        <v/>
      </c>
      <c r="U341">
        <f>IF([@motiv_anomalie]="","OK","DE INVESTIGAT")</f>
        <v/>
      </c>
      <c r="V341">
        <f>TEXTJOIN("; ",TRUE,[@flag_oras],[@flag_tva],[@flag_scadenta],[@flag_zi])</f>
        <v/>
      </c>
    </row>
    <row r="342">
      <c r="A342" t="inlineStr">
        <is>
          <t>F-2025-00341</t>
        </is>
      </c>
      <c r="B342" s="12" t="n">
        <v>46345</v>
      </c>
      <c r="C342" t="inlineStr">
        <is>
          <t>SC DACTECH SOLUTIONS SRL</t>
        </is>
      </c>
      <c r="D342" t="inlineStr">
        <is>
          <t>Argeș</t>
        </is>
      </c>
      <c r="E342" t="inlineStr">
        <is>
          <t>PRD-006</t>
        </is>
      </c>
      <c r="F342" t="inlineStr">
        <is>
          <t>Manual proceduri interne</t>
        </is>
      </c>
      <c r="G342" t="inlineStr">
        <is>
          <t>Cărți și manuale</t>
        </is>
      </c>
      <c r="H342" t="n">
        <v>5</v>
      </c>
      <c r="I342" t="n">
        <v>745.36</v>
      </c>
      <c r="J342" t="n">
        <v>3726.8</v>
      </c>
      <c r="K342" s="13" t="n">
        <v>0.05</v>
      </c>
      <c r="L342" t="n">
        <v>186.34</v>
      </c>
      <c r="M342" t="n">
        <v>3913.14</v>
      </c>
      <c r="N342" t="inlineStr">
        <is>
          <t>RON</t>
        </is>
      </c>
      <c r="O342" t="inlineStr">
        <is>
          <t>Pitești</t>
        </is>
      </c>
      <c r="P342" s="12" t="n">
        <v>46375</v>
      </c>
      <c r="Q342">
        <f>IF(COUNTIF(tbl_Localitati[oras_oficial],[@oras])=0,"ORAS NEALINIAT",IF(XLOOKUP([@oras],tbl_Localitati[oras_oficial],tbl_Localitati[judet],"?")&lt;&gt;[@judet],"JUDET NECORESPUNZATOR",""))</f>
        <v/>
      </c>
      <c r="R342">
        <f>IF(XLOOKUP([@categorie],tbl_RegulriTVA[categorie],tbl_RegulriTVA[cota_legala],-1)&lt;&gt;[@cota_tva],"TVA GRESIT","")</f>
        <v/>
      </c>
      <c r="S342">
        <f>IF([@data_scadentei]&lt;[@data_factura],"SCADENTA INAINTEA FACTURII","")</f>
        <v/>
      </c>
      <c r="T342">
        <f>IF(NETWORKDAYS.INTL([@data_factura],[@data_factura],1,tbl_SarbatoriLegale[data])=0,"ZI NELUCRATOARE","")</f>
        <v/>
      </c>
      <c r="U342">
        <f>IF([@motiv_anomalie]="","OK","DE INVESTIGAT")</f>
        <v/>
      </c>
      <c r="V342">
        <f>TEXTJOIN("; ",TRUE,[@flag_oras],[@flag_tva],[@flag_scadenta],[@flag_zi])</f>
        <v/>
      </c>
    </row>
    <row r="343">
      <c r="A343" t="inlineStr">
        <is>
          <t>F-2025-00342</t>
        </is>
      </c>
      <c r="B343" s="12" t="n">
        <v>46384</v>
      </c>
      <c r="C343" t="inlineStr">
        <is>
          <t>SC INTEGROMED SA</t>
        </is>
      </c>
      <c r="D343" t="inlineStr">
        <is>
          <t>Cluj</t>
        </is>
      </c>
      <c r="E343" t="inlineStr">
        <is>
          <t>PRD-009</t>
        </is>
      </c>
      <c r="F343" t="inlineStr">
        <is>
          <t>Tocator documente</t>
        </is>
      </c>
      <c r="G343" t="inlineStr">
        <is>
          <t>Echipamente birou</t>
        </is>
      </c>
      <c r="H343" t="n">
        <v>10</v>
      </c>
      <c r="I343" t="n">
        <v>28.2</v>
      </c>
      <c r="J343" t="n">
        <v>282</v>
      </c>
      <c r="K343" s="13" t="n">
        <v>0.19</v>
      </c>
      <c r="L343" t="n">
        <v>53.58</v>
      </c>
      <c r="M343" t="n">
        <v>335.58</v>
      </c>
      <c r="N343" t="inlineStr">
        <is>
          <t>RON</t>
        </is>
      </c>
      <c r="O343" t="inlineStr">
        <is>
          <t>Sibiu Oras</t>
        </is>
      </c>
      <c r="P343" s="12" t="n">
        <v>46399</v>
      </c>
      <c r="Q343">
        <f>IF(COUNTIF(tbl_Localitati[oras_oficial],[@oras])=0,"ORAS NEALINIAT",IF(XLOOKUP([@oras],tbl_Localitati[oras_oficial],tbl_Localitati[judet],"?")&lt;&gt;[@judet],"JUDET NECORESPUNZATOR",""))</f>
        <v/>
      </c>
      <c r="R343">
        <f>IF(XLOOKUP([@categorie],tbl_RegulriTVA[categorie],tbl_RegulriTVA[cota_legala],-1)&lt;&gt;[@cota_tva],"TVA GRESIT","")</f>
        <v/>
      </c>
      <c r="S343">
        <f>IF([@data_scadentei]&lt;[@data_factura],"SCADENTA INAINTEA FACTURII","")</f>
        <v/>
      </c>
      <c r="T343">
        <f>IF(NETWORKDAYS.INTL([@data_factura],[@data_factura],1,tbl_SarbatoriLegale[data])=0,"ZI NELUCRATOARE","")</f>
        <v/>
      </c>
      <c r="U343">
        <f>IF([@motiv_anomalie]="","OK","DE INVESTIGAT")</f>
        <v/>
      </c>
      <c r="V343">
        <f>TEXTJOIN("; ",TRUE,[@flag_oras],[@flag_tva],[@flag_scadenta],[@flag_zi])</f>
        <v/>
      </c>
    </row>
    <row r="344">
      <c r="A344" t="inlineStr">
        <is>
          <t>F-2025-00343</t>
        </is>
      </c>
      <c r="B344" s="12" t="n">
        <v>46385</v>
      </c>
      <c r="C344" t="inlineStr">
        <is>
          <t>SC INTEGROMED SA</t>
        </is>
      </c>
      <c r="D344" t="inlineStr">
        <is>
          <t>Cluj</t>
        </is>
      </c>
      <c r="E344" t="inlineStr">
        <is>
          <t>PRD-006</t>
        </is>
      </c>
      <c r="F344" t="inlineStr">
        <is>
          <t>Set carti formare</t>
        </is>
      </c>
      <c r="G344" t="inlineStr">
        <is>
          <t>Cărți și manuale</t>
        </is>
      </c>
      <c r="H344" t="n">
        <v>25</v>
      </c>
      <c r="J344" t="n">
        <v>19616.5</v>
      </c>
      <c r="K344" s="13" t="n">
        <v>0.05</v>
      </c>
      <c r="L344" t="n">
        <v>980.83</v>
      </c>
      <c r="M344" t="n">
        <v>20597.33</v>
      </c>
      <c r="N344" t="inlineStr">
        <is>
          <t>RON</t>
        </is>
      </c>
      <c r="O344" t="inlineStr">
        <is>
          <t>Cluj-Napoca</t>
        </is>
      </c>
      <c r="P344" s="12" t="n">
        <v>46415</v>
      </c>
      <c r="Q344">
        <f>IF(COUNTIF(tbl_Localitati[oras_oficial],[@oras])=0,"ORAS NEALINIAT",IF(XLOOKUP([@oras],tbl_Localitati[oras_oficial],tbl_Localitati[judet],"?")&lt;&gt;[@judet],"JUDET NECORESPUNZATOR",""))</f>
        <v/>
      </c>
      <c r="R344">
        <f>IF(XLOOKUP([@categorie],tbl_RegulriTVA[categorie],tbl_RegulriTVA[cota_legala],-1)&lt;&gt;[@cota_tva],"TVA GRESIT","")</f>
        <v/>
      </c>
      <c r="S344">
        <f>IF([@data_scadentei]&lt;[@data_factura],"SCADENTA INAINTEA FACTURII","")</f>
        <v/>
      </c>
      <c r="T344">
        <f>IF(NETWORKDAYS.INTL([@data_factura],[@data_factura],1,tbl_SarbatoriLegale[data])=0,"ZI NELUCRATOARE","")</f>
        <v/>
      </c>
      <c r="U344">
        <f>IF([@motiv_anomalie]="","OK","DE INVESTIGAT")</f>
        <v/>
      </c>
      <c r="V344">
        <f>TEXTJOIN("; ",TRUE,[@flag_oras],[@flag_tva],[@flag_scadenta],[@flag_zi])</f>
        <v/>
      </c>
    </row>
    <row r="345">
      <c r="A345" t="inlineStr">
        <is>
          <t>F-2025-00344</t>
        </is>
      </c>
      <c r="B345" s="12" t="n">
        <v>46163</v>
      </c>
      <c r="C345" t="inlineStr">
        <is>
          <t>SC AROMET TRADING SRL</t>
        </is>
      </c>
      <c r="D345" t="inlineStr">
        <is>
          <t>Alba</t>
        </is>
      </c>
      <c r="E345" t="inlineStr">
        <is>
          <t>PRD-001</t>
        </is>
      </c>
      <c r="F345" t="inlineStr">
        <is>
          <t>Training utilizatori</t>
        </is>
      </c>
      <c r="G345" t="inlineStr">
        <is>
          <t>Servicii consultanță</t>
        </is>
      </c>
      <c r="H345" t="n">
        <v>1</v>
      </c>
      <c r="I345" t="n">
        <v>2441.64</v>
      </c>
      <c r="J345" t="n">
        <v>2441.64</v>
      </c>
      <c r="K345" s="13" t="n">
        <v>0.19</v>
      </c>
      <c r="L345" t="n">
        <v>463.91</v>
      </c>
      <c r="M345" t="n">
        <v>2905.55</v>
      </c>
      <c r="N345" t="inlineStr">
        <is>
          <t>RON</t>
        </is>
      </c>
      <c r="O345" t="inlineStr">
        <is>
          <t>Alba Iulia</t>
        </is>
      </c>
      <c r="P345" s="12" t="n">
        <v>46178</v>
      </c>
      <c r="Q345">
        <f>IF(COUNTIF(tbl_Localitati[oras_oficial],[@oras])=0,"ORAS NEALINIAT",IF(XLOOKUP([@oras],tbl_Localitati[oras_oficial],tbl_Localitati[judet],"?")&lt;&gt;[@judet],"JUDET NECORESPUNZATOR",""))</f>
        <v/>
      </c>
      <c r="R345">
        <f>IF(XLOOKUP([@categorie],tbl_RegulriTVA[categorie],tbl_RegulriTVA[cota_legala],-1)&lt;&gt;[@cota_tva],"TVA GRESIT","")</f>
        <v/>
      </c>
      <c r="S345">
        <f>IF([@data_scadentei]&lt;[@data_factura],"SCADENTA INAINTEA FACTURII","")</f>
        <v/>
      </c>
      <c r="T345">
        <f>IF(NETWORKDAYS.INTL([@data_factura],[@data_factura],1,tbl_SarbatoriLegale[data])=0,"ZI NELUCRATOARE","")</f>
        <v/>
      </c>
      <c r="U345">
        <f>IF([@motiv_anomalie]="","OK","DE INVESTIGAT")</f>
        <v/>
      </c>
      <c r="V345">
        <f>TEXTJOIN("; ",TRUE,[@flag_oras],[@flag_tva],[@flag_scadenta],[@flag_zi])</f>
        <v/>
      </c>
    </row>
    <row r="346">
      <c r="A346" t="inlineStr">
        <is>
          <t>F-2025-00345</t>
        </is>
      </c>
      <c r="B346" s="12" t="n">
        <v>46126</v>
      </c>
      <c r="C346" t="inlineStr">
        <is>
          <t>SC DACTECH SOLUTIONS SRL</t>
        </is>
      </c>
      <c r="D346" t="inlineStr">
        <is>
          <t>Argeș</t>
        </is>
      </c>
      <c r="E346" t="inlineStr">
        <is>
          <t>PRD-005</t>
        </is>
      </c>
      <c r="F346" t="inlineStr">
        <is>
          <t>Laptop business 15"</t>
        </is>
      </c>
      <c r="G346" t="inlineStr">
        <is>
          <t>Hardware IT</t>
        </is>
      </c>
      <c r="H346" t="n">
        <v>1</v>
      </c>
      <c r="I346" t="n">
        <v>242.21</v>
      </c>
      <c r="J346" t="n">
        <v>242.21</v>
      </c>
      <c r="K346" s="13" t="n">
        <v>0.19</v>
      </c>
      <c r="L346" t="n">
        <v>46.02</v>
      </c>
      <c r="M346" t="n">
        <v>288.23</v>
      </c>
      <c r="N346" t="inlineStr">
        <is>
          <t>RON</t>
        </is>
      </c>
      <c r="O346" t="inlineStr">
        <is>
          <t>Pitești</t>
        </is>
      </c>
      <c r="P346" s="12" t="n">
        <v>46171</v>
      </c>
      <c r="Q346">
        <f>IF(COUNTIF(tbl_Localitati[oras_oficial],[@oras])=0,"ORAS NEALINIAT",IF(XLOOKUP([@oras],tbl_Localitati[oras_oficial],tbl_Localitati[judet],"?")&lt;&gt;[@judet],"JUDET NECORESPUNZATOR",""))</f>
        <v/>
      </c>
      <c r="R346">
        <f>IF(XLOOKUP([@categorie],tbl_RegulriTVA[categorie],tbl_RegulriTVA[cota_legala],-1)&lt;&gt;[@cota_tva],"TVA GRESIT","")</f>
        <v/>
      </c>
      <c r="S346">
        <f>IF([@data_scadentei]&lt;[@data_factura],"SCADENTA INAINTEA FACTURII","")</f>
        <v/>
      </c>
      <c r="T346">
        <f>IF(NETWORKDAYS.INTL([@data_factura],[@data_factura],1,tbl_SarbatoriLegale[data])=0,"ZI NELUCRATOARE","")</f>
        <v/>
      </c>
      <c r="U346">
        <f>IF([@motiv_anomalie]="","OK","DE INVESTIGAT")</f>
        <v/>
      </c>
      <c r="V346">
        <f>TEXTJOIN("; ",TRUE,[@flag_oras],[@flag_tva],[@flag_scadenta],[@flag_zi])</f>
        <v/>
      </c>
    </row>
    <row r="347">
      <c r="A347" t="inlineStr">
        <is>
          <t>F-2025-00346</t>
        </is>
      </c>
      <c r="B347" s="12" t="n">
        <v>46164</v>
      </c>
      <c r="C347" t="inlineStr">
        <is>
          <t>SC VECTOR CONSULT SRL</t>
        </is>
      </c>
      <c r="D347" t="inlineStr">
        <is>
          <t>Timiș</t>
        </is>
      </c>
      <c r="E347" t="inlineStr">
        <is>
          <t>PRD-007</t>
        </is>
      </c>
      <c r="F347" t="inlineStr">
        <is>
          <t>Videoproiector sala</t>
        </is>
      </c>
      <c r="G347" t="inlineStr">
        <is>
          <t>Echipamente birou</t>
        </is>
      </c>
      <c r="H347" t="n">
        <v>10</v>
      </c>
      <c r="I347" t="n">
        <v>184.91</v>
      </c>
      <c r="J347" t="n">
        <v>1849.1</v>
      </c>
      <c r="K347" s="13" t="n">
        <v>0.19</v>
      </c>
      <c r="L347" t="n">
        <v>351.33</v>
      </c>
      <c r="M347" t="n">
        <v>2200.43</v>
      </c>
      <c r="N347" t="inlineStr">
        <is>
          <t>RON</t>
        </is>
      </c>
      <c r="O347" t="inlineStr">
        <is>
          <t>Timișoara</t>
        </is>
      </c>
      <c r="P347" s="12" t="n">
        <v>46224</v>
      </c>
      <c r="Q347">
        <f>IF(COUNTIF(tbl_Localitati[oras_oficial],[@oras])=0,"ORAS NEALINIAT",IF(XLOOKUP([@oras],tbl_Localitati[oras_oficial],tbl_Localitati[judet],"?")&lt;&gt;[@judet],"JUDET NECORESPUNZATOR",""))</f>
        <v/>
      </c>
      <c r="R347">
        <f>IF(XLOOKUP([@categorie],tbl_RegulriTVA[categorie],tbl_RegulriTVA[cota_legala],-1)&lt;&gt;[@cota_tva],"TVA GRESIT","")</f>
        <v/>
      </c>
      <c r="S347">
        <f>IF([@data_scadentei]&lt;[@data_factura],"SCADENTA INAINTEA FACTURII","")</f>
        <v/>
      </c>
      <c r="T347">
        <f>IF(NETWORKDAYS.INTL([@data_factura],[@data_factura],1,tbl_SarbatoriLegale[data])=0,"ZI NELUCRATOARE","")</f>
        <v/>
      </c>
      <c r="U347">
        <f>IF([@motiv_anomalie]="","OK","DE INVESTIGAT")</f>
        <v/>
      </c>
      <c r="V347">
        <f>TEXTJOIN("; ",TRUE,[@flag_oras],[@flag_tva],[@flag_scadenta],[@flag_zi])</f>
        <v/>
      </c>
    </row>
    <row r="348">
      <c r="A348" t="inlineStr">
        <is>
          <t>F-2025-00347</t>
        </is>
      </c>
      <c r="B348" s="12" t="n">
        <v>46169</v>
      </c>
      <c r="C348" t="inlineStr">
        <is>
          <t>SC INTEGROMED SA</t>
        </is>
      </c>
      <c r="D348" t="inlineStr">
        <is>
          <t>Cluj</t>
        </is>
      </c>
      <c r="E348" t="inlineStr">
        <is>
          <t>PRD-002</t>
        </is>
      </c>
      <c r="F348" t="inlineStr">
        <is>
          <t>Suport tehnic anual</t>
        </is>
      </c>
      <c r="G348" t="inlineStr">
        <is>
          <t>Servicii consultanță</t>
        </is>
      </c>
      <c r="H348" t="n">
        <v>1</v>
      </c>
      <c r="I348" t="n">
        <v>1050.03</v>
      </c>
      <c r="J348" t="n">
        <v>1050.03</v>
      </c>
      <c r="K348" s="13" t="n">
        <v>0.19</v>
      </c>
      <c r="L348" t="n">
        <v>199.51</v>
      </c>
      <c r="M348" t="n">
        <v>1249.54</v>
      </c>
      <c r="N348" t="inlineStr">
        <is>
          <t>RON</t>
        </is>
      </c>
      <c r="O348" t="inlineStr">
        <is>
          <t>Cluj-Napoca</t>
        </is>
      </c>
      <c r="P348" s="12" t="n">
        <v>46229</v>
      </c>
      <c r="Q348">
        <f>IF(COUNTIF(tbl_Localitati[oras_oficial],[@oras])=0,"ORAS NEALINIAT",IF(XLOOKUP([@oras],tbl_Localitati[oras_oficial],tbl_Localitati[judet],"?")&lt;&gt;[@judet],"JUDET NECORESPUNZATOR",""))</f>
        <v/>
      </c>
      <c r="R348">
        <f>IF(XLOOKUP([@categorie],tbl_RegulriTVA[categorie],tbl_RegulriTVA[cota_legala],-1)&lt;&gt;[@cota_tva],"TVA GRESIT","")</f>
        <v/>
      </c>
      <c r="S348">
        <f>IF([@data_scadentei]&lt;[@data_factura],"SCADENTA INAINTEA FACTURII","")</f>
        <v/>
      </c>
      <c r="T348">
        <f>IF(NETWORKDAYS.INTL([@data_factura],[@data_factura],1,tbl_SarbatoriLegale[data])=0,"ZI NELUCRATOARE","")</f>
        <v/>
      </c>
      <c r="U348">
        <f>IF([@motiv_anomalie]="","OK","DE INVESTIGAT")</f>
        <v/>
      </c>
      <c r="V348">
        <f>TEXTJOIN("; ",TRUE,[@flag_oras],[@flag_tva],[@flag_scadenta],[@flag_zi])</f>
        <v/>
      </c>
    </row>
    <row r="349">
      <c r="A349" t="inlineStr">
        <is>
          <t>F-2025-00348</t>
        </is>
      </c>
      <c r="B349" s="12" t="n">
        <v>46275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Server rack 1U</t>
        </is>
      </c>
      <c r="G349" t="inlineStr">
        <is>
          <t>Hardware IT</t>
        </is>
      </c>
      <c r="H349" t="n">
        <v>20</v>
      </c>
      <c r="I349" t="n">
        <v>46.19</v>
      </c>
      <c r="J349" t="n">
        <v>923.8</v>
      </c>
      <c r="K349" s="13" t="n">
        <v>0.19</v>
      </c>
      <c r="L349" t="n">
        <v>175.52</v>
      </c>
      <c r="M349" t="n">
        <v>1099.32</v>
      </c>
      <c r="N349" t="inlineStr">
        <is>
          <t>RON</t>
        </is>
      </c>
      <c r="O349" t="inlineStr">
        <is>
          <t>Sibiu</t>
        </is>
      </c>
      <c r="P349" s="12" t="n">
        <v>46305</v>
      </c>
      <c r="Q349">
        <f>IF(COUNTIF(tbl_Localitati[oras_oficial],[@oras])=0,"ORAS NEALINIAT",IF(XLOOKUP([@oras],tbl_Localitati[oras_oficial],tbl_Localitati[judet],"?")&lt;&gt;[@judet],"JUDET NECORESPUNZATOR",""))</f>
        <v/>
      </c>
      <c r="R349">
        <f>IF(XLOOKUP([@categorie],tbl_RegulriTVA[categorie],tbl_RegulriTVA[cota_legala],-1)&lt;&gt;[@cota_tva],"TVA GRESIT","")</f>
        <v/>
      </c>
      <c r="S349">
        <f>IF([@data_scadentei]&lt;[@data_factura],"SCADENTA INAINTEA FACTURII","")</f>
        <v/>
      </c>
      <c r="T349">
        <f>IF(NETWORKDAYS.INTL([@data_factura],[@data_factura],1,tbl_SarbatoriLegale[data])=0,"ZI NELUCRATOARE","")</f>
        <v/>
      </c>
      <c r="U349">
        <f>IF([@motiv_anomalie]="","OK","DE INVESTIGAT")</f>
        <v/>
      </c>
      <c r="V349">
        <f>TEXTJOIN("; ",TRUE,[@flag_oras],[@flag_tva],[@flag_scadenta],[@flag_zi])</f>
        <v/>
      </c>
    </row>
    <row r="350">
      <c r="A350" t="inlineStr">
        <is>
          <t>F-2025-00349</t>
        </is>
      </c>
      <c r="B350" s="12" t="n">
        <v>46255</v>
      </c>
      <c r="C350" t="inlineStr">
        <is>
          <t>SC INTEGROMED SA</t>
        </is>
      </c>
      <c r="D350" t="inlineStr">
        <is>
          <t>Cluj</t>
        </is>
      </c>
      <c r="E350" t="inlineStr">
        <is>
          <t>PRD-009</t>
        </is>
      </c>
      <c r="F350" t="inlineStr">
        <is>
          <t>Monitor 27" 4K</t>
        </is>
      </c>
      <c r="G350" t="inlineStr">
        <is>
          <t>Hardware IT</t>
        </is>
      </c>
      <c r="H350" t="n">
        <v>5</v>
      </c>
      <c r="I350" t="n">
        <v>29.29</v>
      </c>
      <c r="J350" t="n">
        <v>146.45</v>
      </c>
      <c r="K350" s="13" t="n">
        <v>0.19</v>
      </c>
      <c r="L350" t="n">
        <v>27.83</v>
      </c>
      <c r="M350" t="n">
        <v>174.28</v>
      </c>
      <c r="N350" t="inlineStr">
        <is>
          <t>RON</t>
        </is>
      </c>
      <c r="O350" t="inlineStr">
        <is>
          <t>Cluj-Napoca</t>
        </is>
      </c>
      <c r="P350" s="12" t="n">
        <v>46300</v>
      </c>
      <c r="Q350">
        <f>IF(COUNTIF(tbl_Localitati[oras_oficial],[@oras])=0,"ORAS NEALINIAT",IF(XLOOKUP([@oras],tbl_Localitati[oras_oficial],tbl_Localitati[judet],"?")&lt;&gt;[@judet],"JUDET NECORESPUNZATOR",""))</f>
        <v/>
      </c>
      <c r="R350">
        <f>IF(XLOOKUP([@categorie],tbl_RegulriTVA[categorie],tbl_RegulriTVA[cota_legala],-1)&lt;&gt;[@cota_tva],"TVA GRESIT","")</f>
        <v/>
      </c>
      <c r="S350">
        <f>IF([@data_scadentei]&lt;[@data_factura],"SCADENTA INAINTEA FACTURII","")</f>
        <v/>
      </c>
      <c r="T350">
        <f>IF(NETWORKDAYS.INTL([@data_factura],[@data_factura],1,tbl_SarbatoriLegale[data])=0,"ZI NELUCRATOARE","")</f>
        <v/>
      </c>
      <c r="U350">
        <f>IF([@motiv_anomalie]="","OK","DE INVESTIGAT")</f>
        <v/>
      </c>
      <c r="V350">
        <f>TEXTJOIN("; ",TRUE,[@flag_oras],[@flag_tva],[@flag_scadenta],[@flag_zi])</f>
        <v/>
      </c>
    </row>
    <row r="351">
      <c r="A351" t="inlineStr">
        <is>
          <t>F-2025-00350</t>
        </is>
      </c>
      <c r="B351" s="12" t="n">
        <v>46107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Cafea boabe 1kg</t>
        </is>
      </c>
      <c r="G351" t="inlineStr">
        <is>
          <t>Alimente</t>
        </is>
      </c>
      <c r="H351" t="n">
        <v>10</v>
      </c>
      <c r="I351" t="n">
        <v>441.02</v>
      </c>
      <c r="J351" t="n">
        <v>4410.2</v>
      </c>
      <c r="K351" s="13" t="n">
        <v>0.09</v>
      </c>
      <c r="L351" t="n">
        <v>396.92</v>
      </c>
      <c r="M351" t="n">
        <v>4807.12</v>
      </c>
      <c r="N351" t="inlineStr">
        <is>
          <t>RON</t>
        </is>
      </c>
      <c r="O351" t="inlineStr">
        <is>
          <t>Sibiu</t>
        </is>
      </c>
      <c r="P351" s="12" t="n">
        <v>46167</v>
      </c>
      <c r="Q351">
        <f>IF(COUNTIF(tbl_Localitati[oras_oficial],[@oras])=0,"ORAS NEALINIAT",IF(XLOOKUP([@oras],tbl_Localitati[oras_oficial],tbl_Localitati[judet],"?")&lt;&gt;[@judet],"JUDET NECORESPUNZATOR",""))</f>
        <v/>
      </c>
      <c r="R351">
        <f>IF(XLOOKUP([@categorie],tbl_RegulriTVA[categorie],tbl_RegulriTVA[cota_legala],-1)&lt;&gt;[@cota_tva],"TVA GRESIT","")</f>
        <v/>
      </c>
      <c r="S351">
        <f>IF([@data_scadentei]&lt;[@data_factura],"SCADENTA INAINTEA FACTURII","")</f>
        <v/>
      </c>
      <c r="T351">
        <f>IF(NETWORKDAYS.INTL([@data_factura],[@data_factura],1,tbl_SarbatoriLegale[data])=0,"ZI NELUCRATOARE","")</f>
        <v/>
      </c>
      <c r="U351">
        <f>IF([@motiv_anomalie]="","OK","DE INVESTIGAT")</f>
        <v/>
      </c>
      <c r="V351">
        <f>TEXTJOIN("; ",TRUE,[@flag_oras],[@flag_tva],[@flag_scadenta],[@flag_zi])</f>
        <v/>
      </c>
    </row>
    <row r="352">
      <c r="A352" t="inlineStr">
        <is>
          <t>F-2025-00351</t>
        </is>
      </c>
      <c r="B352" s="12" t="n">
        <v>46329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Pachet protocol sedinte</t>
        </is>
      </c>
      <c r="G352" t="inlineStr">
        <is>
          <t>Alimente</t>
        </is>
      </c>
      <c r="H352" t="n">
        <v>20</v>
      </c>
      <c r="I352" t="n">
        <v>28.05</v>
      </c>
      <c r="J352" t="n">
        <v>561</v>
      </c>
      <c r="K352" s="13" t="n">
        <v>0.09</v>
      </c>
      <c r="L352" t="n">
        <v>50.49</v>
      </c>
      <c r="M352" t="n">
        <v>611.49</v>
      </c>
      <c r="N352" t="inlineStr">
        <is>
          <t>USD</t>
        </is>
      </c>
      <c r="O352" t="inlineStr">
        <is>
          <t>Sibiu</t>
        </is>
      </c>
      <c r="P352" s="12" t="n">
        <v>46359</v>
      </c>
      <c r="Q352">
        <f>IF(COUNTIF(tbl_Localitati[oras_oficial],[@oras])=0,"ORAS NEALINIAT",IF(XLOOKUP([@oras],tbl_Localitati[oras_oficial],tbl_Localitati[judet],"?")&lt;&gt;[@judet],"JUDET NECORESPUNZATOR",""))</f>
        <v/>
      </c>
      <c r="R352">
        <f>IF(XLOOKUP([@categorie],tbl_RegulriTVA[categorie],tbl_RegulriTVA[cota_legala],-1)&lt;&gt;[@cota_tva],"TVA GRESIT","")</f>
        <v/>
      </c>
      <c r="S352">
        <f>IF([@data_scadentei]&lt;[@data_factura],"SCADENTA INAINTEA FACTURII","")</f>
        <v/>
      </c>
      <c r="T352">
        <f>IF(NETWORKDAYS.INTL([@data_factura],[@data_factura],1,tbl_SarbatoriLegale[data])=0,"ZI NELUCRATOARE","")</f>
        <v/>
      </c>
      <c r="U352">
        <f>IF([@motiv_anomalie]="","OK","DE INVESTIGAT")</f>
        <v/>
      </c>
      <c r="V352">
        <f>TEXTJOIN("; ",TRUE,[@flag_oras],[@flag_tva],[@flag_scadenta],[@flag_zi])</f>
        <v/>
      </c>
    </row>
    <row r="353">
      <c r="A353" t="inlineStr">
        <is>
          <t>F-2025-00352</t>
        </is>
      </c>
      <c r="B353" s="12" t="n">
        <v>46181</v>
      </c>
      <c r="C353" t="inlineStr">
        <is>
          <t>SC NORDIS DISTRIBUTIE SRL</t>
        </is>
      </c>
      <c r="D353" t="inlineStr">
        <is>
          <t>Constanța</t>
        </is>
      </c>
      <c r="E353" t="inlineStr">
        <is>
          <t>PRD-009</t>
        </is>
      </c>
      <c r="F353" t="inlineStr">
        <is>
          <t>Apa plata bax</t>
        </is>
      </c>
      <c r="G353" t="inlineStr">
        <is>
          <t>Alimente</t>
        </is>
      </c>
      <c r="H353" t="n">
        <v>20</v>
      </c>
      <c r="I353" t="n">
        <v>29</v>
      </c>
      <c r="J353" t="n">
        <v>580</v>
      </c>
      <c r="K353" s="13" t="n">
        <v>0.09</v>
      </c>
      <c r="L353" t="n">
        <v>52.2</v>
      </c>
      <c r="M353" t="n">
        <v>632.2</v>
      </c>
      <c r="N353" t="inlineStr">
        <is>
          <t>RON</t>
        </is>
      </c>
      <c r="O353" t="inlineStr">
        <is>
          <t>Mangalia</t>
        </is>
      </c>
      <c r="P353" s="12" t="n">
        <v>46196</v>
      </c>
      <c r="Q353">
        <f>IF(COUNTIF(tbl_Localitati[oras_oficial],[@oras])=0,"ORAS NEALINIAT",IF(XLOOKUP([@oras],tbl_Localitati[oras_oficial],tbl_Localitati[judet],"?")&lt;&gt;[@judet],"JUDET NECORESPUNZATOR",""))</f>
        <v/>
      </c>
      <c r="R353">
        <f>IF(XLOOKUP([@categorie],tbl_RegulriTVA[categorie],tbl_RegulriTVA[cota_legala],-1)&lt;&gt;[@cota_tva],"TVA GRESIT","")</f>
        <v/>
      </c>
      <c r="S353">
        <f>IF([@data_scadentei]&lt;[@data_factura],"SCADENTA INAINTEA FACTURII","")</f>
        <v/>
      </c>
      <c r="T353">
        <f>IF(NETWORKDAYS.INTL([@data_factura],[@data_factura],1,tbl_SarbatoriLegale[data])=0,"ZI NELUCRATOARE","")</f>
        <v/>
      </c>
      <c r="U353">
        <f>IF([@motiv_anomalie]="","OK","DE INVESTIGAT")</f>
        <v/>
      </c>
      <c r="V353">
        <f>TEXTJOIN("; ",TRUE,[@flag_oras],[@flag_tva],[@flag_scadenta],[@flag_zi])</f>
        <v/>
      </c>
    </row>
    <row r="354">
      <c r="A354" t="inlineStr">
        <is>
          <t>F-2025-00353</t>
        </is>
      </c>
      <c r="B354" s="12" t="n">
        <v>46377</v>
      </c>
      <c r="C354" t="inlineStr">
        <is>
          <t>SC AROMET TRADING SRL</t>
        </is>
      </c>
      <c r="D354" t="inlineStr">
        <is>
          <t>Alba</t>
        </is>
      </c>
      <c r="E354" t="inlineStr">
        <is>
          <t>PRD-008</t>
        </is>
      </c>
      <c r="F354" t="inlineStr">
        <is>
          <t>Monitor 27" 4K</t>
        </is>
      </c>
      <c r="G354" t="inlineStr">
        <is>
          <t>Hardware IT</t>
        </is>
      </c>
      <c r="H354" t="n">
        <v>1</v>
      </c>
      <c r="I354" t="n">
        <v>441.02</v>
      </c>
      <c r="J354" t="n">
        <v>441.02</v>
      </c>
      <c r="K354" s="13" t="n">
        <v>0.19</v>
      </c>
      <c r="L354" t="n">
        <v>83.79000000000001</v>
      </c>
      <c r="M354" t="n">
        <v>524.8099999999999</v>
      </c>
      <c r="N354" t="inlineStr">
        <is>
          <t>RON</t>
        </is>
      </c>
      <c r="O354" t="inlineStr">
        <is>
          <t>Alba Iulia</t>
        </is>
      </c>
      <c r="P354" s="12" t="n">
        <v>46392</v>
      </c>
      <c r="Q354">
        <f>IF(COUNTIF(tbl_Localitati[oras_oficial],[@oras])=0,"ORAS NEALINIAT",IF(XLOOKUP([@oras],tbl_Localitati[oras_oficial],tbl_Localitati[judet],"?")&lt;&gt;[@judet],"JUDET NECORESPUNZATOR",""))</f>
        <v/>
      </c>
      <c r="R354">
        <f>IF(XLOOKUP([@categorie],tbl_RegulriTVA[categorie],tbl_RegulriTVA[cota_legala],-1)&lt;&gt;[@cota_tva],"TVA GRESIT","")</f>
        <v/>
      </c>
      <c r="S354">
        <f>IF([@data_scadentei]&lt;[@data_factura],"SCADENTA INAINTEA FACTURII","")</f>
        <v/>
      </c>
      <c r="T354">
        <f>IF(NETWORKDAYS.INTL([@data_factura],[@data_factura],1,tbl_SarbatoriLegale[data])=0,"ZI NELUCRATOARE","")</f>
        <v/>
      </c>
      <c r="U354">
        <f>IF([@motiv_anomalie]="","OK","DE INVESTIGAT")</f>
        <v/>
      </c>
      <c r="V354">
        <f>TEXTJOIN("; ",TRUE,[@flag_oras],[@flag_tva],[@flag_scadenta],[@flag_zi])</f>
        <v/>
      </c>
    </row>
    <row r="355">
      <c r="A355" t="inlineStr">
        <is>
          <t>F-2025-00354</t>
        </is>
      </c>
      <c r="B355" s="12" t="n">
        <v>46070</v>
      </c>
      <c r="C355" t="inlineStr">
        <is>
          <t>SC RAPID LOGISTIC SA</t>
        </is>
      </c>
      <c r="D355" t="inlineStr">
        <is>
          <t>Prahova</t>
        </is>
      </c>
      <c r="E355" t="inlineStr">
        <is>
          <t>PRD-002</t>
        </is>
      </c>
      <c r="F355" t="inlineStr">
        <is>
          <t>Tocator documente</t>
        </is>
      </c>
      <c r="G355" t="inlineStr">
        <is>
          <t>Echipamente birou</t>
        </is>
      </c>
      <c r="H355" t="n">
        <v>3</v>
      </c>
      <c r="I355" t="n">
        <v>1106.14</v>
      </c>
      <c r="J355" t="n">
        <v>3318.42</v>
      </c>
      <c r="K355" s="13" t="n">
        <v>0.19</v>
      </c>
      <c r="L355" t="n">
        <v>630.5</v>
      </c>
      <c r="M355" t="n">
        <v>3948.92</v>
      </c>
      <c r="N355" t="inlineStr">
        <is>
          <t>RON</t>
        </is>
      </c>
      <c r="O355" t="inlineStr">
        <is>
          <t>Ploiești</t>
        </is>
      </c>
      <c r="P355" s="12" t="n">
        <v>46085</v>
      </c>
      <c r="Q355">
        <f>IF(COUNTIF(tbl_Localitati[oras_oficial],[@oras])=0,"ORAS NEALINIAT",IF(XLOOKUP([@oras],tbl_Localitati[oras_oficial],tbl_Localitati[judet],"?")&lt;&gt;[@judet],"JUDET NECORESPUNZATOR",""))</f>
        <v/>
      </c>
      <c r="R355">
        <f>IF(XLOOKUP([@categorie],tbl_RegulriTVA[categorie],tbl_RegulriTVA[cota_legala],-1)&lt;&gt;[@cota_tva],"TVA GRESIT","")</f>
        <v/>
      </c>
      <c r="S355">
        <f>IF([@data_scadentei]&lt;[@data_factura],"SCADENTA INAINTEA FACTURII","")</f>
        <v/>
      </c>
      <c r="T355">
        <f>IF(NETWORKDAYS.INTL([@data_factura],[@data_factura],1,tbl_SarbatoriLegale[data])=0,"ZI NELUCRATOARE","")</f>
        <v/>
      </c>
      <c r="U355">
        <f>IF([@motiv_anomalie]="","OK","DE INVESTIGAT")</f>
        <v/>
      </c>
      <c r="V355">
        <f>TEXTJOIN("; ",TRUE,[@flag_oras],[@flag_tva],[@flag_scadenta],[@flag_zi])</f>
        <v/>
      </c>
    </row>
    <row r="356">
      <c r="A356" t="inlineStr">
        <is>
          <t>F-2025-00355</t>
        </is>
      </c>
      <c r="B356" s="12" t="n">
        <v>46077</v>
      </c>
      <c r="C356" t="inlineStr">
        <is>
          <t>SC FARMAVITAL DISTRIBUTIE SA</t>
        </is>
      </c>
      <c r="D356" t="inlineStr">
        <is>
          <t>Bihor</t>
        </is>
      </c>
      <c r="E356" t="inlineStr">
        <is>
          <t>PRD-003</t>
        </is>
      </c>
      <c r="F356" t="inlineStr">
        <is>
          <t>Training utilizatori</t>
        </is>
      </c>
      <c r="G356" t="inlineStr">
        <is>
          <t>Servicii consultanță</t>
        </is>
      </c>
      <c r="H356" t="n">
        <v>2</v>
      </c>
      <c r="I356" t="n">
        <v>4277.83</v>
      </c>
      <c r="J356" t="n">
        <v>8555.66</v>
      </c>
      <c r="K356" s="13" t="n">
        <v>0.19</v>
      </c>
      <c r="L356" t="n">
        <v>1625.58</v>
      </c>
      <c r="M356" t="n">
        <v>10181.24</v>
      </c>
      <c r="N356" t="inlineStr">
        <is>
          <t>RON</t>
        </is>
      </c>
      <c r="O356" t="inlineStr">
        <is>
          <t>Oradea</t>
        </is>
      </c>
      <c r="P356" s="12" t="n">
        <v>46107</v>
      </c>
      <c r="Q356">
        <f>IF(COUNTIF(tbl_Localitati[oras_oficial],[@oras])=0,"ORAS NEALINIAT",IF(XLOOKUP([@oras],tbl_Localitati[oras_oficial],tbl_Localitati[judet],"?")&lt;&gt;[@judet],"JUDET NECORESPUNZATOR",""))</f>
        <v/>
      </c>
      <c r="R356">
        <f>IF(XLOOKUP([@categorie],tbl_RegulriTVA[categorie],tbl_RegulriTVA[cota_legala],-1)&lt;&gt;[@cota_tva],"TVA GRESIT","")</f>
        <v/>
      </c>
      <c r="S356">
        <f>IF([@data_scadentei]&lt;[@data_factura],"SCADENTA INAINTEA FACTURII","")</f>
        <v/>
      </c>
      <c r="T356">
        <f>IF(NETWORKDAYS.INTL([@data_factura],[@data_factura],1,tbl_SarbatoriLegale[data])=0,"ZI NELUCRATOARE","")</f>
        <v/>
      </c>
      <c r="U356">
        <f>IF([@motiv_anomalie]="","OK","DE INVESTIGAT")</f>
        <v/>
      </c>
      <c r="V356">
        <f>TEXTJOIN("; ",TRUE,[@flag_oras],[@flag_tva],[@flag_scadenta],[@flag_zi])</f>
        <v/>
      </c>
    </row>
    <row r="357">
      <c r="A357" t="inlineStr">
        <is>
          <t>F-2025-00356</t>
        </is>
      </c>
      <c r="B357" s="12" t="n">
        <v>46274</v>
      </c>
      <c r="C357" t="inlineStr">
        <is>
          <t>SC AROMET TRADING SRL</t>
        </is>
      </c>
      <c r="D357" t="inlineStr">
        <is>
          <t>Alba</t>
        </is>
      </c>
      <c r="E357" t="inlineStr">
        <is>
          <t>PRD-011</t>
        </is>
      </c>
      <c r="F357" t="inlineStr">
        <is>
          <t>Abonament suita cloud</t>
        </is>
      </c>
      <c r="G357" t="inlineStr">
        <is>
          <t>Licențe software</t>
        </is>
      </c>
      <c r="H357" t="n">
        <v>10</v>
      </c>
      <c r="I357" t="n">
        <v>46.52</v>
      </c>
      <c r="J357" t="n">
        <v>465.2</v>
      </c>
      <c r="K357" s="13" t="n">
        <v>0.19</v>
      </c>
      <c r="L357" t="n">
        <v>88.39</v>
      </c>
      <c r="M357" t="n">
        <v>553.59</v>
      </c>
      <c r="N357" t="inlineStr">
        <is>
          <t>RON</t>
        </is>
      </c>
      <c r="O357" t="inlineStr">
        <is>
          <t>Alba Iulia</t>
        </is>
      </c>
      <c r="P357" s="12" t="n">
        <v>46334</v>
      </c>
      <c r="Q357">
        <f>IF(COUNTIF(tbl_Localitati[oras_oficial],[@oras])=0,"ORAS NEALINIAT",IF(XLOOKUP([@oras],tbl_Localitati[oras_oficial],tbl_Localitati[judet],"?")&lt;&gt;[@judet],"JUDET NECORESPUNZATOR",""))</f>
        <v/>
      </c>
      <c r="R357">
        <f>IF(XLOOKUP([@categorie],tbl_RegulriTVA[categorie],tbl_RegulriTVA[cota_legala],-1)&lt;&gt;[@cota_tva],"TVA GRESIT","")</f>
        <v/>
      </c>
      <c r="S357">
        <f>IF([@data_scadentei]&lt;[@data_factura],"SCADENTA INAINTEA FACTURII","")</f>
        <v/>
      </c>
      <c r="T357">
        <f>IF(NETWORKDAYS.INTL([@data_factura],[@data_factura],1,tbl_SarbatoriLegale[data])=0,"ZI NELUCRATOARE","")</f>
        <v/>
      </c>
      <c r="U357">
        <f>IF([@motiv_anomalie]="","OK","DE INVESTIGAT")</f>
        <v/>
      </c>
      <c r="V357">
        <f>TEXTJOIN("; ",TRUE,[@flag_oras],[@flag_tva],[@flag_scadenta],[@flag_zi])</f>
        <v/>
      </c>
    </row>
    <row r="358">
      <c r="A358" t="inlineStr">
        <is>
          <t>F-2025-00357</t>
        </is>
      </c>
      <c r="B358" s="12" t="n">
        <v>46301</v>
      </c>
      <c r="C358" t="inlineStr">
        <is>
          <t>SC VECTOR CONSULT SRL</t>
        </is>
      </c>
      <c r="D358" t="inlineStr">
        <is>
          <t>Timiș</t>
        </is>
      </c>
      <c r="E358" t="inlineStr">
        <is>
          <t>PRD-009</t>
        </is>
      </c>
      <c r="F358" t="inlineStr">
        <is>
          <t>Audit infrastructura</t>
        </is>
      </c>
      <c r="G358" t="inlineStr">
        <is>
          <t>Servicii consultanță</t>
        </is>
      </c>
      <c r="H358" t="n">
        <v>10</v>
      </c>
      <c r="I358" t="n">
        <v>26.93</v>
      </c>
      <c r="J358" t="n">
        <v>269.3</v>
      </c>
      <c r="K358" s="13" t="n">
        <v>0.19</v>
      </c>
      <c r="L358" t="n">
        <v>51.17</v>
      </c>
      <c r="M358" t="n">
        <v>320.47</v>
      </c>
      <c r="N358" t="inlineStr">
        <is>
          <t>RON</t>
        </is>
      </c>
      <c r="O358" t="inlineStr">
        <is>
          <t>Timișoara</t>
        </is>
      </c>
      <c r="P358" s="12" t="n">
        <v>46296</v>
      </c>
      <c r="Q358">
        <f>IF(COUNTIF(tbl_Localitati[oras_oficial],[@oras])=0,"ORAS NEALINIAT",IF(XLOOKUP([@oras],tbl_Localitati[oras_oficial],tbl_Localitati[judet],"?")&lt;&gt;[@judet],"JUDET NECORESPUNZATOR",""))</f>
        <v/>
      </c>
      <c r="R358">
        <f>IF(XLOOKUP([@categorie],tbl_RegulriTVA[categorie],tbl_RegulriTVA[cota_legala],-1)&lt;&gt;[@cota_tva],"TVA GRESIT","")</f>
        <v/>
      </c>
      <c r="S358">
        <f>IF([@data_scadentei]&lt;[@data_factura],"SCADENTA INAINTEA FACTURII","")</f>
        <v/>
      </c>
      <c r="T358">
        <f>IF(NETWORKDAYS.INTL([@data_factura],[@data_factura],1,tbl_SarbatoriLegale[data])=0,"ZI NELUCRATOARE","")</f>
        <v/>
      </c>
      <c r="U358">
        <f>IF([@motiv_anomalie]="","OK","DE INVESTIGAT")</f>
        <v/>
      </c>
      <c r="V358">
        <f>TEXTJOIN("; ",TRUE,[@flag_oras],[@flag_tva],[@flag_scadenta],[@flag_zi])</f>
        <v/>
      </c>
    </row>
    <row r="359">
      <c r="A359" t="inlineStr">
        <is>
          <t>F-2025-00358</t>
        </is>
      </c>
      <c r="B359" s="12" t="n">
        <v>46268</v>
      </c>
      <c r="C359" t="inlineStr">
        <is>
          <t>SC OMEGA SOFT SRL</t>
        </is>
      </c>
      <c r="D359" t="inlineStr">
        <is>
          <t>Dolj</t>
        </is>
      </c>
      <c r="E359" t="inlineStr">
        <is>
          <t>PRD-006</t>
        </is>
      </c>
      <c r="F359" t="inlineStr">
        <is>
          <t>Telefon IP birou</t>
        </is>
      </c>
      <c r="G359" t="inlineStr">
        <is>
          <t>Echipamente birou</t>
        </is>
      </c>
      <c r="H359" t="n">
        <v>5</v>
      </c>
      <c r="I359" t="n">
        <v>713</v>
      </c>
      <c r="J359" t="n">
        <v>3565</v>
      </c>
      <c r="K359" s="13" t="n">
        <v>0.19</v>
      </c>
      <c r="L359" t="n">
        <v>677.35</v>
      </c>
      <c r="M359" t="n">
        <v>4242.35</v>
      </c>
      <c r="N359" t="inlineStr">
        <is>
          <t>RON</t>
        </is>
      </c>
      <c r="O359" t="inlineStr">
        <is>
          <t>Craiova</t>
        </is>
      </c>
      <c r="P359" s="12" t="n">
        <v>46283</v>
      </c>
      <c r="Q359">
        <f>IF(COUNTIF(tbl_Localitati[oras_oficial],[@oras])=0,"ORAS NEALINIAT",IF(XLOOKUP([@oras],tbl_Localitati[oras_oficial],tbl_Localitati[judet],"?")&lt;&gt;[@judet],"JUDET NECORESPUNZATOR",""))</f>
        <v/>
      </c>
      <c r="R359">
        <f>IF(XLOOKUP([@categorie],tbl_RegulriTVA[categorie],tbl_RegulriTVA[cota_legala],-1)&lt;&gt;[@cota_tva],"TVA GRESIT","")</f>
        <v/>
      </c>
      <c r="S359">
        <f>IF([@data_scadentei]&lt;[@data_factura],"SCADENTA INAINTEA FACTURII","")</f>
        <v/>
      </c>
      <c r="T359">
        <f>IF(NETWORKDAYS.INTL([@data_factura],[@data_factura],1,tbl_SarbatoriLegale[data])=0,"ZI NELUCRATOARE","")</f>
        <v/>
      </c>
      <c r="U359">
        <f>IF([@motiv_anomalie]="","OK","DE INVESTIGAT")</f>
        <v/>
      </c>
      <c r="V359">
        <f>TEXTJOIN("; ",TRUE,[@flag_oras],[@flag_tva],[@flag_scadenta],[@flag_zi])</f>
        <v/>
      </c>
    </row>
    <row r="360">
      <c r="A360" t="inlineStr">
        <is>
          <t>F-2025-00359</t>
        </is>
      </c>
      <c r="B360" s="12" t="n">
        <v>46181</v>
      </c>
      <c r="C360" t="inlineStr">
        <is>
          <t>SC VECTOR CONSULT SRL</t>
        </is>
      </c>
      <c r="D360" t="inlineStr">
        <is>
          <t>Timiș</t>
        </is>
      </c>
      <c r="E360" t="inlineStr">
        <is>
          <t>PRD-001</t>
        </is>
      </c>
      <c r="F360" t="inlineStr">
        <is>
          <t>Cafea boabe 1kg</t>
        </is>
      </c>
      <c r="G360" t="inlineStr">
        <is>
          <t>Alimente</t>
        </is>
      </c>
      <c r="H360" t="n">
        <v>1</v>
      </c>
      <c r="I360" t="n">
        <v>2315.74</v>
      </c>
      <c r="J360" t="n">
        <v>2315.74</v>
      </c>
      <c r="K360" s="13" t="n">
        <v>0.09</v>
      </c>
      <c r="L360" t="n">
        <v>208.42</v>
      </c>
      <c r="M360" t="n">
        <v>2524.16</v>
      </c>
      <c r="N360" t="inlineStr">
        <is>
          <t>RON</t>
        </is>
      </c>
      <c r="O360" t="inlineStr">
        <is>
          <t>Timișoara</t>
        </is>
      </c>
      <c r="P360" s="12" t="n">
        <v>46211</v>
      </c>
      <c r="Q360">
        <f>IF(COUNTIF(tbl_Localitati[oras_oficial],[@oras])=0,"ORAS NEALINIAT",IF(XLOOKUP([@oras],tbl_Localitati[oras_oficial],tbl_Localitati[judet],"?")&lt;&gt;[@judet],"JUDET NECORESPUNZATOR",""))</f>
        <v/>
      </c>
      <c r="R360">
        <f>IF(XLOOKUP([@categorie],tbl_RegulriTVA[categorie],tbl_RegulriTVA[cota_legala],-1)&lt;&gt;[@cota_tva],"TVA GRESIT","")</f>
        <v/>
      </c>
      <c r="S360">
        <f>IF([@data_scadentei]&lt;[@data_factura],"SCADENTA INAINTEA FACTURII","")</f>
        <v/>
      </c>
      <c r="T360">
        <f>IF(NETWORKDAYS.INTL([@data_factura],[@data_factura],1,tbl_SarbatoriLegale[data])=0,"ZI NELUCRATOARE","")</f>
        <v/>
      </c>
      <c r="U360">
        <f>IF([@motiv_anomalie]="","OK","DE INVESTIGAT")</f>
        <v/>
      </c>
      <c r="V360">
        <f>TEXTJOIN("; ",TRUE,[@flag_oras],[@flag_tva],[@flag_scadenta],[@flag_zi])</f>
        <v/>
      </c>
    </row>
    <row r="361">
      <c r="A361" t="inlineStr">
        <is>
          <t>F-2025-00360</t>
        </is>
      </c>
      <c r="B361" s="12" t="n">
        <v>46164</v>
      </c>
      <c r="C361" t="inlineStr">
        <is>
          <t>SC DACTECH SOLUTIONS SRL</t>
        </is>
      </c>
      <c r="D361" t="inlineStr">
        <is>
          <t>Argeș</t>
        </is>
      </c>
      <c r="E361" t="inlineStr">
        <is>
          <t>PRD-002</t>
        </is>
      </c>
      <c r="F361" t="inlineStr">
        <is>
          <t>Termometru digital</t>
        </is>
      </c>
      <c r="G361" t="inlineStr">
        <is>
          <t>Produse farmaceutice</t>
        </is>
      </c>
      <c r="H361" t="n">
        <v>5</v>
      </c>
      <c r="I361" t="n">
        <v>1135.3</v>
      </c>
      <c r="J361" t="n">
        <v>5676.5</v>
      </c>
      <c r="K361" s="13" t="n">
        <v>0.09</v>
      </c>
      <c r="L361" t="n">
        <v>510.88</v>
      </c>
      <c r="M361" t="n">
        <v>6187.38</v>
      </c>
      <c r="N361" t="inlineStr">
        <is>
          <t>RON</t>
        </is>
      </c>
      <c r="O361" t="inlineStr">
        <is>
          <t>Pitești</t>
        </is>
      </c>
      <c r="P361" s="12" t="n">
        <v>46194</v>
      </c>
      <c r="Q361">
        <f>IF(COUNTIF(tbl_Localitati[oras_oficial],[@oras])=0,"ORAS NEALINIAT",IF(XLOOKUP([@oras],tbl_Localitati[oras_oficial],tbl_Localitati[judet],"?")&lt;&gt;[@judet],"JUDET NECORESPUNZATOR",""))</f>
        <v/>
      </c>
      <c r="R361">
        <f>IF(XLOOKUP([@categorie],tbl_RegulriTVA[categorie],tbl_RegulriTVA[cota_legala],-1)&lt;&gt;[@cota_tva],"TVA GRESIT","")</f>
        <v/>
      </c>
      <c r="S361">
        <f>IF([@data_scadentei]&lt;[@data_factura],"SCADENTA INAINTEA FACTURII","")</f>
        <v/>
      </c>
      <c r="T361">
        <f>IF(NETWORKDAYS.INTL([@data_factura],[@data_factura],1,tbl_SarbatoriLegale[data])=0,"ZI NELUCRATOARE","")</f>
        <v/>
      </c>
      <c r="U361">
        <f>IF([@motiv_anomalie]="","OK","DE INVESTIGAT")</f>
        <v/>
      </c>
      <c r="V361">
        <f>TEXTJOIN("; ",TRUE,[@flag_oras],[@flag_tva],[@flag_scadenta],[@flag_zi])</f>
        <v/>
      </c>
    </row>
    <row r="362">
      <c r="A362" t="inlineStr">
        <is>
          <t>F-2025-00361</t>
        </is>
      </c>
      <c r="B362" s="12" t="n">
        <v>46378</v>
      </c>
      <c r="C362" t="inlineStr">
        <is>
          <t>SC DACTECH SOLUTIONS SRL</t>
        </is>
      </c>
      <c r="D362" t="inlineStr">
        <is>
          <t>Argeș</t>
        </is>
      </c>
      <c r="E362" t="inlineStr">
        <is>
          <t>PRD-004</t>
        </is>
      </c>
      <c r="F362" t="inlineStr">
        <is>
          <t>Videoproiector sala</t>
        </is>
      </c>
      <c r="G362" t="inlineStr">
        <is>
          <t>Echipamente birou</t>
        </is>
      </c>
      <c r="H362" t="n">
        <v>5</v>
      </c>
      <c r="I362" t="n">
        <v>933.95</v>
      </c>
      <c r="J362" t="n">
        <v>4669.75</v>
      </c>
      <c r="K362" s="13" t="n">
        <v>0.19</v>
      </c>
      <c r="L362" t="n">
        <v>887.25</v>
      </c>
      <c r="M362" t="n">
        <v>5557</v>
      </c>
      <c r="N362" t="inlineStr">
        <is>
          <t>RON</t>
        </is>
      </c>
      <c r="O362" t="inlineStr">
        <is>
          <t>Pitești</t>
        </is>
      </c>
      <c r="P362" s="12" t="n">
        <v>46408</v>
      </c>
      <c r="Q362">
        <f>IF(COUNTIF(tbl_Localitati[oras_oficial],[@oras])=0,"ORAS NEALINIAT",IF(XLOOKUP([@oras],tbl_Localitati[oras_oficial],tbl_Localitati[judet],"?")&lt;&gt;[@judet],"JUDET NECORESPUNZATOR",""))</f>
        <v/>
      </c>
      <c r="R362">
        <f>IF(XLOOKUP([@categorie],tbl_RegulriTVA[categorie],tbl_RegulriTVA[cota_legala],-1)&lt;&gt;[@cota_tva],"TVA GRESIT","")</f>
        <v/>
      </c>
      <c r="S362">
        <f>IF([@data_scadentei]&lt;[@data_factura],"SCADENTA INAINTEA FACTURII","")</f>
        <v/>
      </c>
      <c r="T362">
        <f>IF(NETWORKDAYS.INTL([@data_factura],[@data_factura],1,tbl_SarbatoriLegale[data])=0,"ZI NELUCRATOARE","")</f>
        <v/>
      </c>
      <c r="U362">
        <f>IF([@motiv_anomalie]="","OK","DE INVESTIGAT")</f>
        <v/>
      </c>
      <c r="V362">
        <f>TEXTJOIN("; ",TRUE,[@flag_oras],[@flag_tva],[@flag_scadenta],[@flag_zi])</f>
        <v/>
      </c>
    </row>
    <row r="363">
      <c r="A363" t="inlineStr">
        <is>
          <t>F-2025-00362</t>
        </is>
      </c>
      <c r="B363" s="12" t="n">
        <v>46280</v>
      </c>
      <c r="C363" t="inlineStr">
        <is>
          <t>SC AROMET TRADING SRL</t>
        </is>
      </c>
      <c r="D363" t="inlineStr">
        <is>
          <t>Alba</t>
        </is>
      </c>
      <c r="E363" t="inlineStr">
        <is>
          <t>PRD-002</t>
        </is>
      </c>
      <c r="F363" t="inlineStr">
        <is>
          <t>Switch gigabit 24p</t>
        </is>
      </c>
      <c r="G363" t="inlineStr">
        <is>
          <t>Hardware IT</t>
        </is>
      </c>
      <c r="H363" t="n">
        <v>1</v>
      </c>
      <c r="I363" t="n">
        <v>1046.55</v>
      </c>
      <c r="J363" t="n">
        <v>1046.55</v>
      </c>
      <c r="K363" s="13" t="n">
        <v>0.19</v>
      </c>
      <c r="L363" t="n">
        <v>198.84</v>
      </c>
      <c r="M363" t="n">
        <v>1245.39</v>
      </c>
      <c r="N363" t="inlineStr">
        <is>
          <t>RON</t>
        </is>
      </c>
      <c r="O363" t="inlineStr">
        <is>
          <t>Alba Iulia</t>
        </is>
      </c>
      <c r="P363" s="12" t="n">
        <v>46310</v>
      </c>
      <c r="Q363">
        <f>IF(COUNTIF(tbl_Localitati[oras_oficial],[@oras])=0,"ORAS NEALINIAT",IF(XLOOKUP([@oras],tbl_Localitati[oras_oficial],tbl_Localitati[judet],"?")&lt;&gt;[@judet],"JUDET NECORESPUNZATOR",""))</f>
        <v/>
      </c>
      <c r="R363">
        <f>IF(XLOOKUP([@categorie],tbl_RegulriTVA[categorie],tbl_RegulriTVA[cota_legala],-1)&lt;&gt;[@cota_tva],"TVA GRESIT","")</f>
        <v/>
      </c>
      <c r="S363">
        <f>IF([@data_scadentei]&lt;[@data_factura],"SCADENTA INAINTEA FACTURII","")</f>
        <v/>
      </c>
      <c r="T363">
        <f>IF(NETWORKDAYS.INTL([@data_factura],[@data_factura],1,tbl_SarbatoriLegale[data])=0,"ZI NELUCRATOARE","")</f>
        <v/>
      </c>
      <c r="U363">
        <f>IF([@motiv_anomalie]="","OK","DE INVESTIGAT")</f>
        <v/>
      </c>
      <c r="V363">
        <f>TEXTJOIN("; ",TRUE,[@flag_oras],[@flag_tva],[@flag_scadenta],[@flag_zi])</f>
        <v/>
      </c>
    </row>
    <row r="364">
      <c r="A364" t="inlineStr">
        <is>
          <t>F-2025-00363</t>
        </is>
      </c>
      <c r="B364" s="12" t="n">
        <v>46161</v>
      </c>
      <c r="C364" t="inlineStr">
        <is>
          <t>SC ELECTROBUILD SRL</t>
        </is>
      </c>
      <c r="D364" t="inlineStr">
        <is>
          <t>Bacău</t>
        </is>
      </c>
      <c r="E364" t="inlineStr">
        <is>
          <t>PRD-002</t>
        </is>
      </c>
      <c r="F364" t="inlineStr">
        <is>
          <t>Ceai cutie 100buc</t>
        </is>
      </c>
      <c r="G364" t="inlineStr">
        <is>
          <t>Alimente</t>
        </is>
      </c>
      <c r="H364" t="n">
        <v>1</v>
      </c>
      <c r="I364" t="n">
        <v>1049.83</v>
      </c>
      <c r="J364" t="n">
        <v>1049.83</v>
      </c>
      <c r="K364" s="13" t="n">
        <v>0.09</v>
      </c>
      <c r="L364" t="n">
        <v>94.48</v>
      </c>
      <c r="M364" t="n">
        <v>1144.31</v>
      </c>
      <c r="N364" t="inlineStr">
        <is>
          <t>RON</t>
        </is>
      </c>
      <c r="O364" t="inlineStr">
        <is>
          <t>Bacău</t>
        </is>
      </c>
      <c r="P364" s="12" t="n">
        <v>46176</v>
      </c>
      <c r="Q364">
        <f>IF(COUNTIF(tbl_Localitati[oras_oficial],[@oras])=0,"ORAS NEALINIAT",IF(XLOOKUP([@oras],tbl_Localitati[oras_oficial],tbl_Localitati[judet],"?")&lt;&gt;[@judet],"JUDET NECORESPUNZATOR",""))</f>
        <v/>
      </c>
      <c r="R364">
        <f>IF(XLOOKUP([@categorie],tbl_RegulriTVA[categorie],tbl_RegulriTVA[cota_legala],-1)&lt;&gt;[@cota_tva],"TVA GRESIT","")</f>
        <v/>
      </c>
      <c r="S364">
        <f>IF([@data_scadentei]&lt;[@data_factura],"SCADENTA INAINTEA FACTURII","")</f>
        <v/>
      </c>
      <c r="T364">
        <f>IF(NETWORKDAYS.INTL([@data_factura],[@data_factura],1,tbl_SarbatoriLegale[data])=0,"ZI NELUCRATOARE","")</f>
        <v/>
      </c>
      <c r="U364">
        <f>IF([@motiv_anomalie]="","OK","DE INVESTIGAT")</f>
        <v/>
      </c>
      <c r="V364">
        <f>TEXTJOIN("; ",TRUE,[@flag_oras],[@flag_tva],[@flag_scadenta],[@flag_zi])</f>
        <v/>
      </c>
    </row>
    <row r="365">
      <c r="A365" t="inlineStr">
        <is>
          <t>F-2025-00364</t>
        </is>
      </c>
      <c r="B365" s="12" t="n">
        <v>46097</v>
      </c>
      <c r="C365" t="inlineStr">
        <is>
          <t>SC AROMET TRADING SRL</t>
        </is>
      </c>
      <c r="D365" t="inlineStr">
        <is>
          <t>Alba</t>
        </is>
      </c>
      <c r="E365" t="inlineStr">
        <is>
          <t>PRD-003</t>
        </is>
      </c>
      <c r="F365" t="inlineStr">
        <is>
          <t>Abonament suita cloud</t>
        </is>
      </c>
      <c r="G365" t="inlineStr">
        <is>
          <t>Licențe software</t>
        </is>
      </c>
      <c r="H365" t="n">
        <v>1</v>
      </c>
      <c r="I365" t="n">
        <v>4211.11</v>
      </c>
      <c r="J365" t="n">
        <v>4211.11</v>
      </c>
      <c r="K365" s="13" t="n">
        <v>0.19</v>
      </c>
      <c r="L365" t="n">
        <v>800.11</v>
      </c>
      <c r="M365" t="n">
        <v>5011.22</v>
      </c>
      <c r="N365" t="inlineStr">
        <is>
          <t>RON</t>
        </is>
      </c>
      <c r="O365" t="inlineStr">
        <is>
          <t>Alba Iulia</t>
        </is>
      </c>
      <c r="P365" s="12" t="n">
        <v>46112</v>
      </c>
      <c r="Q365">
        <f>IF(COUNTIF(tbl_Localitati[oras_oficial],[@oras])=0,"ORAS NEALINIAT",IF(XLOOKUP([@oras],tbl_Localitati[oras_oficial],tbl_Localitati[judet],"?")&lt;&gt;[@judet],"JUDET NECORESPUNZATOR",""))</f>
        <v/>
      </c>
      <c r="R365">
        <f>IF(XLOOKUP([@categorie],tbl_RegulriTVA[categorie],tbl_RegulriTVA[cota_legala],-1)&lt;&gt;[@cota_tva],"TVA GRESIT","")</f>
        <v/>
      </c>
      <c r="S365">
        <f>IF([@data_scadentei]&lt;[@data_factura],"SCADENTA INAINTEA FACTURII","")</f>
        <v/>
      </c>
      <c r="T365">
        <f>IF(NETWORKDAYS.INTL([@data_factura],[@data_factura],1,tbl_SarbatoriLegale[data])=0,"ZI NELUCRATOARE","")</f>
        <v/>
      </c>
      <c r="U365">
        <f>IF([@motiv_anomalie]="","OK","DE INVESTIGAT")</f>
        <v/>
      </c>
      <c r="V365">
        <f>TEXTJOIN("; ",TRUE,[@flag_oras],[@flag_tva],[@flag_scadenta],[@flag_zi])</f>
        <v/>
      </c>
    </row>
    <row r="366">
      <c r="A366" t="inlineStr">
        <is>
          <t>F-2025-00365</t>
        </is>
      </c>
      <c r="B366" s="12" t="n">
        <v>46272</v>
      </c>
      <c r="C366" t="inlineStr">
        <is>
          <t>SC DACTECH SOLUTIONS SRL</t>
        </is>
      </c>
      <c r="D366" t="inlineStr">
        <is>
          <t>Argeș</t>
        </is>
      </c>
      <c r="E366" t="inlineStr">
        <is>
          <t>PRD-005</t>
        </is>
      </c>
      <c r="F366" t="inlineStr">
        <is>
          <t>Switch gigabit 24p</t>
        </is>
      </c>
      <c r="G366" t="inlineStr">
        <is>
          <t>Hardware IT</t>
        </is>
      </c>
      <c r="H366" t="n">
        <v>1</v>
      </c>
      <c r="I366" t="n">
        <v>244.21</v>
      </c>
      <c r="J366" t="n">
        <v>244.21</v>
      </c>
      <c r="K366" s="13" t="n">
        <v>0.19</v>
      </c>
      <c r="L366" t="n">
        <v>46.4</v>
      </c>
      <c r="M366" t="n">
        <v>290.61</v>
      </c>
      <c r="N366" t="inlineStr">
        <is>
          <t>RON</t>
        </is>
      </c>
      <c r="O366" t="inlineStr">
        <is>
          <t>Pitești</t>
        </is>
      </c>
      <c r="P366" s="12" t="n">
        <v>46302</v>
      </c>
      <c r="Q366">
        <f>IF(COUNTIF(tbl_Localitati[oras_oficial],[@oras])=0,"ORAS NEALINIAT",IF(XLOOKUP([@oras],tbl_Localitati[oras_oficial],tbl_Localitati[judet],"?")&lt;&gt;[@judet],"JUDET NECORESPUNZATOR",""))</f>
        <v/>
      </c>
      <c r="R366">
        <f>IF(XLOOKUP([@categorie],tbl_RegulriTVA[categorie],tbl_RegulriTVA[cota_legala],-1)&lt;&gt;[@cota_tva],"TVA GRESIT","")</f>
        <v/>
      </c>
      <c r="S366">
        <f>IF([@data_scadentei]&lt;[@data_factura],"SCADENTA INAINTEA FACTURII","")</f>
        <v/>
      </c>
      <c r="T366">
        <f>IF(NETWORKDAYS.INTL([@data_factura],[@data_factura],1,tbl_SarbatoriLegale[data])=0,"ZI NELUCRATOARE","")</f>
        <v/>
      </c>
      <c r="U366">
        <f>IF([@motiv_anomalie]="","OK","DE INVESTIGAT")</f>
        <v/>
      </c>
      <c r="V366">
        <f>TEXTJOIN("; ",TRUE,[@flag_oras],[@flag_tva],[@flag_scadenta],[@flag_zi])</f>
        <v/>
      </c>
    </row>
    <row r="367">
      <c r="A367" t="inlineStr">
        <is>
          <t>F-2025-00366</t>
        </is>
      </c>
      <c r="B367" s="12" t="n">
        <v>46045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Statie de lucru desktop</t>
        </is>
      </c>
      <c r="G367" t="inlineStr">
        <is>
          <t>Hardware IT</t>
        </is>
      </c>
      <c r="H367" t="n">
        <v>10</v>
      </c>
      <c r="I367" t="n">
        <v>28.1</v>
      </c>
      <c r="J367" t="n">
        <v>281</v>
      </c>
      <c r="K367" s="13" t="n">
        <v>0.19</v>
      </c>
      <c r="L367" t="n">
        <v>53.39</v>
      </c>
      <c r="M367" t="n">
        <v>334.39</v>
      </c>
      <c r="N367" t="inlineStr">
        <is>
          <t>RON</t>
        </is>
      </c>
      <c r="O367" t="inlineStr">
        <is>
          <t>Sibiu</t>
        </is>
      </c>
      <c r="P367" s="12" t="n">
        <v>46075</v>
      </c>
      <c r="Q367">
        <f>IF(COUNTIF(tbl_Localitati[oras_oficial],[@oras])=0,"ORAS NEALINIAT",IF(XLOOKUP([@oras],tbl_Localitati[oras_oficial],tbl_Localitati[judet],"?")&lt;&gt;[@judet],"JUDET NECORESPUNZATOR",""))</f>
        <v/>
      </c>
      <c r="R367">
        <f>IF(XLOOKUP([@categorie],tbl_RegulriTVA[categorie],tbl_RegulriTVA[cota_legala],-1)&lt;&gt;[@cota_tva],"TVA GRESIT","")</f>
        <v/>
      </c>
      <c r="S367">
        <f>IF([@data_scadentei]&lt;[@data_factura],"SCADENTA INAINTEA FACTURII","")</f>
        <v/>
      </c>
      <c r="T367">
        <f>IF(NETWORKDAYS.INTL([@data_factura],[@data_factura],1,tbl_SarbatoriLegale[data])=0,"ZI NELUCRATOARE","")</f>
        <v/>
      </c>
      <c r="U367">
        <f>IF([@motiv_anomalie]="","OK","DE INVESTIGAT")</f>
        <v/>
      </c>
      <c r="V367">
        <f>TEXTJOIN("; ",TRUE,[@flag_oras],[@flag_tva],[@flag_scadenta],[@flag_zi])</f>
        <v/>
      </c>
    </row>
    <row r="368">
      <c r="A368" t="inlineStr">
        <is>
          <t>F-2025-00367</t>
        </is>
      </c>
      <c r="B368" s="12" t="n">
        <v>46316</v>
      </c>
      <c r="C368" t="inlineStr">
        <is>
          <t>SC METALPLAST INVEST SA</t>
        </is>
      </c>
      <c r="D368" t="inlineStr">
        <is>
          <t>Cluj</t>
        </is>
      </c>
      <c r="E368" t="inlineStr">
        <is>
          <t>PRD-002</t>
        </is>
      </c>
      <c r="F368" t="inlineStr">
        <is>
          <t>Statie de lucru desktop</t>
        </is>
      </c>
      <c r="G368" t="inlineStr">
        <is>
          <t>Hardware IT</t>
        </is>
      </c>
      <c r="H368" t="n">
        <v>1</v>
      </c>
      <c r="I368" t="n">
        <v>1100.75</v>
      </c>
      <c r="J368" t="n">
        <v>1100.75</v>
      </c>
      <c r="K368" s="13" t="n">
        <v>0.19</v>
      </c>
      <c r="L368" t="n">
        <v>209.14</v>
      </c>
      <c r="M368" t="n">
        <v>1309.89</v>
      </c>
      <c r="N368" t="inlineStr">
        <is>
          <t>RON</t>
        </is>
      </c>
      <c r="O368" t="inlineStr">
        <is>
          <t>Turda</t>
        </is>
      </c>
      <c r="P368" s="12" t="n">
        <v>46361</v>
      </c>
      <c r="Q368">
        <f>IF(COUNTIF(tbl_Localitati[oras_oficial],[@oras])=0,"ORAS NEALINIAT",IF(XLOOKUP([@oras],tbl_Localitati[oras_oficial],tbl_Localitati[judet],"?")&lt;&gt;[@judet],"JUDET NECORESPUNZATOR",""))</f>
        <v/>
      </c>
      <c r="R368">
        <f>IF(XLOOKUP([@categorie],tbl_RegulriTVA[categorie],tbl_RegulriTVA[cota_legala],-1)&lt;&gt;[@cota_tva],"TVA GRESIT","")</f>
        <v/>
      </c>
      <c r="S368">
        <f>IF([@data_scadentei]&lt;[@data_factura],"SCADENTA INAINTEA FACTURII","")</f>
        <v/>
      </c>
      <c r="T368">
        <f>IF(NETWORKDAYS.INTL([@data_factura],[@data_factura],1,tbl_SarbatoriLegale[data])=0,"ZI NELUCRATOARE","")</f>
        <v/>
      </c>
      <c r="U368">
        <f>IF([@motiv_anomalie]="","OK","DE INVESTIGAT")</f>
        <v/>
      </c>
      <c r="V368">
        <f>TEXTJOIN("; ",TRUE,[@flag_oras],[@flag_tva],[@flag_scadenta],[@flag_zi])</f>
        <v/>
      </c>
    </row>
    <row r="369">
      <c r="A369" t="inlineStr">
        <is>
          <t>F-2025-00368</t>
        </is>
      </c>
      <c r="B369" s="12" t="n">
        <v>46331</v>
      </c>
      <c r="C369" t="inlineStr">
        <is>
          <t>SC VECTOR CONSULT SRL</t>
        </is>
      </c>
      <c r="D369" t="inlineStr">
        <is>
          <t>Timiș</t>
        </is>
      </c>
      <c r="E369" t="inlineStr">
        <is>
          <t>PRD-009</t>
        </is>
      </c>
      <c r="F369" t="inlineStr">
        <is>
          <t>Statie de lucru desktop</t>
        </is>
      </c>
      <c r="G369" t="inlineStr">
        <is>
          <t>Hardware IT</t>
        </is>
      </c>
      <c r="H369" t="n">
        <v>10</v>
      </c>
      <c r="I369" t="n">
        <v>28.91</v>
      </c>
      <c r="J369" t="n">
        <v>289.1</v>
      </c>
      <c r="K369" s="13" t="n">
        <v>0.19</v>
      </c>
      <c r="L369" t="n">
        <v>54.93</v>
      </c>
      <c r="M369" t="n">
        <v>344.03</v>
      </c>
      <c r="N369" t="inlineStr">
        <is>
          <t>RON</t>
        </is>
      </c>
      <c r="O369" t="inlineStr">
        <is>
          <t>Timișoara</t>
        </is>
      </c>
      <c r="P369" s="12" t="n">
        <v>46376</v>
      </c>
      <c r="Q369">
        <f>IF(COUNTIF(tbl_Localitati[oras_oficial],[@oras])=0,"ORAS NEALINIAT",IF(XLOOKUP([@oras],tbl_Localitati[oras_oficial],tbl_Localitati[judet],"?")&lt;&gt;[@judet],"JUDET NECORESPUNZATOR",""))</f>
        <v/>
      </c>
      <c r="R369">
        <f>IF(XLOOKUP([@categorie],tbl_RegulriTVA[categorie],tbl_RegulriTVA[cota_legala],-1)&lt;&gt;[@cota_tva],"TVA GRESIT","")</f>
        <v/>
      </c>
      <c r="S369">
        <f>IF([@data_scadentei]&lt;[@data_factura],"SCADENTA INAINTEA FACTURII","")</f>
        <v/>
      </c>
      <c r="T369">
        <f>IF(NETWORKDAYS.INTL([@data_factura],[@data_factura],1,tbl_SarbatoriLegale[data])=0,"ZI NELUCRATOARE","")</f>
        <v/>
      </c>
      <c r="U369">
        <f>IF([@motiv_anomalie]="","OK","DE INVESTIGAT")</f>
        <v/>
      </c>
      <c r="V369">
        <f>TEXTJOIN("; ",TRUE,[@flag_oras],[@flag_tva],[@flag_scadenta],[@flag_zi])</f>
        <v/>
      </c>
    </row>
    <row r="370">
      <c r="A370" t="inlineStr">
        <is>
          <t>F-2025-00369</t>
        </is>
      </c>
      <c r="B370" s="12" t="n">
        <v>46106</v>
      </c>
      <c r="C370" t="inlineStr">
        <is>
          <t>SC AROMET TRADING SRL</t>
        </is>
      </c>
      <c r="D370" t="inlineStr">
        <is>
          <t>Alba</t>
        </is>
      </c>
      <c r="E370" t="inlineStr">
        <is>
          <t>PRD-003</t>
        </is>
      </c>
      <c r="F370" t="inlineStr">
        <is>
          <t>Suport tehnic anual</t>
        </is>
      </c>
      <c r="G370" t="inlineStr">
        <is>
          <t>Servicii consultanță</t>
        </is>
      </c>
      <c r="H370" t="n">
        <v>3</v>
      </c>
      <c r="I370" t="n">
        <v>4060.81</v>
      </c>
      <c r="J370" t="n">
        <v>12182.43</v>
      </c>
      <c r="K370" s="13" t="n">
        <v>0.19</v>
      </c>
      <c r="L370" t="n">
        <v>2314.66</v>
      </c>
      <c r="M370" t="n">
        <v>14497.09</v>
      </c>
      <c r="N370" t="inlineStr">
        <is>
          <t>RON</t>
        </is>
      </c>
      <c r="O370" t="inlineStr">
        <is>
          <t>Alba Iulia</t>
        </is>
      </c>
      <c r="P370" s="12" t="n">
        <v>46136</v>
      </c>
      <c r="Q370">
        <f>IF(COUNTIF(tbl_Localitati[oras_oficial],[@oras])=0,"ORAS NEALINIAT",IF(XLOOKUP([@oras],tbl_Localitati[oras_oficial],tbl_Localitati[judet],"?")&lt;&gt;[@judet],"JUDET NECORESPUNZATOR",""))</f>
        <v/>
      </c>
      <c r="R370">
        <f>IF(XLOOKUP([@categorie],tbl_RegulriTVA[categorie],tbl_RegulriTVA[cota_legala],-1)&lt;&gt;[@cota_tva],"TVA GRESIT","")</f>
        <v/>
      </c>
      <c r="S370">
        <f>IF([@data_scadentei]&lt;[@data_factura],"SCADENTA INAINTEA FACTURII","")</f>
        <v/>
      </c>
      <c r="T370">
        <f>IF(NETWORKDAYS.INTL([@data_factura],[@data_factura],1,tbl_SarbatoriLegale[data])=0,"ZI NELUCRATOARE","")</f>
        <v/>
      </c>
      <c r="U370">
        <f>IF([@motiv_anomalie]="","OK","DE INVESTIGAT")</f>
        <v/>
      </c>
      <c r="V370">
        <f>TEXTJOIN("; ",TRUE,[@flag_oras],[@flag_tva],[@flag_scadenta],[@flag_zi])</f>
        <v/>
      </c>
    </row>
    <row r="371">
      <c r="A371" t="inlineStr">
        <is>
          <t>F-2025-00370</t>
        </is>
      </c>
      <c r="B371" s="12" t="n">
        <v>46080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Manual proceduri interne</t>
        </is>
      </c>
      <c r="G371" t="inlineStr">
        <is>
          <t>Cărți și manuale</t>
        </is>
      </c>
      <c r="H371" t="n">
        <v>3</v>
      </c>
      <c r="I371" t="n">
        <v>248.15</v>
      </c>
      <c r="J371" t="n">
        <v>744.45</v>
      </c>
      <c r="K371" s="13" t="n">
        <v>0.05</v>
      </c>
      <c r="L371" t="n">
        <v>37.22</v>
      </c>
      <c r="M371" t="n">
        <v>781.67</v>
      </c>
      <c r="N371" t="inlineStr">
        <is>
          <t>RON</t>
        </is>
      </c>
      <c r="O371" t="inlineStr">
        <is>
          <t>Sibiu</t>
        </is>
      </c>
      <c r="P371" s="12" t="n">
        <v>46125</v>
      </c>
      <c r="Q371">
        <f>IF(COUNTIF(tbl_Localitati[oras_oficial],[@oras])=0,"ORAS NEALINIAT",IF(XLOOKUP([@oras],tbl_Localitati[oras_oficial],tbl_Localitati[judet],"?")&lt;&gt;[@judet],"JUDET NECORESPUNZATOR",""))</f>
        <v/>
      </c>
      <c r="R371">
        <f>IF(XLOOKUP([@categorie],tbl_RegulriTVA[categorie],tbl_RegulriTVA[cota_legala],-1)&lt;&gt;[@cota_tva],"TVA GRESIT","")</f>
        <v/>
      </c>
      <c r="S371">
        <f>IF([@data_scadentei]&lt;[@data_factura],"SCADENTA INAINTEA FACTURII","")</f>
        <v/>
      </c>
      <c r="T371">
        <f>IF(NETWORKDAYS.INTL([@data_factura],[@data_factura],1,tbl_SarbatoriLegale[data])=0,"ZI NELUCRATOARE","")</f>
        <v/>
      </c>
      <c r="U371">
        <f>IF([@motiv_anomalie]="","OK","DE INVESTIGAT")</f>
        <v/>
      </c>
      <c r="V371">
        <f>TEXTJOIN("; ",TRUE,[@flag_oras],[@flag_tva],[@flag_scadenta],[@flag_zi])</f>
        <v/>
      </c>
    </row>
    <row r="372">
      <c r="A372" t="inlineStr">
        <is>
          <t>F-2025-00371</t>
        </is>
      </c>
      <c r="B372" s="12" t="n">
        <v>46342</v>
      </c>
      <c r="C372" t="inlineStr">
        <is>
          <t>SC METALPLAST INVEST SA</t>
        </is>
      </c>
      <c r="D372" t="inlineStr">
        <is>
          <t>Cluj</t>
        </is>
      </c>
      <c r="E372" t="inlineStr">
        <is>
          <t>PRD-006</t>
        </is>
      </c>
      <c r="F372" t="inlineStr">
        <is>
          <t>Licenta antivirus enterprise</t>
        </is>
      </c>
      <c r="G372" t="inlineStr">
        <is>
          <t>Licențe software</t>
        </is>
      </c>
      <c r="H372" t="n">
        <v>5</v>
      </c>
      <c r="I372" t="n">
        <v>773.78</v>
      </c>
      <c r="J372" t="n">
        <v>3868.9</v>
      </c>
      <c r="K372" s="13" t="n">
        <v>0.19</v>
      </c>
      <c r="L372" t="n">
        <v>735.09</v>
      </c>
      <c r="M372" t="n">
        <v>4603.99</v>
      </c>
      <c r="N372" t="inlineStr">
        <is>
          <t>RON</t>
        </is>
      </c>
      <c r="O372" t="inlineStr">
        <is>
          <t>Turda</t>
        </is>
      </c>
      <c r="P372" s="12" t="n">
        <v>46372</v>
      </c>
      <c r="Q372">
        <f>IF(COUNTIF(tbl_Localitati[oras_oficial],[@oras])=0,"ORAS NEALINIAT",IF(XLOOKUP([@oras],tbl_Localitati[oras_oficial],tbl_Localitati[judet],"?")&lt;&gt;[@judet],"JUDET NECORESPUNZATOR",""))</f>
        <v/>
      </c>
      <c r="R372">
        <f>IF(XLOOKUP([@categorie],tbl_RegulriTVA[categorie],tbl_RegulriTVA[cota_legala],-1)&lt;&gt;[@cota_tva],"TVA GRESIT","")</f>
        <v/>
      </c>
      <c r="S372">
        <f>IF([@data_scadentei]&lt;[@data_factura],"SCADENTA INAINTEA FACTURII","")</f>
        <v/>
      </c>
      <c r="T372">
        <f>IF(NETWORKDAYS.INTL([@data_factura],[@data_factura],1,tbl_SarbatoriLegale[data])=0,"ZI NELUCRATOARE","")</f>
        <v/>
      </c>
      <c r="U372">
        <f>IF([@motiv_anomalie]="","OK","DE INVESTIGAT")</f>
        <v/>
      </c>
      <c r="V372">
        <f>TEXTJOIN("; ",TRUE,[@flag_oras],[@flag_tva],[@flag_scadenta],[@flag_zi])</f>
        <v/>
      </c>
    </row>
    <row r="373">
      <c r="A373" t="inlineStr">
        <is>
          <t>F-2025-00372</t>
        </is>
      </c>
      <c r="B373" s="12" t="n">
        <v>46119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Consultanta implementare IT</t>
        </is>
      </c>
      <c r="G373" t="inlineStr">
        <is>
          <t>Servicii consultanță</t>
        </is>
      </c>
      <c r="H373" t="n">
        <v>10</v>
      </c>
      <c r="I373" t="n">
        <v>359.36</v>
      </c>
      <c r="J373" t="n">
        <v>3593.6</v>
      </c>
      <c r="K373" s="13" t="n">
        <v>0.19</v>
      </c>
      <c r="L373" t="n">
        <v>682.78</v>
      </c>
      <c r="M373" t="n">
        <v>4276.38</v>
      </c>
      <c r="N373" t="inlineStr">
        <is>
          <t>RON</t>
        </is>
      </c>
      <c r="O373" t="inlineStr">
        <is>
          <t>Sibiu</t>
        </is>
      </c>
      <c r="P373" s="12" t="n">
        <v>46149</v>
      </c>
      <c r="Q373">
        <f>IF(COUNTIF(tbl_Localitati[oras_oficial],[@oras])=0,"ORAS NEALINIAT",IF(XLOOKUP([@oras],tbl_Localitati[oras_oficial],tbl_Localitati[judet],"?")&lt;&gt;[@judet],"JUDET NECORESPUNZATOR",""))</f>
        <v/>
      </c>
      <c r="R373">
        <f>IF(XLOOKUP([@categorie],tbl_RegulriTVA[categorie],tbl_RegulriTVA[cota_legala],-1)&lt;&gt;[@cota_tva],"TVA GRESIT","")</f>
        <v/>
      </c>
      <c r="S373">
        <f>IF([@data_scadentei]&lt;[@data_factura],"SCADENTA INAINTEA FACTURII","")</f>
        <v/>
      </c>
      <c r="T373">
        <f>IF(NETWORKDAYS.INTL([@data_factura],[@data_factura],1,tbl_SarbatoriLegale[data])=0,"ZI NELUCRATOARE","")</f>
        <v/>
      </c>
      <c r="U373">
        <f>IF([@motiv_anomalie]="","OK","DE INVESTIGAT")</f>
        <v/>
      </c>
      <c r="V373">
        <f>TEXTJOIN("; ",TRUE,[@flag_oras],[@flag_tva],[@flag_scadenta],[@flag_zi])</f>
        <v/>
      </c>
    </row>
    <row r="374">
      <c r="A374" t="inlineStr">
        <is>
          <t>F-2025-00373</t>
        </is>
      </c>
      <c r="B374" s="12" t="n">
        <v>46344</v>
      </c>
      <c r="C374" t="inlineStr">
        <is>
          <t>SC INTEGROMED SA</t>
        </is>
      </c>
      <c r="D374" t="inlineStr">
        <is>
          <t>Cluj</t>
        </is>
      </c>
      <c r="E374" t="inlineStr">
        <is>
          <t>PRD-011</t>
        </is>
      </c>
      <c r="F374" t="inlineStr">
        <is>
          <t>Apa plata bax</t>
        </is>
      </c>
      <c r="G374" t="inlineStr">
        <is>
          <t>Alimente</t>
        </is>
      </c>
      <c r="H374" t="n">
        <v>5</v>
      </c>
      <c r="I374" t="n">
        <v>44.53</v>
      </c>
      <c r="J374" t="n">
        <v>222.65</v>
      </c>
      <c r="K374" s="13" t="n">
        <v>0.09</v>
      </c>
      <c r="L374" t="n">
        <v>20.04</v>
      </c>
      <c r="M374" t="n">
        <v>242.69</v>
      </c>
      <c r="N374" t="inlineStr">
        <is>
          <t>RON</t>
        </is>
      </c>
      <c r="O374" t="inlineStr">
        <is>
          <t>Cluj-Napoca</t>
        </is>
      </c>
      <c r="P374" s="12" t="n">
        <v>46359</v>
      </c>
      <c r="Q374">
        <f>IF(COUNTIF(tbl_Localitati[oras_oficial],[@oras])=0,"ORAS NEALINIAT",IF(XLOOKUP([@oras],tbl_Localitati[oras_oficial],tbl_Localitati[judet],"?")&lt;&gt;[@judet],"JUDET NECORESPUNZATOR",""))</f>
        <v/>
      </c>
      <c r="R374">
        <f>IF(XLOOKUP([@categorie],tbl_RegulriTVA[categorie],tbl_RegulriTVA[cota_legala],-1)&lt;&gt;[@cota_tva],"TVA GRESIT","")</f>
        <v/>
      </c>
      <c r="S374">
        <f>IF([@data_scadentei]&lt;[@data_factura],"SCADENTA INAINTEA FACTURII","")</f>
        <v/>
      </c>
      <c r="T374">
        <f>IF(NETWORKDAYS.INTL([@data_factura],[@data_factura],1,tbl_SarbatoriLegale[data])=0,"ZI NELUCRATOARE","")</f>
        <v/>
      </c>
      <c r="U374">
        <f>IF([@motiv_anomalie]="","OK","DE INVESTIGAT")</f>
        <v/>
      </c>
      <c r="V374">
        <f>TEXTJOIN("; ",TRUE,[@flag_oras],[@flag_tva],[@flag_scadenta],[@flag_zi])</f>
        <v/>
      </c>
    </row>
    <row r="375">
      <c r="A375" t="inlineStr">
        <is>
          <t>F-2025-00374</t>
        </is>
      </c>
      <c r="B375" s="12" t="n">
        <v>46161</v>
      </c>
      <c r="C375" t="inlineStr">
        <is>
          <t>SC AROMET TRADING SRL</t>
        </is>
      </c>
      <c r="D375" t="inlineStr">
        <is>
          <t>Alba</t>
        </is>
      </c>
      <c r="E375" t="inlineStr">
        <is>
          <t>PRD-002</t>
        </is>
      </c>
      <c r="F375" t="inlineStr">
        <is>
          <t>Switch gigabit 24p</t>
        </is>
      </c>
      <c r="G375" t="inlineStr">
        <is>
          <t>Hardware IT</t>
        </is>
      </c>
      <c r="H375" t="n">
        <v>5</v>
      </c>
      <c r="I375" t="n">
        <v>1149.35</v>
      </c>
      <c r="J375" t="n">
        <v>5746.75</v>
      </c>
      <c r="K375" s="13" t="n">
        <v>0.19</v>
      </c>
      <c r="L375" t="n">
        <v>1091.88</v>
      </c>
      <c r="M375" t="n">
        <v>6838.63</v>
      </c>
      <c r="N375" t="inlineStr">
        <is>
          <t>RON</t>
        </is>
      </c>
      <c r="O375" t="inlineStr">
        <is>
          <t>Alba Iulia</t>
        </is>
      </c>
      <c r="P375" s="12" t="n">
        <v>46191</v>
      </c>
      <c r="Q375">
        <f>IF(COUNTIF(tbl_Localitati[oras_oficial],[@oras])=0,"ORAS NEALINIAT",IF(XLOOKUP([@oras],tbl_Localitati[oras_oficial],tbl_Localitati[judet],"?")&lt;&gt;[@judet],"JUDET NECORESPUNZATOR",""))</f>
        <v/>
      </c>
      <c r="R375">
        <f>IF(XLOOKUP([@categorie],tbl_RegulriTVA[categorie],tbl_RegulriTVA[cota_legala],-1)&lt;&gt;[@cota_tva],"TVA GRESIT","")</f>
        <v/>
      </c>
      <c r="S375">
        <f>IF([@data_scadentei]&lt;[@data_factura],"SCADENTA INAINTEA FACTURII","")</f>
        <v/>
      </c>
      <c r="T375">
        <f>IF(NETWORKDAYS.INTL([@data_factura],[@data_factura],1,tbl_SarbatoriLegale[data])=0,"ZI NELUCRATOARE","")</f>
        <v/>
      </c>
      <c r="U375">
        <f>IF([@motiv_anomalie]="","OK","DE INVESTIGAT")</f>
        <v/>
      </c>
      <c r="V375">
        <f>TEXTJOIN("; ",TRUE,[@flag_oras],[@flag_tva],[@flag_scadenta],[@flag_zi])</f>
        <v/>
      </c>
    </row>
    <row r="376">
      <c r="A376" t="inlineStr">
        <is>
          <t>F-2025-00375</t>
        </is>
      </c>
      <c r="B376" s="12" t="n">
        <v>46035</v>
      </c>
      <c r="C376" t="inlineStr">
        <is>
          <t>SC ZENITH AUTO SRL</t>
        </is>
      </c>
      <c r="D376" t="inlineStr">
        <is>
          <t>București</t>
        </is>
      </c>
      <c r="E376" t="inlineStr">
        <is>
          <t>PRD-002</t>
        </is>
      </c>
      <c r="F376" t="inlineStr">
        <is>
          <t>Licenta ERP contabilitate</t>
        </is>
      </c>
      <c r="G376" t="inlineStr">
        <is>
          <t>Licențe software</t>
        </is>
      </c>
      <c r="H376" t="n">
        <v>3</v>
      </c>
      <c r="I376" t="n">
        <v>1056.99</v>
      </c>
      <c r="J376" t="n">
        <v>3170.97</v>
      </c>
      <c r="K376" s="13" t="n">
        <v>0.19</v>
      </c>
      <c r="L376" t="n">
        <v>602.48</v>
      </c>
      <c r="M376" t="n">
        <v>3773.45</v>
      </c>
      <c r="N376" t="inlineStr">
        <is>
          <t>RON</t>
        </is>
      </c>
      <c r="O376" t="inlineStr">
        <is>
          <t>București</t>
        </is>
      </c>
      <c r="P376" s="12" t="n">
        <v>46065</v>
      </c>
      <c r="Q376">
        <f>IF(COUNTIF(tbl_Localitati[oras_oficial],[@oras])=0,"ORAS NEALINIAT",IF(XLOOKUP([@oras],tbl_Localitati[oras_oficial],tbl_Localitati[judet],"?")&lt;&gt;[@judet],"JUDET NECORESPUNZATOR",""))</f>
        <v/>
      </c>
      <c r="R376">
        <f>IF(XLOOKUP([@categorie],tbl_RegulriTVA[categorie],tbl_RegulriTVA[cota_legala],-1)&lt;&gt;[@cota_tva],"TVA GRESIT","")</f>
        <v/>
      </c>
      <c r="S376">
        <f>IF([@data_scadentei]&lt;[@data_factura],"SCADENTA INAINTEA FACTURII","")</f>
        <v/>
      </c>
      <c r="T376">
        <f>IF(NETWORKDAYS.INTL([@data_factura],[@data_factura],1,tbl_SarbatoriLegale[data])=0,"ZI NELUCRATOARE","")</f>
        <v/>
      </c>
      <c r="U376">
        <f>IF([@motiv_anomalie]="","OK","DE INVESTIGAT")</f>
        <v/>
      </c>
      <c r="V376">
        <f>TEXTJOIN("; ",TRUE,[@flag_oras],[@flag_tva],[@flag_scadenta],[@flag_zi])</f>
        <v/>
      </c>
    </row>
    <row r="377">
      <c r="A377" t="inlineStr">
        <is>
          <t>F-2025-00376</t>
        </is>
      </c>
      <c r="B377" s="12" t="n">
        <v>46073</v>
      </c>
      <c r="C377" t="inlineStr">
        <is>
          <t>SC DACTECH SOLUTIONS SRL</t>
        </is>
      </c>
      <c r="D377" t="inlineStr">
        <is>
          <t>Argeș</t>
        </is>
      </c>
      <c r="E377" t="inlineStr">
        <is>
          <t>PRD-010</t>
        </is>
      </c>
      <c r="F377" t="inlineStr">
        <is>
          <t>Server rack 1U</t>
        </is>
      </c>
      <c r="G377" t="inlineStr">
        <is>
          <t>Hardware IT</t>
        </is>
      </c>
      <c r="H377" t="n">
        <v>20</v>
      </c>
      <c r="I377" t="n">
        <v>354.87</v>
      </c>
      <c r="J377" t="n">
        <v>7097.4</v>
      </c>
      <c r="K377" s="13" t="n">
        <v>0.19</v>
      </c>
      <c r="L377" t="n">
        <v>1348.51</v>
      </c>
      <c r="M377" t="n">
        <v>8445.91</v>
      </c>
      <c r="N377" t="inlineStr">
        <is>
          <t>RON</t>
        </is>
      </c>
      <c r="O377" t="inlineStr">
        <is>
          <t>Pitești</t>
        </is>
      </c>
      <c r="P377" s="12" t="n">
        <v>46133</v>
      </c>
      <c r="Q377">
        <f>IF(COUNTIF(tbl_Localitati[oras_oficial],[@oras])=0,"ORAS NEALINIAT",IF(XLOOKUP([@oras],tbl_Localitati[oras_oficial],tbl_Localitati[judet],"?")&lt;&gt;[@judet],"JUDET NECORESPUNZATOR",""))</f>
        <v/>
      </c>
      <c r="R377">
        <f>IF(XLOOKUP([@categorie],tbl_RegulriTVA[categorie],tbl_RegulriTVA[cota_legala],-1)&lt;&gt;[@cota_tva],"TVA GRESIT","")</f>
        <v/>
      </c>
      <c r="S377">
        <f>IF([@data_scadentei]&lt;[@data_factura],"SCADENTA INAINTEA FACTURII","")</f>
        <v/>
      </c>
      <c r="T377">
        <f>IF(NETWORKDAYS.INTL([@data_factura],[@data_factura],1,tbl_SarbatoriLegale[data])=0,"ZI NELUCRATOARE","")</f>
        <v/>
      </c>
      <c r="U377">
        <f>IF([@motiv_anomalie]="","OK","DE INVESTIGAT")</f>
        <v/>
      </c>
      <c r="V377">
        <f>TEXTJOIN("; ",TRUE,[@flag_oras],[@flag_tva],[@flag_scadenta],[@flag_zi])</f>
        <v/>
      </c>
    </row>
    <row r="378">
      <c r="A378" t="inlineStr">
        <is>
          <t>F-2025-00377</t>
        </is>
      </c>
      <c r="B378" s="12" t="n">
        <v>46070</v>
      </c>
      <c r="C378" t="inlineStr">
        <is>
          <t>SC DACTECH SOLUTIONS SRL</t>
        </is>
      </c>
      <c r="D378" t="inlineStr">
        <is>
          <t>Argeș</t>
        </is>
      </c>
      <c r="E378" t="inlineStr">
        <is>
          <t>PRD-006</t>
        </is>
      </c>
      <c r="F378" t="inlineStr">
        <is>
          <t>Consultanta implementare IT</t>
        </is>
      </c>
      <c r="G378" t="inlineStr">
        <is>
          <t>Servicii consultanță</t>
        </is>
      </c>
      <c r="H378" t="n">
        <v>50</v>
      </c>
      <c r="I378" t="n">
        <v>753.15</v>
      </c>
      <c r="J378" t="n">
        <v>37657.5</v>
      </c>
      <c r="K378" s="13" t="n">
        <v>0.19</v>
      </c>
      <c r="L378" t="n">
        <v>7154.93</v>
      </c>
      <c r="M378" t="n">
        <v>44812.43</v>
      </c>
      <c r="N378" t="inlineStr">
        <is>
          <t>RON</t>
        </is>
      </c>
      <c r="O378" t="inlineStr">
        <is>
          <t>Pitești</t>
        </is>
      </c>
      <c r="P378" s="12" t="n">
        <v>46130</v>
      </c>
      <c r="Q378">
        <f>IF(COUNTIF(tbl_Localitati[oras_oficial],[@oras])=0,"ORAS NEALINIAT",IF(XLOOKUP([@oras],tbl_Localitati[oras_oficial],tbl_Localitati[judet],"?")&lt;&gt;[@judet],"JUDET NECORESPUNZATOR",""))</f>
        <v/>
      </c>
      <c r="R378">
        <f>IF(XLOOKUP([@categorie],tbl_RegulriTVA[categorie],tbl_RegulriTVA[cota_legala],-1)&lt;&gt;[@cota_tva],"TVA GRESIT","")</f>
        <v/>
      </c>
      <c r="S378">
        <f>IF([@data_scadentei]&lt;[@data_factura],"SCADENTA INAINTEA FACTURII","")</f>
        <v/>
      </c>
      <c r="T378">
        <f>IF(NETWORKDAYS.INTL([@data_factura],[@data_factura],1,tbl_SarbatoriLegale[data])=0,"ZI NELUCRATOARE","")</f>
        <v/>
      </c>
      <c r="U378">
        <f>IF([@motiv_anomalie]="","OK","DE INVESTIGAT")</f>
        <v/>
      </c>
      <c r="V378">
        <f>TEXTJOIN("; ",TRUE,[@flag_oras],[@flag_tva],[@flag_scadenta],[@flag_zi])</f>
        <v/>
      </c>
    </row>
    <row r="379">
      <c r="A379" t="inlineStr">
        <is>
          <t>F-2025-00378</t>
        </is>
      </c>
      <c r="B379" s="12" t="n">
        <v>46195</v>
      </c>
      <c r="C379" t="inlineStr">
        <is>
          <t>SC AROMET TRADING SRL</t>
        </is>
      </c>
      <c r="D379" t="inlineStr">
        <is>
          <t>Alba</t>
        </is>
      </c>
      <c r="E379" t="inlineStr">
        <is>
          <t>PRD-009</t>
        </is>
      </c>
      <c r="F379" t="inlineStr">
        <is>
          <t>Multifunctionala laser</t>
        </is>
      </c>
      <c r="G379" t="inlineStr">
        <is>
          <t>Echipamente birou</t>
        </is>
      </c>
      <c r="H379" t="n">
        <v>10</v>
      </c>
      <c r="I379" t="n">
        <v>28.57</v>
      </c>
      <c r="J379" t="n">
        <v>285.7</v>
      </c>
      <c r="K379" s="13" t="n">
        <v>0.19</v>
      </c>
      <c r="L379" t="n">
        <v>54.28</v>
      </c>
      <c r="M379" t="n">
        <v>339.98</v>
      </c>
      <c r="N379" t="inlineStr">
        <is>
          <t>RON</t>
        </is>
      </c>
      <c r="O379" t="inlineStr">
        <is>
          <t>Alba Iulia</t>
        </is>
      </c>
      <c r="P379" s="12" t="n">
        <v>46225</v>
      </c>
      <c r="Q379">
        <f>IF(COUNTIF(tbl_Localitati[oras_oficial],[@oras])=0,"ORAS NEALINIAT",IF(XLOOKUP([@oras],tbl_Localitati[oras_oficial],tbl_Localitati[judet],"?")&lt;&gt;[@judet],"JUDET NECORESPUNZATOR",""))</f>
        <v/>
      </c>
      <c r="R379">
        <f>IF(XLOOKUP([@categorie],tbl_RegulriTVA[categorie],tbl_RegulriTVA[cota_legala],-1)&lt;&gt;[@cota_tva],"TVA GRESIT","")</f>
        <v/>
      </c>
      <c r="S379">
        <f>IF([@data_scadentei]&lt;[@data_factura],"SCADENTA INAINTEA FACTURII","")</f>
        <v/>
      </c>
      <c r="T379">
        <f>IF(NETWORKDAYS.INTL([@data_factura],[@data_factura],1,tbl_SarbatoriLegale[data])=0,"ZI NELUCRATOARE","")</f>
        <v/>
      </c>
      <c r="U379">
        <f>IF([@motiv_anomalie]="","OK","DE INVESTIGAT")</f>
        <v/>
      </c>
      <c r="V379">
        <f>TEXTJOIN("; ",TRUE,[@flag_oras],[@flag_tva],[@flag_scadenta],[@flag_zi])</f>
        <v/>
      </c>
    </row>
    <row r="380">
      <c r="A380" t="inlineStr">
        <is>
          <t>F-2025-00379</t>
        </is>
      </c>
      <c r="B380" s="12" t="n">
        <v>46213</v>
      </c>
      <c r="C380" t="inlineStr">
        <is>
          <t>SC NORDIS DISTRIBUTIE SRL</t>
        </is>
      </c>
      <c r="D380" t="inlineStr">
        <is>
          <t>Constanța</t>
        </is>
      </c>
      <c r="E380" t="inlineStr">
        <is>
          <t>PRD-009</t>
        </is>
      </c>
      <c r="F380" t="inlineStr">
        <is>
          <t>Multifunctionala laser</t>
        </is>
      </c>
      <c r="G380" t="inlineStr">
        <is>
          <t>Echipamente birou</t>
        </is>
      </c>
      <c r="H380" t="n">
        <v>5</v>
      </c>
      <c r="I380" t="n">
        <v>26.63</v>
      </c>
      <c r="J380" t="n">
        <v>133.15</v>
      </c>
      <c r="K380" s="13" t="n">
        <v>0.19</v>
      </c>
      <c r="L380" t="n">
        <v>25.3</v>
      </c>
      <c r="M380" t="n">
        <v>158.45</v>
      </c>
      <c r="N380" t="inlineStr">
        <is>
          <t>EUR</t>
        </is>
      </c>
      <c r="O380" t="inlineStr">
        <is>
          <t>Mangalia</t>
        </is>
      </c>
      <c r="P380" s="12" t="n">
        <v>46243</v>
      </c>
      <c r="Q380">
        <f>IF(COUNTIF(tbl_Localitati[oras_oficial],[@oras])=0,"ORAS NEALINIAT",IF(XLOOKUP([@oras],tbl_Localitati[oras_oficial],tbl_Localitati[judet],"?")&lt;&gt;[@judet],"JUDET NECORESPUNZATOR",""))</f>
        <v/>
      </c>
      <c r="R380">
        <f>IF(XLOOKUP([@categorie],tbl_RegulriTVA[categorie],tbl_RegulriTVA[cota_legala],-1)&lt;&gt;[@cota_tva],"TVA GRESIT","")</f>
        <v/>
      </c>
      <c r="S380">
        <f>IF([@data_scadentei]&lt;[@data_factura],"SCADENTA INAINTEA FACTURII","")</f>
        <v/>
      </c>
      <c r="T380">
        <f>IF(NETWORKDAYS.INTL([@data_factura],[@data_factura],1,tbl_SarbatoriLegale[data])=0,"ZI NELUCRATOARE","")</f>
        <v/>
      </c>
      <c r="U380">
        <f>IF([@motiv_anomalie]="","OK","DE INVESTIGAT")</f>
        <v/>
      </c>
      <c r="V380">
        <f>TEXTJOIN("; ",TRUE,[@flag_oras],[@flag_tva],[@flag_scadenta],[@flag_zi])</f>
        <v/>
      </c>
    </row>
    <row r="381">
      <c r="A381" t="inlineStr">
        <is>
          <t>F-2025-00380</t>
        </is>
      </c>
      <c r="B381" s="12" t="n">
        <v>46315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Masti protectie cutie</t>
        </is>
      </c>
      <c r="G381" t="inlineStr">
        <is>
          <t>Produse farmaceutice</t>
        </is>
      </c>
      <c r="H381" t="n">
        <v>20</v>
      </c>
      <c r="I381" t="n">
        <v>28.72</v>
      </c>
      <c r="J381" t="n">
        <v>574.4</v>
      </c>
      <c r="K381" s="13" t="n">
        <v>0.09</v>
      </c>
      <c r="L381" t="n">
        <v>51.7</v>
      </c>
      <c r="M381" t="n">
        <v>626.1</v>
      </c>
      <c r="N381" t="inlineStr">
        <is>
          <t>RON</t>
        </is>
      </c>
      <c r="O381" t="inlineStr">
        <is>
          <t>Sibiu</t>
        </is>
      </c>
      <c r="P381" s="12" t="n">
        <v>46375</v>
      </c>
      <c r="Q381">
        <f>IF(COUNTIF(tbl_Localitati[oras_oficial],[@oras])=0,"ORAS NEALINIAT",IF(XLOOKUP([@oras],tbl_Localitati[oras_oficial],tbl_Localitati[judet],"?")&lt;&gt;[@judet],"JUDET NECORESPUNZATOR",""))</f>
        <v/>
      </c>
      <c r="R381">
        <f>IF(XLOOKUP([@categorie],tbl_RegulriTVA[categorie],tbl_RegulriTVA[cota_legala],-1)&lt;&gt;[@cota_tva],"TVA GRESIT","")</f>
        <v/>
      </c>
      <c r="S381">
        <f>IF([@data_scadentei]&lt;[@data_factura],"SCADENTA INAINTEA FACTURII","")</f>
        <v/>
      </c>
      <c r="T381">
        <f>IF(NETWORKDAYS.INTL([@data_factura],[@data_factura],1,tbl_SarbatoriLegale[data])=0,"ZI NELUCRATOARE","")</f>
        <v/>
      </c>
      <c r="U381">
        <f>IF([@motiv_anomalie]="","OK","DE INVESTIGAT")</f>
        <v/>
      </c>
      <c r="V381">
        <f>TEXTJOIN("; ",TRUE,[@flag_oras],[@flag_tva],[@flag_scadenta],[@flag_zi])</f>
        <v/>
      </c>
    </row>
    <row r="382">
      <c r="A382" t="inlineStr">
        <is>
          <t>F-2025-00381</t>
        </is>
      </c>
      <c r="B382" s="12" t="n">
        <v>46265</v>
      </c>
      <c r="C382" t="inlineStr">
        <is>
          <t>SC INTEGROMED SA</t>
        </is>
      </c>
      <c r="D382" t="inlineStr">
        <is>
          <t>Cluj</t>
        </is>
      </c>
      <c r="E382" t="inlineStr">
        <is>
          <t>PRD-012</t>
        </is>
      </c>
      <c r="F382" t="inlineStr">
        <is>
          <t>Multifunctionala laser</t>
        </is>
      </c>
      <c r="G382" t="inlineStr">
        <is>
          <t>Echipamente birou</t>
        </is>
      </c>
      <c r="H382" t="n">
        <v>2</v>
      </c>
      <c r="I382" t="n">
        <v>180.97</v>
      </c>
      <c r="J382" t="n">
        <v>361.94</v>
      </c>
      <c r="K382" s="13" t="n">
        <v>0.19</v>
      </c>
      <c r="L382" t="n">
        <v>68.77</v>
      </c>
      <c r="M382" t="n">
        <v>430.71</v>
      </c>
      <c r="N382" t="inlineStr">
        <is>
          <t>RON</t>
        </is>
      </c>
      <c r="O382" t="inlineStr">
        <is>
          <t>Cluj-Napoca</t>
        </is>
      </c>
      <c r="P382" s="12" t="n">
        <v>46280</v>
      </c>
      <c r="Q382">
        <f>IF(COUNTIF(tbl_Localitati[oras_oficial],[@oras])=0,"ORAS NEALINIAT",IF(XLOOKUP([@oras],tbl_Localitati[oras_oficial],tbl_Localitati[judet],"?")&lt;&gt;[@judet],"JUDET NECORESPUNZATOR",""))</f>
        <v/>
      </c>
      <c r="R382">
        <f>IF(XLOOKUP([@categorie],tbl_RegulriTVA[categorie],tbl_RegulriTVA[cota_legala],-1)&lt;&gt;[@cota_tva],"TVA GRESIT","")</f>
        <v/>
      </c>
      <c r="S382">
        <f>IF([@data_scadentei]&lt;[@data_factura],"SCADENTA INAINTEA FACTURII","")</f>
        <v/>
      </c>
      <c r="T382">
        <f>IF(NETWORKDAYS.INTL([@data_factura],[@data_factura],1,tbl_SarbatoriLegale[data])=0,"ZI NELUCRATOARE","")</f>
        <v/>
      </c>
      <c r="U382">
        <f>IF([@motiv_anomalie]="","OK","DE INVESTIGAT")</f>
        <v/>
      </c>
      <c r="V382">
        <f>TEXTJOIN("; ",TRUE,[@flag_oras],[@flag_tva],[@flag_scadenta],[@flag_zi])</f>
        <v/>
      </c>
    </row>
    <row r="383">
      <c r="A383" t="inlineStr">
        <is>
          <t>F-2025-00382</t>
        </is>
      </c>
      <c r="B383" s="12" t="n">
        <v>46337</v>
      </c>
      <c r="C383" t="inlineStr">
        <is>
          <t>SC PROVITA MEDICAL SRL</t>
        </is>
      </c>
      <c r="D383" t="inlineStr">
        <is>
          <t>Mureș</t>
        </is>
      </c>
      <c r="E383" t="inlineStr">
        <is>
          <t>PRD-003</t>
        </is>
      </c>
      <c r="F383" t="inlineStr">
        <is>
          <t>Telefon IP birou</t>
        </is>
      </c>
      <c r="G383" t="inlineStr">
        <is>
          <t>Echipamente birou</t>
        </is>
      </c>
      <c r="H383" t="n">
        <v>2</v>
      </c>
      <c r="I383" t="n">
        <v>4177.36</v>
      </c>
      <c r="J383" t="n">
        <v>8354.719999999999</v>
      </c>
      <c r="K383" s="13" t="n">
        <v>0.19</v>
      </c>
      <c r="L383" t="n">
        <v>1587.4</v>
      </c>
      <c r="M383" t="n">
        <v>9942.120000000001</v>
      </c>
      <c r="N383" t="inlineStr">
        <is>
          <t>RON</t>
        </is>
      </c>
      <c r="O383" t="inlineStr">
        <is>
          <t>Târgu Mureș</t>
        </is>
      </c>
      <c r="P383" s="12" t="n">
        <v>46367</v>
      </c>
      <c r="Q383">
        <f>IF(COUNTIF(tbl_Localitati[oras_oficial],[@oras])=0,"ORAS NEALINIAT",IF(XLOOKUP([@oras],tbl_Localitati[oras_oficial],tbl_Localitati[judet],"?")&lt;&gt;[@judet],"JUDET NECORESPUNZATOR",""))</f>
        <v/>
      </c>
      <c r="R383">
        <f>IF(XLOOKUP([@categorie],tbl_RegulriTVA[categorie],tbl_RegulriTVA[cota_legala],-1)&lt;&gt;[@cota_tva],"TVA GRESIT","")</f>
        <v/>
      </c>
      <c r="S383">
        <f>IF([@data_scadentei]&lt;[@data_factura],"SCADENTA INAINTEA FACTURII","")</f>
        <v/>
      </c>
      <c r="T383">
        <f>IF(NETWORKDAYS.INTL([@data_factura],[@data_factura],1,tbl_SarbatoriLegale[data])=0,"ZI NELUCRATOARE","")</f>
        <v/>
      </c>
      <c r="U383">
        <f>IF([@motiv_anomalie]="","OK","DE INVESTIGAT")</f>
        <v/>
      </c>
      <c r="V383">
        <f>TEXTJOIN("; ",TRUE,[@flag_oras],[@flag_tva],[@flag_scadenta],[@flag_zi])</f>
        <v/>
      </c>
    </row>
    <row r="384">
      <c r="A384" t="inlineStr">
        <is>
          <t>F-2025-00383</t>
        </is>
      </c>
      <c r="B384" s="12" t="n">
        <v>46066</v>
      </c>
      <c r="C384" t="inlineStr">
        <is>
          <t>SC INTEGROMED SA</t>
        </is>
      </c>
      <c r="D384" t="inlineStr">
        <is>
          <t>Cluj</t>
        </is>
      </c>
      <c r="E384" t="inlineStr">
        <is>
          <t>PRD-007</t>
        </is>
      </c>
      <c r="F384" t="inlineStr">
        <is>
          <t>Termometru digital</t>
        </is>
      </c>
      <c r="G384" t="inlineStr">
        <is>
          <t>Produse farmaceutice</t>
        </is>
      </c>
      <c r="H384" t="n">
        <v>1</v>
      </c>
      <c r="I384" t="n">
        <v>185.83</v>
      </c>
      <c r="J384" t="n">
        <v>185.83</v>
      </c>
      <c r="K384" s="13" t="n">
        <v>0.09</v>
      </c>
      <c r="L384" t="n">
        <v>16.72</v>
      </c>
      <c r="M384" t="n">
        <v>202.55</v>
      </c>
      <c r="N384" t="inlineStr">
        <is>
          <t>RON</t>
        </is>
      </c>
      <c r="O384" t="inlineStr">
        <is>
          <t>Cluj-Napoca</t>
        </is>
      </c>
      <c r="P384" s="12" t="n">
        <v>46096</v>
      </c>
      <c r="Q384">
        <f>IF(COUNTIF(tbl_Localitati[oras_oficial],[@oras])=0,"ORAS NEALINIAT",IF(XLOOKUP([@oras],tbl_Localitati[oras_oficial],tbl_Localitati[judet],"?")&lt;&gt;[@judet],"JUDET NECORESPUNZATOR",""))</f>
        <v/>
      </c>
      <c r="R384">
        <f>IF(XLOOKUP([@categorie],tbl_RegulriTVA[categorie],tbl_RegulriTVA[cota_legala],-1)&lt;&gt;[@cota_tva],"TVA GRESIT","")</f>
        <v/>
      </c>
      <c r="S384">
        <f>IF([@data_scadentei]&lt;[@data_factura],"SCADENTA INAINTEA FACTURII","")</f>
        <v/>
      </c>
      <c r="T384">
        <f>IF(NETWORKDAYS.INTL([@data_factura],[@data_factura],1,tbl_SarbatoriLegale[data])=0,"ZI NELUCRATOARE","")</f>
        <v/>
      </c>
      <c r="U384">
        <f>IF([@motiv_anomalie]="","OK","DE INVESTIGAT")</f>
        <v/>
      </c>
      <c r="V384">
        <f>TEXTJOIN("; ",TRUE,[@flag_oras],[@flag_tva],[@flag_scadenta],[@flag_zi])</f>
        <v/>
      </c>
    </row>
    <row r="385">
      <c r="A385" t="inlineStr">
        <is>
          <t>F-2025-00384</t>
        </is>
      </c>
      <c r="B385" s="12" t="n">
        <v>46359</v>
      </c>
      <c r="C385" t="inlineStr">
        <is>
          <t>SC AROMET TRADING SRL</t>
        </is>
      </c>
      <c r="D385" t="inlineStr">
        <is>
          <t>Alba</t>
        </is>
      </c>
      <c r="E385" t="inlineStr">
        <is>
          <t>PRD-009</t>
        </is>
      </c>
      <c r="F385" t="inlineStr">
        <is>
          <t>Monitor 27" 4K</t>
        </is>
      </c>
      <c r="G385" t="inlineStr">
        <is>
          <t>Hardware IT</t>
        </is>
      </c>
      <c r="H385" t="n">
        <v>100</v>
      </c>
      <c r="I385" t="n">
        <v>28.96</v>
      </c>
      <c r="J385" t="n">
        <v>2896</v>
      </c>
      <c r="K385" s="13" t="n">
        <v>0.19</v>
      </c>
      <c r="L385" t="n">
        <v>550.24</v>
      </c>
      <c r="M385" t="n">
        <v>3446.24</v>
      </c>
      <c r="N385" t="inlineStr">
        <is>
          <t>RON</t>
        </is>
      </c>
      <c r="O385" t="inlineStr">
        <is>
          <t>Alba Iulia</t>
        </is>
      </c>
      <c r="P385" s="12" t="n">
        <v>46374</v>
      </c>
      <c r="Q385">
        <f>IF(COUNTIF(tbl_Localitati[oras_oficial],[@oras])=0,"ORAS NEALINIAT",IF(XLOOKUP([@oras],tbl_Localitati[oras_oficial],tbl_Localitati[judet],"?")&lt;&gt;[@judet],"JUDET NECORESPUNZATOR",""))</f>
        <v/>
      </c>
      <c r="R385">
        <f>IF(XLOOKUP([@categorie],tbl_RegulriTVA[categorie],tbl_RegulriTVA[cota_legala],-1)&lt;&gt;[@cota_tva],"TVA GRESIT","")</f>
        <v/>
      </c>
      <c r="S385">
        <f>IF([@data_scadentei]&lt;[@data_factura],"SCADENTA INAINTEA FACTURII","")</f>
        <v/>
      </c>
      <c r="T385">
        <f>IF(NETWORKDAYS.INTL([@data_factura],[@data_factura],1,tbl_SarbatoriLegale[data])=0,"ZI NELUCRATOARE","")</f>
        <v/>
      </c>
      <c r="U385">
        <f>IF([@motiv_anomalie]="","OK","DE INVESTIGAT")</f>
        <v/>
      </c>
      <c r="V385">
        <f>TEXTJOIN("; ",TRUE,[@flag_oras],[@flag_tva],[@flag_scadenta],[@flag_zi])</f>
        <v/>
      </c>
    </row>
    <row r="386">
      <c r="A386" t="inlineStr">
        <is>
          <t>F-2025-00385</t>
        </is>
      </c>
      <c r="B386" s="12" t="n">
        <v>46080</v>
      </c>
      <c r="C386" t="inlineStr">
        <is>
          <t>SC INTEGROMED SA</t>
        </is>
      </c>
      <c r="D386" t="inlineStr">
        <is>
          <t>Cluj</t>
        </is>
      </c>
      <c r="E386" t="inlineStr">
        <is>
          <t>PRD-001</t>
        </is>
      </c>
      <c r="F386" t="inlineStr">
        <is>
          <t>Audit infrastructura</t>
        </is>
      </c>
      <c r="G386" t="inlineStr">
        <is>
          <t>Servicii consultanță</t>
        </is>
      </c>
      <c r="H386" t="n">
        <v>2</v>
      </c>
      <c r="I386" t="n">
        <v>2478.22</v>
      </c>
      <c r="J386" t="n">
        <v>4956.44</v>
      </c>
      <c r="K386" s="13" t="n">
        <v>0.19</v>
      </c>
      <c r="L386" t="n">
        <v>941.72</v>
      </c>
      <c r="M386" t="n">
        <v>5898.16</v>
      </c>
      <c r="N386" t="inlineStr">
        <is>
          <t>EUR</t>
        </is>
      </c>
      <c r="O386" t="inlineStr">
        <is>
          <t>Cluj-Napoca</t>
        </is>
      </c>
      <c r="P386" s="12" t="n">
        <v>46095</v>
      </c>
      <c r="Q386">
        <f>IF(COUNTIF(tbl_Localitati[oras_oficial],[@oras])=0,"ORAS NEALINIAT",IF(XLOOKUP([@oras],tbl_Localitati[oras_oficial],tbl_Localitati[judet],"?")&lt;&gt;[@judet],"JUDET NECORESPUNZATOR",""))</f>
        <v/>
      </c>
      <c r="R386">
        <f>IF(XLOOKUP([@categorie],tbl_RegulriTVA[categorie],tbl_RegulriTVA[cota_legala],-1)&lt;&gt;[@cota_tva],"TVA GRESIT","")</f>
        <v/>
      </c>
      <c r="S386">
        <f>IF([@data_scadentei]&lt;[@data_factura],"SCADENTA INAINTEA FACTURII","")</f>
        <v/>
      </c>
      <c r="T386">
        <f>IF(NETWORKDAYS.INTL([@data_factura],[@data_factura],1,tbl_SarbatoriLegale[data])=0,"ZI NELUCRATOARE","")</f>
        <v/>
      </c>
      <c r="U386">
        <f>IF([@motiv_anomalie]="","OK","DE INVESTIGAT")</f>
        <v/>
      </c>
      <c r="V386">
        <f>TEXTJOIN("; ",TRUE,[@flag_oras],[@flag_tva],[@flag_scadenta],[@flag_zi])</f>
        <v/>
      </c>
    </row>
    <row r="387">
      <c r="A387" t="inlineStr">
        <is>
          <t>F-2025-00386</t>
        </is>
      </c>
      <c r="B387" s="12" t="n">
        <v>46258</v>
      </c>
      <c r="C387" t="inlineStr">
        <is>
          <t>SC SOLARIS ENERGY SRL</t>
        </is>
      </c>
      <c r="D387" t="inlineStr">
        <is>
          <t>Prahova</t>
        </is>
      </c>
      <c r="E387" t="inlineStr">
        <is>
          <t>PRD-009</t>
        </is>
      </c>
      <c r="F387" t="inlineStr">
        <is>
          <t>Licenta ERP contabilitate</t>
        </is>
      </c>
      <c r="G387" t="inlineStr">
        <is>
          <t>Licențe software</t>
        </is>
      </c>
      <c r="H387" t="n">
        <v>50</v>
      </c>
      <c r="I387" t="n">
        <v>28.2</v>
      </c>
      <c r="J387" t="n">
        <v>1410</v>
      </c>
      <c r="K387" s="13" t="n">
        <v>0.19</v>
      </c>
      <c r="L387" t="n">
        <v>267.9</v>
      </c>
      <c r="M387" t="n">
        <v>1677.9</v>
      </c>
      <c r="N387" t="inlineStr">
        <is>
          <t>RON</t>
        </is>
      </c>
      <c r="O387" t="inlineStr">
        <is>
          <t>Câmpina</t>
        </is>
      </c>
      <c r="P387" s="12" t="n">
        <v>46318</v>
      </c>
      <c r="Q387">
        <f>IF(COUNTIF(tbl_Localitati[oras_oficial],[@oras])=0,"ORAS NEALINIAT",IF(XLOOKUP([@oras],tbl_Localitati[oras_oficial],tbl_Localitati[judet],"?")&lt;&gt;[@judet],"JUDET NECORESPUNZATOR",""))</f>
        <v/>
      </c>
      <c r="R387">
        <f>IF(XLOOKUP([@categorie],tbl_RegulriTVA[categorie],tbl_RegulriTVA[cota_legala],-1)&lt;&gt;[@cota_tva],"TVA GRESIT","")</f>
        <v/>
      </c>
      <c r="S387">
        <f>IF([@data_scadentei]&lt;[@data_factura],"SCADENTA INAINTEA FACTURII","")</f>
        <v/>
      </c>
      <c r="T387">
        <f>IF(NETWORKDAYS.INTL([@data_factura],[@data_factura],1,tbl_SarbatoriLegale[data])=0,"ZI NELUCRATOARE","")</f>
        <v/>
      </c>
      <c r="U387">
        <f>IF([@motiv_anomalie]="","OK","DE INVESTIGAT")</f>
        <v/>
      </c>
      <c r="V387">
        <f>TEXTJOIN("; ",TRUE,[@flag_oras],[@flag_tva],[@flag_scadenta],[@flag_zi])</f>
        <v/>
      </c>
    </row>
    <row r="388">
      <c r="A388" t="inlineStr">
        <is>
          <t>F-2025-00387</t>
        </is>
      </c>
      <c r="B388" s="12" t="n">
        <v>46247</v>
      </c>
      <c r="C388" t="inlineStr">
        <is>
          <t>SC UNIFOOD DISTRIBUTION SA</t>
        </is>
      </c>
      <c r="D388" t="inlineStr">
        <is>
          <t>Sibiu</t>
        </is>
      </c>
      <c r="E388" t="inlineStr">
        <is>
          <t>PRD-004</t>
        </is>
      </c>
      <c r="F388" t="inlineStr">
        <is>
          <t>Videoproiector sala</t>
        </is>
      </c>
      <c r="G388" t="inlineStr">
        <is>
          <t>Echipamente birou</t>
        </is>
      </c>
      <c r="H388" t="n">
        <v>5</v>
      </c>
      <c r="I388" t="n">
        <v>933.89</v>
      </c>
      <c r="J388" t="n">
        <v>4669.45</v>
      </c>
      <c r="K388" s="13" t="n">
        <v>0.19</v>
      </c>
      <c r="L388" t="n">
        <v>887.2</v>
      </c>
      <c r="M388" t="n">
        <v>5556.65</v>
      </c>
      <c r="N388" t="inlineStr">
        <is>
          <t>RON</t>
        </is>
      </c>
      <c r="O388" t="inlineStr">
        <is>
          <t>Mediaș</t>
        </is>
      </c>
      <c r="P388" s="12" t="n">
        <v>46292</v>
      </c>
      <c r="Q388">
        <f>IF(COUNTIF(tbl_Localitati[oras_oficial],[@oras])=0,"ORAS NEALINIAT",IF(XLOOKUP([@oras],tbl_Localitati[oras_oficial],tbl_Localitati[judet],"?")&lt;&gt;[@judet],"JUDET NECORESPUNZATOR",""))</f>
        <v/>
      </c>
      <c r="R388">
        <f>IF(XLOOKUP([@categorie],tbl_RegulriTVA[categorie],tbl_RegulriTVA[cota_legala],-1)&lt;&gt;[@cota_tva],"TVA GRESIT","")</f>
        <v/>
      </c>
      <c r="S388">
        <f>IF([@data_scadentei]&lt;[@data_factura],"SCADENTA INAINTEA FACTURII","")</f>
        <v/>
      </c>
      <c r="T388">
        <f>IF(NETWORKDAYS.INTL([@data_factura],[@data_factura],1,tbl_SarbatoriLegale[data])=0,"ZI NELUCRATOARE","")</f>
        <v/>
      </c>
      <c r="U388">
        <f>IF([@motiv_anomalie]="","OK","DE INVESTIGAT")</f>
        <v/>
      </c>
      <c r="V388">
        <f>TEXTJOIN("; ",TRUE,[@flag_oras],[@flag_tva],[@flag_scadenta],[@flag_zi])</f>
        <v/>
      </c>
    </row>
    <row r="389">
      <c r="A389" t="inlineStr">
        <is>
          <t>F-2025-00388</t>
        </is>
      </c>
      <c r="B389" s="12" t="n">
        <v>46216</v>
      </c>
      <c r="C389" t="inlineStr">
        <is>
          <t>SC NORDIS DISTRIBUTIE SRL</t>
        </is>
      </c>
      <c r="D389" t="inlineStr">
        <is>
          <t>Constanța</t>
        </is>
      </c>
      <c r="E389" t="inlineStr">
        <is>
          <t>PRD-003</t>
        </is>
      </c>
      <c r="F389" t="inlineStr">
        <is>
          <t>Telefon IP birou</t>
        </is>
      </c>
      <c r="G389" t="inlineStr">
        <is>
          <t>Echipamente birou</t>
        </is>
      </c>
      <c r="H389" t="n">
        <v>1</v>
      </c>
      <c r="I389" t="n">
        <v>4328.5</v>
      </c>
      <c r="J389" t="n">
        <v>4328.5</v>
      </c>
      <c r="K389" s="13" t="n">
        <v>0.19</v>
      </c>
      <c r="L389" t="n">
        <v>822.41</v>
      </c>
      <c r="M389" t="n">
        <v>5150.91</v>
      </c>
      <c r="N389" t="inlineStr">
        <is>
          <t>RON</t>
        </is>
      </c>
      <c r="O389" t="inlineStr">
        <is>
          <t>Mangalia</t>
        </is>
      </c>
      <c r="P389" s="12" t="n">
        <v>46261</v>
      </c>
      <c r="Q389">
        <f>IF(COUNTIF(tbl_Localitati[oras_oficial],[@oras])=0,"ORAS NEALINIAT",IF(XLOOKUP([@oras],tbl_Localitati[oras_oficial],tbl_Localitati[judet],"?")&lt;&gt;[@judet],"JUDET NECORESPUNZATOR",""))</f>
        <v/>
      </c>
      <c r="R389">
        <f>IF(XLOOKUP([@categorie],tbl_RegulriTVA[categorie],tbl_RegulriTVA[cota_legala],-1)&lt;&gt;[@cota_tva],"TVA GRESIT","")</f>
        <v/>
      </c>
      <c r="S389">
        <f>IF([@data_scadentei]&lt;[@data_factura],"SCADENTA INAINTEA FACTURII","")</f>
        <v/>
      </c>
      <c r="T389">
        <f>IF(NETWORKDAYS.INTL([@data_factura],[@data_factura],1,tbl_SarbatoriLegale[data])=0,"ZI NELUCRATOARE","")</f>
        <v/>
      </c>
      <c r="U389">
        <f>IF([@motiv_anomalie]="","OK","DE INVESTIGAT")</f>
        <v/>
      </c>
      <c r="V389">
        <f>TEXTJOIN("; ",TRUE,[@flag_oras],[@flag_tva],[@flag_scadenta],[@flag_zi])</f>
        <v/>
      </c>
    </row>
    <row r="390">
      <c r="A390" t="inlineStr">
        <is>
          <t>F-2025-00389</t>
        </is>
      </c>
      <c r="B390" s="12" t="n">
        <v>46318</v>
      </c>
      <c r="C390" t="inlineStr">
        <is>
          <t>SC AROMET TRADING SRL</t>
        </is>
      </c>
      <c r="D390" t="inlineStr">
        <is>
          <t>Alba</t>
        </is>
      </c>
      <c r="E390" t="inlineStr">
        <is>
          <t>PRD-011</t>
        </is>
      </c>
      <c r="F390" t="inlineStr">
        <is>
          <t>Laptop business 15"</t>
        </is>
      </c>
      <c r="G390" t="inlineStr">
        <is>
          <t>Hardware IT</t>
        </is>
      </c>
      <c r="H390" t="n">
        <v>5</v>
      </c>
      <c r="I390" t="n">
        <v>46.36</v>
      </c>
      <c r="J390" t="n">
        <v>231.8</v>
      </c>
      <c r="K390" s="13" t="n">
        <v>0.09</v>
      </c>
      <c r="L390" t="n">
        <v>20.86</v>
      </c>
      <c r="M390" t="n">
        <v>252.66</v>
      </c>
      <c r="N390" t="inlineStr">
        <is>
          <t>RON</t>
        </is>
      </c>
      <c r="O390" t="inlineStr">
        <is>
          <t>Cluj Napoca</t>
        </is>
      </c>
      <c r="P390" s="12" t="n">
        <v>46378</v>
      </c>
      <c r="Q390">
        <f>IF(COUNTIF(tbl_Localitati[oras_oficial],[@oras])=0,"ORAS NEALINIAT",IF(XLOOKUP([@oras],tbl_Localitati[oras_oficial],tbl_Localitati[judet],"?")&lt;&gt;[@judet],"JUDET NECORESPUNZATOR",""))</f>
        <v/>
      </c>
      <c r="R390">
        <f>IF(XLOOKUP([@categorie],tbl_RegulriTVA[categorie],tbl_RegulriTVA[cota_legala],-1)&lt;&gt;[@cota_tva],"TVA GRESIT","")</f>
        <v/>
      </c>
      <c r="S390">
        <f>IF([@data_scadentei]&lt;[@data_factura],"SCADENTA INAINTEA FACTURII","")</f>
        <v/>
      </c>
      <c r="T390">
        <f>IF(NETWORKDAYS.INTL([@data_factura],[@data_factura],1,tbl_SarbatoriLegale[data])=0,"ZI NELUCRATOARE","")</f>
        <v/>
      </c>
      <c r="U390">
        <f>IF([@motiv_anomalie]="","OK","DE INVESTIGAT")</f>
        <v/>
      </c>
      <c r="V390">
        <f>TEXTJOIN("; ",TRUE,[@flag_oras],[@flag_tva],[@flag_scadenta],[@flag_zi])</f>
        <v/>
      </c>
    </row>
    <row r="391">
      <c r="A391" t="inlineStr">
        <is>
          <t>F-2025-00390</t>
        </is>
      </c>
      <c r="B391" s="12" t="n">
        <v>46267</v>
      </c>
      <c r="C391" t="inlineStr">
        <is>
          <t>SC DACTECH SOLUTIONS SRL</t>
        </is>
      </c>
      <c r="D391" t="inlineStr">
        <is>
          <t>Argeș</t>
        </is>
      </c>
      <c r="E391" t="inlineStr">
        <is>
          <t>PRD-005</t>
        </is>
      </c>
      <c r="F391" t="inlineStr">
        <is>
          <t>Apa plata bax</t>
        </is>
      </c>
      <c r="G391" t="inlineStr">
        <is>
          <t>Alimente</t>
        </is>
      </c>
      <c r="H391" t="n">
        <v>3</v>
      </c>
      <c r="I391" t="n">
        <v>260.94</v>
      </c>
      <c r="J391" t="n">
        <v>782.8200000000001</v>
      </c>
      <c r="K391" s="13" t="n">
        <v>0.09</v>
      </c>
      <c r="L391" t="n">
        <v>70.45</v>
      </c>
      <c r="M391" t="n">
        <v>853.27</v>
      </c>
      <c r="N391" t="inlineStr">
        <is>
          <t>RON</t>
        </is>
      </c>
      <c r="O391" t="inlineStr">
        <is>
          <t>Pitești</t>
        </is>
      </c>
      <c r="P391" s="12" t="n">
        <v>46312</v>
      </c>
      <c r="Q391">
        <f>IF(COUNTIF(tbl_Localitati[oras_oficial],[@oras])=0,"ORAS NEALINIAT",IF(XLOOKUP([@oras],tbl_Localitati[oras_oficial],tbl_Localitati[judet],"?")&lt;&gt;[@judet],"JUDET NECORESPUNZATOR",""))</f>
        <v/>
      </c>
      <c r="R391">
        <f>IF(XLOOKUP([@categorie],tbl_RegulriTVA[categorie],tbl_RegulriTVA[cota_legala],-1)&lt;&gt;[@cota_tva],"TVA GRESIT","")</f>
        <v/>
      </c>
      <c r="S391">
        <f>IF([@data_scadentei]&lt;[@data_factura],"SCADENTA INAINTEA FACTURII","")</f>
        <v/>
      </c>
      <c r="T391">
        <f>IF(NETWORKDAYS.INTL([@data_factura],[@data_factura],1,tbl_SarbatoriLegale[data])=0,"ZI NELUCRATOARE","")</f>
        <v/>
      </c>
      <c r="U391">
        <f>IF([@motiv_anomalie]="","OK","DE INVESTIGAT")</f>
        <v/>
      </c>
      <c r="V391">
        <f>TEXTJOIN("; ",TRUE,[@flag_oras],[@flag_tva],[@flag_scadenta],[@flag_zi])</f>
        <v/>
      </c>
    </row>
    <row r="392">
      <c r="A392" t="inlineStr">
        <is>
          <t>F-2025-00391</t>
        </is>
      </c>
      <c r="B392" s="12" t="n">
        <v>46196</v>
      </c>
      <c r="C392" t="inlineStr">
        <is>
          <t>SC OMEGA SOFT SRL</t>
        </is>
      </c>
      <c r="D392" t="inlineStr">
        <is>
          <t>Dolj</t>
        </is>
      </c>
      <c r="E392" t="inlineStr">
        <is>
          <t>PRD-011</t>
        </is>
      </c>
      <c r="F392" t="inlineStr">
        <is>
          <t>Telefon IP birou</t>
        </is>
      </c>
      <c r="G392" t="inlineStr">
        <is>
          <t>Echipamente birou</t>
        </is>
      </c>
      <c r="H392" t="n">
        <v>50</v>
      </c>
      <c r="I392" t="n">
        <v>46.56</v>
      </c>
      <c r="J392" t="n">
        <v>2328</v>
      </c>
      <c r="K392" s="13" t="n">
        <v>0.19</v>
      </c>
      <c r="L392" t="n">
        <v>442.32</v>
      </c>
      <c r="M392" t="n">
        <v>2770.32</v>
      </c>
      <c r="N392" t="inlineStr">
        <is>
          <t>EUR</t>
        </is>
      </c>
      <c r="O392" t="inlineStr">
        <is>
          <t>Craiova</t>
        </is>
      </c>
      <c r="P392" s="12" t="n">
        <v>46226</v>
      </c>
      <c r="Q392">
        <f>IF(COUNTIF(tbl_Localitati[oras_oficial],[@oras])=0,"ORAS NEALINIAT",IF(XLOOKUP([@oras],tbl_Localitati[oras_oficial],tbl_Localitati[judet],"?")&lt;&gt;[@judet],"JUDET NECORESPUNZATOR",""))</f>
        <v/>
      </c>
      <c r="R392">
        <f>IF(XLOOKUP([@categorie],tbl_RegulriTVA[categorie],tbl_RegulriTVA[cota_legala],-1)&lt;&gt;[@cota_tva],"TVA GRESIT","")</f>
        <v/>
      </c>
      <c r="S392">
        <f>IF([@data_scadentei]&lt;[@data_factura],"SCADENTA INAINTEA FACTURII","")</f>
        <v/>
      </c>
      <c r="T392">
        <f>IF(NETWORKDAYS.INTL([@data_factura],[@data_factura],1,tbl_SarbatoriLegale[data])=0,"ZI NELUCRATOARE","")</f>
        <v/>
      </c>
      <c r="U392">
        <f>IF([@motiv_anomalie]="","OK","DE INVESTIGAT")</f>
        <v/>
      </c>
      <c r="V392">
        <f>TEXTJOIN("; ",TRUE,[@flag_oras],[@flag_tva],[@flag_scadenta],[@flag_zi])</f>
        <v/>
      </c>
    </row>
    <row r="393">
      <c r="A393" t="inlineStr">
        <is>
          <t>F-2025-00392</t>
        </is>
      </c>
      <c r="B393" s="12" t="n">
        <v>46330</v>
      </c>
      <c r="C393" t="inlineStr">
        <is>
          <t>SC AROMET TRADING SRL</t>
        </is>
      </c>
      <c r="D393" t="inlineStr">
        <is>
          <t>Alba</t>
        </is>
      </c>
      <c r="E393" t="inlineStr">
        <is>
          <t>PRD-002</t>
        </is>
      </c>
      <c r="F393" t="inlineStr">
        <is>
          <t>Abonament suita cloud</t>
        </is>
      </c>
      <c r="G393" t="inlineStr">
        <is>
          <t>Licențe software</t>
        </is>
      </c>
      <c r="H393" t="n">
        <v>2</v>
      </c>
      <c r="I393" t="n">
        <v>1107.63</v>
      </c>
      <c r="J393" t="n">
        <v>2215.26</v>
      </c>
      <c r="K393" s="13" t="n">
        <v>0.19</v>
      </c>
      <c r="L393" t="n">
        <v>420.9</v>
      </c>
      <c r="M393" t="n">
        <v>2636.16</v>
      </c>
      <c r="N393" t="inlineStr">
        <is>
          <t>RON</t>
        </is>
      </c>
      <c r="O393" t="inlineStr">
        <is>
          <t>Alba Iulia</t>
        </is>
      </c>
      <c r="P393" s="12" t="n">
        <v>46360</v>
      </c>
      <c r="Q393">
        <f>IF(COUNTIF(tbl_Localitati[oras_oficial],[@oras])=0,"ORAS NEALINIAT",IF(XLOOKUP([@oras],tbl_Localitati[oras_oficial],tbl_Localitati[judet],"?")&lt;&gt;[@judet],"JUDET NECORESPUNZATOR",""))</f>
        <v/>
      </c>
      <c r="R393">
        <f>IF(XLOOKUP([@categorie],tbl_RegulriTVA[categorie],tbl_RegulriTVA[cota_legala],-1)&lt;&gt;[@cota_tva],"TVA GRESIT","")</f>
        <v/>
      </c>
      <c r="S393">
        <f>IF([@data_scadentei]&lt;[@data_factura],"SCADENTA INAINTEA FACTURII","")</f>
        <v/>
      </c>
      <c r="T393">
        <f>IF(NETWORKDAYS.INTL([@data_factura],[@data_factura],1,tbl_SarbatoriLegale[data])=0,"ZI NELUCRATOARE","")</f>
        <v/>
      </c>
      <c r="U393">
        <f>IF([@motiv_anomalie]="","OK","DE INVESTIGAT")</f>
        <v/>
      </c>
      <c r="V393">
        <f>TEXTJOIN("; ",TRUE,[@flag_oras],[@flag_tva],[@flag_scadenta],[@flag_zi])</f>
        <v/>
      </c>
    </row>
    <row r="394">
      <c r="A394" t="inlineStr">
        <is>
          <t>F-2025-00393</t>
        </is>
      </c>
      <c r="B394" s="12" t="n">
        <v>46295</v>
      </c>
      <c r="C394" t="inlineStr">
        <is>
          <t>SC INTEGROMED SA</t>
        </is>
      </c>
      <c r="D394" t="inlineStr">
        <is>
          <t>Cluj</t>
        </is>
      </c>
      <c r="E394" t="inlineStr">
        <is>
          <t>PRD-009</t>
        </is>
      </c>
      <c r="F394" t="inlineStr">
        <is>
          <t>Videoproiector sala</t>
        </is>
      </c>
      <c r="G394" t="inlineStr">
        <is>
          <t>Echipamente birou</t>
        </is>
      </c>
      <c r="H394" t="n">
        <v>10</v>
      </c>
      <c r="I394" t="n">
        <v>27.35</v>
      </c>
      <c r="J394" t="n">
        <v>273.5</v>
      </c>
      <c r="K394" s="13" t="n">
        <v>0.19</v>
      </c>
      <c r="L394" t="n">
        <v>51.97</v>
      </c>
      <c r="M394" t="n">
        <v>325.47</v>
      </c>
      <c r="N394" t="inlineStr">
        <is>
          <t>EUR</t>
        </is>
      </c>
      <c r="O394" t="inlineStr">
        <is>
          <t>Cluj-Napoca</t>
        </is>
      </c>
      <c r="P394" s="12" t="n">
        <v>46310</v>
      </c>
      <c r="Q394">
        <f>IF(COUNTIF(tbl_Localitati[oras_oficial],[@oras])=0,"ORAS NEALINIAT",IF(XLOOKUP([@oras],tbl_Localitati[oras_oficial],tbl_Localitati[judet],"?")&lt;&gt;[@judet],"JUDET NECORESPUNZATOR",""))</f>
        <v/>
      </c>
      <c r="R394">
        <f>IF(XLOOKUP([@categorie],tbl_RegulriTVA[categorie],tbl_RegulriTVA[cota_legala],-1)&lt;&gt;[@cota_tva],"TVA GRESIT","")</f>
        <v/>
      </c>
      <c r="S394">
        <f>IF([@data_scadentei]&lt;[@data_factura],"SCADENTA INAINTEA FACTURII","")</f>
        <v/>
      </c>
      <c r="T394">
        <f>IF(NETWORKDAYS.INTL([@data_factura],[@data_factura],1,tbl_SarbatoriLegale[data])=0,"ZI NELUCRATOARE","")</f>
        <v/>
      </c>
      <c r="U394">
        <f>IF([@motiv_anomalie]="","OK","DE INVESTIGAT")</f>
        <v/>
      </c>
      <c r="V394">
        <f>TEXTJOIN("; ",TRUE,[@flag_oras],[@flag_tva],[@flag_scadenta],[@flag_zi])</f>
        <v/>
      </c>
    </row>
    <row r="395">
      <c r="A395" t="inlineStr">
        <is>
          <t>F-2025-00394</t>
        </is>
      </c>
      <c r="B395" s="12" t="n">
        <v>46146</v>
      </c>
      <c r="C395" t="inlineStr">
        <is>
          <t>SC DACTECH SOLUTIONS SRL</t>
        </is>
      </c>
      <c r="D395" t="inlineStr">
        <is>
          <t>Argeș</t>
        </is>
      </c>
      <c r="E395" t="inlineStr">
        <is>
          <t>PRD-005</t>
        </is>
      </c>
      <c r="F395" t="inlineStr">
        <is>
          <t>Videoproiector sala</t>
        </is>
      </c>
      <c r="G395" t="inlineStr">
        <is>
          <t>Echipamente birou</t>
        </is>
      </c>
      <c r="H395" t="n">
        <v>1</v>
      </c>
      <c r="I395" t="n">
        <v>252.85</v>
      </c>
      <c r="J395" t="n">
        <v>252.85</v>
      </c>
      <c r="K395" s="13" t="n">
        <v>0.19</v>
      </c>
      <c r="L395" t="n">
        <v>48.04</v>
      </c>
      <c r="M395" t="n">
        <v>300.89</v>
      </c>
      <c r="N395" t="inlineStr">
        <is>
          <t>RON</t>
        </is>
      </c>
      <c r="O395" t="inlineStr">
        <is>
          <t>Pitești</t>
        </is>
      </c>
      <c r="P395" s="12" t="n">
        <v>46206</v>
      </c>
      <c r="Q395">
        <f>IF(COUNTIF(tbl_Localitati[oras_oficial],[@oras])=0,"ORAS NEALINIAT",IF(XLOOKUP([@oras],tbl_Localitati[oras_oficial],tbl_Localitati[judet],"?")&lt;&gt;[@judet],"JUDET NECORESPUNZATOR",""))</f>
        <v/>
      </c>
      <c r="R395">
        <f>IF(XLOOKUP([@categorie],tbl_RegulriTVA[categorie],tbl_RegulriTVA[cota_legala],-1)&lt;&gt;[@cota_tva],"TVA GRESIT","")</f>
        <v/>
      </c>
      <c r="S395">
        <f>IF([@data_scadentei]&lt;[@data_factura],"SCADENTA INAINTEA FACTURII","")</f>
        <v/>
      </c>
      <c r="T395">
        <f>IF(NETWORKDAYS.INTL([@data_factura],[@data_factura],1,tbl_SarbatoriLegale[data])=0,"ZI NELUCRATOARE","")</f>
        <v/>
      </c>
      <c r="U395">
        <f>IF([@motiv_anomalie]="","OK","DE INVESTIGAT")</f>
        <v/>
      </c>
      <c r="V395">
        <f>TEXTJOIN("; ",TRUE,[@flag_oras],[@flag_tva],[@flag_scadenta],[@flag_zi])</f>
        <v/>
      </c>
    </row>
    <row r="396">
      <c r="A396" t="inlineStr">
        <is>
          <t>F-2025-00395</t>
        </is>
      </c>
      <c r="B396" s="12" t="n">
        <v>46379</v>
      </c>
      <c r="C396" t="inlineStr">
        <is>
          <t>SC AROMET TRADING SRL</t>
        </is>
      </c>
      <c r="D396" t="inlineStr">
        <is>
          <t>Alba</t>
        </is>
      </c>
      <c r="E396" t="inlineStr">
        <is>
          <t>PRD-007</t>
        </is>
      </c>
      <c r="F396" t="inlineStr">
        <is>
          <t>Abonament suita cloud</t>
        </is>
      </c>
      <c r="G396" t="inlineStr">
        <is>
          <t>Licențe software</t>
        </is>
      </c>
      <c r="H396" t="n">
        <v>1</v>
      </c>
      <c r="I396" t="n">
        <v>185.59</v>
      </c>
      <c r="J396" t="n">
        <v>185.59</v>
      </c>
      <c r="K396" s="13" t="n">
        <v>0.19</v>
      </c>
      <c r="L396" t="n">
        <v>35.26</v>
      </c>
      <c r="M396" t="n">
        <v>220.85</v>
      </c>
      <c r="N396" t="inlineStr">
        <is>
          <t>RON</t>
        </is>
      </c>
      <c r="O396" t="inlineStr">
        <is>
          <t>Alba Iulia</t>
        </is>
      </c>
      <c r="P396" s="12" t="n">
        <v>46409</v>
      </c>
      <c r="Q396">
        <f>IF(COUNTIF(tbl_Localitati[oras_oficial],[@oras])=0,"ORAS NEALINIAT",IF(XLOOKUP([@oras],tbl_Localitati[oras_oficial],tbl_Localitati[judet],"?")&lt;&gt;[@judet],"JUDET NECORESPUNZATOR",""))</f>
        <v/>
      </c>
      <c r="R396">
        <f>IF(XLOOKUP([@categorie],tbl_RegulriTVA[categorie],tbl_RegulriTVA[cota_legala],-1)&lt;&gt;[@cota_tva],"TVA GRESIT","")</f>
        <v/>
      </c>
      <c r="S396">
        <f>IF([@data_scadentei]&lt;[@data_factura],"SCADENTA INAINTEA FACTURII","")</f>
        <v/>
      </c>
      <c r="T396">
        <f>IF(NETWORKDAYS.INTL([@data_factura],[@data_factura],1,tbl_SarbatoriLegale[data])=0,"ZI NELUCRATOARE","")</f>
        <v/>
      </c>
      <c r="U396">
        <f>IF([@motiv_anomalie]="","OK","DE INVESTIGAT")</f>
        <v/>
      </c>
      <c r="V396">
        <f>TEXTJOIN("; ",TRUE,[@flag_oras],[@flag_tva],[@flag_scadenta],[@flag_zi])</f>
        <v/>
      </c>
    </row>
    <row r="397">
      <c r="A397" t="inlineStr">
        <is>
          <t>F-2025-00396</t>
        </is>
      </c>
      <c r="B397" s="12" t="n">
        <v>46062</v>
      </c>
      <c r="C397" t="inlineStr">
        <is>
          <t>SC ELECTROBUILD SRL</t>
        </is>
      </c>
      <c r="D397" t="inlineStr">
        <is>
          <t>Bacău</t>
        </is>
      </c>
      <c r="E397" t="inlineStr">
        <is>
          <t>PRD-009</t>
        </is>
      </c>
      <c r="F397" t="inlineStr">
        <is>
          <t>Laptop business 15"</t>
        </is>
      </c>
      <c r="G397" t="inlineStr">
        <is>
          <t>Hardware IT</t>
        </is>
      </c>
      <c r="H397" t="n">
        <v>5</v>
      </c>
      <c r="I397" t="n">
        <v>27.79</v>
      </c>
      <c r="J397" t="n">
        <v>138.95</v>
      </c>
      <c r="K397" s="13" t="n">
        <v>0.19</v>
      </c>
      <c r="L397" t="n">
        <v>26.4</v>
      </c>
      <c r="M397" t="n">
        <v>165.35</v>
      </c>
      <c r="N397" t="inlineStr">
        <is>
          <t>RON</t>
        </is>
      </c>
      <c r="O397" t="inlineStr">
        <is>
          <t>Bacău</t>
        </is>
      </c>
      <c r="P397" s="12" t="n">
        <v>46077</v>
      </c>
      <c r="Q397">
        <f>IF(COUNTIF(tbl_Localitati[oras_oficial],[@oras])=0,"ORAS NEALINIAT",IF(XLOOKUP([@oras],tbl_Localitati[oras_oficial],tbl_Localitati[judet],"?")&lt;&gt;[@judet],"JUDET NECORESPUNZATOR",""))</f>
        <v/>
      </c>
      <c r="R397">
        <f>IF(XLOOKUP([@categorie],tbl_RegulriTVA[categorie],tbl_RegulriTVA[cota_legala],-1)&lt;&gt;[@cota_tva],"TVA GRESIT","")</f>
        <v/>
      </c>
      <c r="S397">
        <f>IF([@data_scadentei]&lt;[@data_factura],"SCADENTA INAINTEA FACTURII","")</f>
        <v/>
      </c>
      <c r="T397">
        <f>IF(NETWORKDAYS.INTL([@data_factura],[@data_factura],1,tbl_SarbatoriLegale[data])=0,"ZI NELUCRATOARE","")</f>
        <v/>
      </c>
      <c r="U397">
        <f>IF([@motiv_anomalie]="","OK","DE INVESTIGAT")</f>
        <v/>
      </c>
      <c r="V397">
        <f>TEXTJOIN("; ",TRUE,[@flag_oras],[@flag_tva],[@flag_scadenta],[@flag_zi])</f>
        <v/>
      </c>
    </row>
    <row r="398">
      <c r="A398" t="inlineStr">
        <is>
          <t>F-2025-00397</t>
        </is>
      </c>
      <c r="B398" s="12" t="n">
        <v>46063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Videoproiector sala</t>
        </is>
      </c>
      <c r="G398" t="inlineStr">
        <is>
          <t>Echipamente birou</t>
        </is>
      </c>
      <c r="H398" t="n">
        <v>5</v>
      </c>
      <c r="I398" t="n">
        <v>183.79</v>
      </c>
      <c r="J398" t="n">
        <v>918.95</v>
      </c>
      <c r="K398" s="13" t="n">
        <v>0.19</v>
      </c>
      <c r="L398" t="n">
        <v>174.6</v>
      </c>
      <c r="M398" t="n">
        <v>1093.55</v>
      </c>
      <c r="N398" t="inlineStr">
        <is>
          <t>RON</t>
        </is>
      </c>
      <c r="O398" t="inlineStr">
        <is>
          <t>Sibiu</t>
        </is>
      </c>
      <c r="P398" s="12" t="n">
        <v>46123</v>
      </c>
      <c r="Q398">
        <f>IF(COUNTIF(tbl_Localitati[oras_oficial],[@oras])=0,"ORAS NEALINIAT",IF(XLOOKUP([@oras],tbl_Localitati[oras_oficial],tbl_Localitati[judet],"?")&lt;&gt;[@judet],"JUDET NECORESPUNZATOR",""))</f>
        <v/>
      </c>
      <c r="R398">
        <f>IF(XLOOKUP([@categorie],tbl_RegulriTVA[categorie],tbl_RegulriTVA[cota_legala],-1)&lt;&gt;[@cota_tva],"TVA GRESIT","")</f>
        <v/>
      </c>
      <c r="S398">
        <f>IF([@data_scadentei]&lt;[@data_factura],"SCADENTA INAINTEA FACTURII","")</f>
        <v/>
      </c>
      <c r="T398">
        <f>IF(NETWORKDAYS.INTL([@data_factura],[@data_factura],1,tbl_SarbatoriLegale[data])=0,"ZI NELUCRATOARE","")</f>
        <v/>
      </c>
      <c r="U398">
        <f>IF([@motiv_anomalie]="","OK","DE INVESTIGAT")</f>
        <v/>
      </c>
      <c r="V398">
        <f>TEXTJOIN("; ",TRUE,[@flag_oras],[@flag_tva],[@flag_scadenta],[@flag_zi])</f>
        <v/>
      </c>
    </row>
    <row r="399">
      <c r="A399" t="inlineStr">
        <is>
          <t>F-2025-00398</t>
        </is>
      </c>
      <c r="B399" s="12" t="n">
        <v>46233</v>
      </c>
      <c r="C399" t="inlineStr">
        <is>
          <t>SC DACTECH SOLUTIONS SRL</t>
        </is>
      </c>
      <c r="D399" t="inlineStr">
        <is>
          <t>Argeș</t>
        </is>
      </c>
      <c r="E399" t="inlineStr">
        <is>
          <t>PRD-009</t>
        </is>
      </c>
      <c r="F399" t="inlineStr">
        <is>
          <t>Switch gigabit 24p</t>
        </is>
      </c>
      <c r="G399" t="inlineStr">
        <is>
          <t>Hardware IT</t>
        </is>
      </c>
      <c r="H399" t="n">
        <v>20</v>
      </c>
      <c r="I399" t="n">
        <v>27.28</v>
      </c>
      <c r="J399" t="n">
        <v>545.6</v>
      </c>
      <c r="K399" s="13" t="n">
        <v>0.19</v>
      </c>
      <c r="L399" t="n">
        <v>103.66</v>
      </c>
      <c r="M399" t="n">
        <v>649.26</v>
      </c>
      <c r="N399" t="inlineStr">
        <is>
          <t>EUR</t>
        </is>
      </c>
      <c r="O399" t="inlineStr">
        <is>
          <t>Pitești</t>
        </is>
      </c>
      <c r="P399" s="12" t="n">
        <v>46248</v>
      </c>
      <c r="Q399">
        <f>IF(COUNTIF(tbl_Localitati[oras_oficial],[@oras])=0,"ORAS NEALINIAT",IF(XLOOKUP([@oras],tbl_Localitati[oras_oficial],tbl_Localitati[judet],"?")&lt;&gt;[@judet],"JUDET NECORESPUNZATOR",""))</f>
        <v/>
      </c>
      <c r="R399">
        <f>IF(XLOOKUP([@categorie],tbl_RegulriTVA[categorie],tbl_RegulriTVA[cota_legala],-1)&lt;&gt;[@cota_tva],"TVA GRESIT","")</f>
        <v/>
      </c>
      <c r="S399">
        <f>IF([@data_scadentei]&lt;[@data_factura],"SCADENTA INAINTEA FACTURII","")</f>
        <v/>
      </c>
      <c r="T399">
        <f>IF(NETWORKDAYS.INTL([@data_factura],[@data_factura],1,tbl_SarbatoriLegale[data])=0,"ZI NELUCRATOARE","")</f>
        <v/>
      </c>
      <c r="U399">
        <f>IF([@motiv_anomalie]="","OK","DE INVESTIGAT")</f>
        <v/>
      </c>
      <c r="V399">
        <f>TEXTJOIN("; ",TRUE,[@flag_oras],[@flag_tva],[@flag_scadenta],[@flag_zi])</f>
        <v/>
      </c>
    </row>
    <row r="400">
      <c r="A400" t="inlineStr">
        <is>
          <t>F-2025-00399</t>
        </is>
      </c>
      <c r="B400" s="12" t="n">
        <v>46234</v>
      </c>
      <c r="C400" t="inlineStr">
        <is>
          <t>SC SOLARIS ENERGY SRL</t>
        </is>
      </c>
      <c r="D400" t="inlineStr">
        <is>
          <t>Prahova</t>
        </is>
      </c>
      <c r="E400" t="inlineStr">
        <is>
          <t>PRD-004</t>
        </is>
      </c>
      <c r="F400" t="inlineStr">
        <is>
          <t>Consultanta implementare IT</t>
        </is>
      </c>
      <c r="G400" t="inlineStr">
        <is>
          <t>Servicii consultanță</t>
        </is>
      </c>
      <c r="H400" t="n">
        <v>1</v>
      </c>
      <c r="I400" t="n">
        <v>927.22</v>
      </c>
      <c r="J400" t="n">
        <v>927.22</v>
      </c>
      <c r="K400" s="13" t="n">
        <v>0.19</v>
      </c>
      <c r="L400" t="n">
        <v>176.17</v>
      </c>
      <c r="M400" t="n">
        <v>1103.39</v>
      </c>
      <c r="N400" t="inlineStr">
        <is>
          <t>RON</t>
        </is>
      </c>
      <c r="O400" t="inlineStr">
        <is>
          <t>Câmpina</t>
        </is>
      </c>
      <c r="P400" s="12" t="n">
        <v>46264</v>
      </c>
      <c r="Q400">
        <f>IF(COUNTIF(tbl_Localitati[oras_oficial],[@oras])=0,"ORAS NEALINIAT",IF(XLOOKUP([@oras],tbl_Localitati[oras_oficial],tbl_Localitati[judet],"?")&lt;&gt;[@judet],"JUDET NECORESPUNZATOR",""))</f>
        <v/>
      </c>
      <c r="R400">
        <f>IF(XLOOKUP([@categorie],tbl_RegulriTVA[categorie],tbl_RegulriTVA[cota_legala],-1)&lt;&gt;[@cota_tva],"TVA GRESIT","")</f>
        <v/>
      </c>
      <c r="S400">
        <f>IF([@data_scadentei]&lt;[@data_factura],"SCADENTA INAINTEA FACTURII","")</f>
        <v/>
      </c>
      <c r="T400">
        <f>IF(NETWORKDAYS.INTL([@data_factura],[@data_factura],1,tbl_SarbatoriLegale[data])=0,"ZI NELUCRATOARE","")</f>
        <v/>
      </c>
      <c r="U400">
        <f>IF([@motiv_anomalie]="","OK","DE INVESTIGAT")</f>
        <v/>
      </c>
      <c r="V400">
        <f>TEXTJOIN("; ",TRUE,[@flag_oras],[@flag_tva],[@flag_scadenta],[@flag_zi])</f>
        <v/>
      </c>
    </row>
    <row r="401">
      <c r="A401" t="inlineStr">
        <is>
          <t>F-2025-00400</t>
        </is>
      </c>
      <c r="B401" s="12" t="n">
        <v>46160</v>
      </c>
      <c r="C401" t="inlineStr">
        <is>
          <t>SC NORDIS DISTRIBUTIE SRL</t>
        </is>
      </c>
      <c r="D401" t="inlineStr">
        <is>
          <t>Constanța</t>
        </is>
      </c>
      <c r="E401" t="inlineStr">
        <is>
          <t>PRD-011</t>
        </is>
      </c>
      <c r="F401" t="inlineStr">
        <is>
          <t>Telefon IP birou</t>
        </is>
      </c>
      <c r="G401" t="inlineStr">
        <is>
          <t>Echipamente birou</t>
        </is>
      </c>
      <c r="H401" t="n">
        <v>10</v>
      </c>
      <c r="I401" t="n">
        <v>44.93</v>
      </c>
      <c r="J401" t="n">
        <v>449.3</v>
      </c>
      <c r="K401" s="13" t="n">
        <v>0.19</v>
      </c>
      <c r="L401" t="n">
        <v>85.37</v>
      </c>
      <c r="M401" t="n">
        <v>534.67</v>
      </c>
      <c r="N401" t="inlineStr">
        <is>
          <t>RON</t>
        </is>
      </c>
      <c r="O401" t="inlineStr">
        <is>
          <t>Mangalia</t>
        </is>
      </c>
      <c r="P401" s="12" t="n">
        <v>46220</v>
      </c>
      <c r="Q401">
        <f>IF(COUNTIF(tbl_Localitati[oras_oficial],[@oras])=0,"ORAS NEALINIAT",IF(XLOOKUP([@oras],tbl_Localitati[oras_oficial],tbl_Localitati[judet],"?")&lt;&gt;[@judet],"JUDET NECORESPUNZATOR",""))</f>
        <v/>
      </c>
      <c r="R401">
        <f>IF(XLOOKUP([@categorie],tbl_RegulriTVA[categorie],tbl_RegulriTVA[cota_legala],-1)&lt;&gt;[@cota_tva],"TVA GRESIT","")</f>
        <v/>
      </c>
      <c r="S401">
        <f>IF([@data_scadentei]&lt;[@data_factura],"SCADENTA INAINTEA FACTURII","")</f>
        <v/>
      </c>
      <c r="T401">
        <f>IF(NETWORKDAYS.INTL([@data_factura],[@data_factura],1,tbl_SarbatoriLegale[data])=0,"ZI NELUCRATOARE","")</f>
        <v/>
      </c>
      <c r="U401">
        <f>IF([@motiv_anomalie]="","OK","DE INVESTIGAT")</f>
        <v/>
      </c>
      <c r="V401">
        <f>TEXTJOIN("; ",TRUE,[@flag_oras],[@flag_tva],[@flag_scadenta],[@flag_zi])</f>
        <v/>
      </c>
    </row>
    <row r="402">
      <c r="A402" t="inlineStr">
        <is>
          <t>F-2025-00401</t>
        </is>
      </c>
      <c r="B402" s="12" t="n">
        <v>46048</v>
      </c>
      <c r="C402" t="inlineStr">
        <is>
          <t>SC DACTECH SOLUTIONS SRL</t>
        </is>
      </c>
      <c r="D402" t="inlineStr">
        <is>
          <t>Argeș</t>
        </is>
      </c>
      <c r="E402" t="inlineStr">
        <is>
          <t>PRD-005</t>
        </is>
      </c>
      <c r="F402" t="inlineStr">
        <is>
          <t>Masti protectie cutie</t>
        </is>
      </c>
      <c r="G402" t="inlineStr">
        <is>
          <t>Produse farmaceutice</t>
        </is>
      </c>
      <c r="H402" t="n">
        <v>1</v>
      </c>
      <c r="I402" t="n">
        <v>257.01</v>
      </c>
      <c r="J402" t="n">
        <v>257.01</v>
      </c>
      <c r="K402" s="13" t="n">
        <v>0.09</v>
      </c>
      <c r="L402" t="n">
        <v>23.13</v>
      </c>
      <c r="M402" t="n">
        <v>280.14</v>
      </c>
      <c r="N402" t="inlineStr">
        <is>
          <t>RON</t>
        </is>
      </c>
      <c r="O402" t="inlineStr">
        <is>
          <t>Pitești</t>
        </is>
      </c>
      <c r="P402" s="12" t="n">
        <v>46078</v>
      </c>
      <c r="Q402">
        <f>IF(COUNTIF(tbl_Localitati[oras_oficial],[@oras])=0,"ORAS NEALINIAT",IF(XLOOKUP([@oras],tbl_Localitati[oras_oficial],tbl_Localitati[judet],"?")&lt;&gt;[@judet],"JUDET NECORESPUNZATOR",""))</f>
        <v/>
      </c>
      <c r="R402">
        <f>IF(XLOOKUP([@categorie],tbl_RegulriTVA[categorie],tbl_RegulriTVA[cota_legala],-1)&lt;&gt;[@cota_tva],"TVA GRESIT","")</f>
        <v/>
      </c>
      <c r="S402">
        <f>IF([@data_scadentei]&lt;[@data_factura],"SCADENTA INAINTEA FACTURII","")</f>
        <v/>
      </c>
      <c r="T402">
        <f>IF(NETWORKDAYS.INTL([@data_factura],[@data_factura],1,tbl_SarbatoriLegale[data])=0,"ZI NELUCRATOARE","")</f>
        <v/>
      </c>
      <c r="U402">
        <f>IF([@motiv_anomalie]="","OK","DE INVESTIGAT")</f>
        <v/>
      </c>
      <c r="V402">
        <f>TEXTJOIN("; ",TRUE,[@flag_oras],[@flag_tva],[@flag_scadenta],[@flag_zi])</f>
        <v/>
      </c>
    </row>
    <row r="403">
      <c r="A403" t="inlineStr">
        <is>
          <t>F-2025-00402</t>
        </is>
      </c>
      <c r="B403" s="12" t="n">
        <v>46065</v>
      </c>
      <c r="C403" t="inlineStr">
        <is>
          <t>SC AROMET TRADING SRL</t>
        </is>
      </c>
      <c r="D403" t="inlineStr">
        <is>
          <t>Alba</t>
        </is>
      </c>
      <c r="E403" t="inlineStr">
        <is>
          <t>PRD-001</t>
        </is>
      </c>
      <c r="F403" t="inlineStr">
        <is>
          <t>Licenta antivirus enterprise</t>
        </is>
      </c>
      <c r="G403" t="inlineStr">
        <is>
          <t>Licențe software</t>
        </is>
      </c>
      <c r="H403" t="n">
        <v>3</v>
      </c>
      <c r="I403" t="n">
        <v>2334.3</v>
      </c>
      <c r="J403" t="n">
        <v>7002.9</v>
      </c>
      <c r="K403" s="13" t="n">
        <v>0.19</v>
      </c>
      <c r="L403" t="n">
        <v>1330.55</v>
      </c>
      <c r="M403" t="n">
        <v>8333.450000000001</v>
      </c>
      <c r="N403" t="inlineStr">
        <is>
          <t>RON</t>
        </is>
      </c>
      <c r="O403" t="inlineStr">
        <is>
          <t>Alba Iulia</t>
        </is>
      </c>
      <c r="P403" s="12" t="n">
        <v>46062</v>
      </c>
      <c r="Q403">
        <f>IF(COUNTIF(tbl_Localitati[oras_oficial],[@oras])=0,"ORAS NEALINIAT",IF(XLOOKUP([@oras],tbl_Localitati[oras_oficial],tbl_Localitati[judet],"?")&lt;&gt;[@judet],"JUDET NECORESPUNZATOR",""))</f>
        <v/>
      </c>
      <c r="R403">
        <f>IF(XLOOKUP([@categorie],tbl_RegulriTVA[categorie],tbl_RegulriTVA[cota_legala],-1)&lt;&gt;[@cota_tva],"TVA GRESIT","")</f>
        <v/>
      </c>
      <c r="S403">
        <f>IF([@data_scadentei]&lt;[@data_factura],"SCADENTA INAINTEA FACTURII","")</f>
        <v/>
      </c>
      <c r="T403">
        <f>IF(NETWORKDAYS.INTL([@data_factura],[@data_factura],1,tbl_SarbatoriLegale[data])=0,"ZI NELUCRATOARE","")</f>
        <v/>
      </c>
      <c r="U403">
        <f>IF([@motiv_anomalie]="","OK","DE INVESTIGAT")</f>
        <v/>
      </c>
      <c r="V403">
        <f>TEXTJOIN("; ",TRUE,[@flag_oras],[@flag_tva],[@flag_scadenta],[@flag_zi])</f>
        <v/>
      </c>
    </row>
    <row r="404">
      <c r="A404" t="inlineStr">
        <is>
          <t>F-2025-00403</t>
        </is>
      </c>
      <c r="B404" s="12" t="n">
        <v>46269</v>
      </c>
      <c r="C404" t="inlineStr">
        <is>
          <t>SC SOLARIS ENERGY SRL</t>
        </is>
      </c>
      <c r="D404" t="inlineStr">
        <is>
          <t>Prahova</t>
        </is>
      </c>
      <c r="E404" t="inlineStr">
        <is>
          <t>PRD-007</t>
        </is>
      </c>
      <c r="F404" t="inlineStr">
        <is>
          <t>Statie de lucru desktop</t>
        </is>
      </c>
      <c r="G404" t="inlineStr">
        <is>
          <t>Hardware IT</t>
        </is>
      </c>
      <c r="H404" t="n">
        <v>1</v>
      </c>
      <c r="I404" t="n">
        <v>182.83</v>
      </c>
      <c r="J404" t="n">
        <v>182.83</v>
      </c>
      <c r="K404" s="13" t="n">
        <v>0.19</v>
      </c>
      <c r="L404" t="n">
        <v>34.74</v>
      </c>
      <c r="M404" t="n">
        <v>217.57</v>
      </c>
      <c r="N404" t="inlineStr">
        <is>
          <t>RON</t>
        </is>
      </c>
      <c r="O404" t="inlineStr">
        <is>
          <t>Câmpina</t>
        </is>
      </c>
      <c r="P404" s="12" t="n">
        <v>46299</v>
      </c>
      <c r="Q404">
        <f>IF(COUNTIF(tbl_Localitati[oras_oficial],[@oras])=0,"ORAS NEALINIAT",IF(XLOOKUP([@oras],tbl_Localitati[oras_oficial],tbl_Localitati[judet],"?")&lt;&gt;[@judet],"JUDET NECORESPUNZATOR",""))</f>
        <v/>
      </c>
      <c r="R404">
        <f>IF(XLOOKUP([@categorie],tbl_RegulriTVA[categorie],tbl_RegulriTVA[cota_legala],-1)&lt;&gt;[@cota_tva],"TVA GRESIT","")</f>
        <v/>
      </c>
      <c r="S404">
        <f>IF([@data_scadentei]&lt;[@data_factura],"SCADENTA INAINTEA FACTURII","")</f>
        <v/>
      </c>
      <c r="T404">
        <f>IF(NETWORKDAYS.INTL([@data_factura],[@data_factura],1,tbl_SarbatoriLegale[data])=0,"ZI NELUCRATOARE","")</f>
        <v/>
      </c>
      <c r="U404">
        <f>IF([@motiv_anomalie]="","OK","DE INVESTIGAT")</f>
        <v/>
      </c>
      <c r="V404">
        <f>TEXTJOIN("; ",TRUE,[@flag_oras],[@flag_tva],[@flag_scadenta],[@flag_zi])</f>
        <v/>
      </c>
    </row>
    <row r="405">
      <c r="A405" t="inlineStr">
        <is>
          <t>F-2025-00404</t>
        </is>
      </c>
      <c r="B405" s="12" t="n">
        <v>46157</v>
      </c>
      <c r="C405" t="inlineStr">
        <is>
          <t>SC NORDIS DISTRIBUTIE SRL</t>
        </is>
      </c>
      <c r="D405" t="inlineStr">
        <is>
          <t>Constanța</t>
        </is>
      </c>
      <c r="E405" t="inlineStr">
        <is>
          <t>PRD-001</t>
        </is>
      </c>
      <c r="F405" t="inlineStr">
        <is>
          <t>Monitor 27" 4K</t>
        </is>
      </c>
      <c r="G405" t="inlineStr">
        <is>
          <t>Hardware IT</t>
        </is>
      </c>
      <c r="H405" t="n">
        <v>1</v>
      </c>
      <c r="I405" t="n">
        <v>2331.22</v>
      </c>
      <c r="J405" t="n">
        <v>2331.22</v>
      </c>
      <c r="K405" s="13" t="n">
        <v>0.19</v>
      </c>
      <c r="L405" t="n">
        <v>442.93</v>
      </c>
      <c r="M405" t="n">
        <v>2774.15</v>
      </c>
      <c r="N405" t="inlineStr">
        <is>
          <t>RON</t>
        </is>
      </c>
      <c r="O405" t="inlineStr">
        <is>
          <t>Mangalia</t>
        </is>
      </c>
      <c r="P405" s="12" t="n">
        <v>46202</v>
      </c>
      <c r="Q405">
        <f>IF(COUNTIF(tbl_Localitati[oras_oficial],[@oras])=0,"ORAS NEALINIAT",IF(XLOOKUP([@oras],tbl_Localitati[oras_oficial],tbl_Localitati[judet],"?")&lt;&gt;[@judet],"JUDET NECORESPUNZATOR",""))</f>
        <v/>
      </c>
      <c r="R405">
        <f>IF(XLOOKUP([@categorie],tbl_RegulriTVA[categorie],tbl_RegulriTVA[cota_legala],-1)&lt;&gt;[@cota_tva],"TVA GRESIT","")</f>
        <v/>
      </c>
      <c r="S405">
        <f>IF([@data_scadentei]&lt;[@data_factura],"SCADENTA INAINTEA FACTURII","")</f>
        <v/>
      </c>
      <c r="T405">
        <f>IF(NETWORKDAYS.INTL([@data_factura],[@data_factura],1,tbl_SarbatoriLegale[data])=0,"ZI NELUCRATOARE","")</f>
        <v/>
      </c>
      <c r="U405">
        <f>IF([@motiv_anomalie]="","OK","DE INVESTIGAT")</f>
        <v/>
      </c>
      <c r="V405">
        <f>TEXTJOIN("; ",TRUE,[@flag_oras],[@flag_tva],[@flag_scadenta],[@flag_zi])</f>
        <v/>
      </c>
    </row>
    <row r="406">
      <c r="A406" t="inlineStr">
        <is>
          <t>F-2025-00405</t>
        </is>
      </c>
      <c r="B406" s="12" t="n">
        <v>46308</v>
      </c>
      <c r="C406" t="inlineStr">
        <is>
          <t>SC METALPLAST INVEST SA</t>
        </is>
      </c>
      <c r="D406" t="inlineStr">
        <is>
          <t>Cluj</t>
        </is>
      </c>
      <c r="E406" t="inlineStr">
        <is>
          <t>PRD-007</t>
        </is>
      </c>
      <c r="F406" t="inlineStr">
        <is>
          <t>Switch gigabit 24p</t>
        </is>
      </c>
      <c r="G406" t="inlineStr">
        <is>
          <t>Hardware IT</t>
        </is>
      </c>
      <c r="H406" t="n">
        <v>10</v>
      </c>
      <c r="I406" t="n">
        <v>185.02</v>
      </c>
      <c r="J406" t="n">
        <v>1850.2</v>
      </c>
      <c r="K406" s="13" t="n">
        <v>0.19</v>
      </c>
      <c r="L406" t="n">
        <v>351.54</v>
      </c>
      <c r="M406" t="n">
        <v>2201.74</v>
      </c>
      <c r="N406" t="inlineStr">
        <is>
          <t>RON</t>
        </is>
      </c>
      <c r="O406" t="inlineStr">
        <is>
          <t>Turda</t>
        </is>
      </c>
      <c r="P406" s="12" t="n">
        <v>46338</v>
      </c>
      <c r="Q406">
        <f>IF(COUNTIF(tbl_Localitati[oras_oficial],[@oras])=0,"ORAS NEALINIAT",IF(XLOOKUP([@oras],tbl_Localitati[oras_oficial],tbl_Localitati[judet],"?")&lt;&gt;[@judet],"JUDET NECORESPUNZATOR",""))</f>
        <v/>
      </c>
      <c r="R406">
        <f>IF(XLOOKUP([@categorie],tbl_RegulriTVA[categorie],tbl_RegulriTVA[cota_legala],-1)&lt;&gt;[@cota_tva],"TVA GRESIT","")</f>
        <v/>
      </c>
      <c r="S406">
        <f>IF([@data_scadentei]&lt;[@data_factura],"SCADENTA INAINTEA FACTURII","")</f>
        <v/>
      </c>
      <c r="T406">
        <f>IF(NETWORKDAYS.INTL([@data_factura],[@data_factura],1,tbl_SarbatoriLegale[data])=0,"ZI NELUCRATOARE","")</f>
        <v/>
      </c>
      <c r="U406">
        <f>IF([@motiv_anomalie]="","OK","DE INVESTIGAT")</f>
        <v/>
      </c>
      <c r="V406">
        <f>TEXTJOIN("; ",TRUE,[@flag_oras],[@flag_tva],[@flag_scadenta],[@flag_zi])</f>
        <v/>
      </c>
    </row>
    <row r="407">
      <c r="A407" t="inlineStr">
        <is>
          <t>F-2025-00406</t>
        </is>
      </c>
      <c r="B407" s="12" t="n">
        <v>46323</v>
      </c>
      <c r="C407" t="inlineStr">
        <is>
          <t>SC INTEGROMED SA</t>
        </is>
      </c>
      <c r="D407" t="inlineStr">
        <is>
          <t>Cluj</t>
        </is>
      </c>
      <c r="E407" t="inlineStr">
        <is>
          <t>PRD-005</t>
        </is>
      </c>
      <c r="F407" t="inlineStr">
        <is>
          <t>Switch gigabit 24p</t>
        </is>
      </c>
      <c r="G407" t="inlineStr">
        <is>
          <t>Hardware IT</t>
        </is>
      </c>
      <c r="H407" t="n">
        <v>3</v>
      </c>
      <c r="I407" t="n">
        <v>244.28</v>
      </c>
      <c r="J407" t="n">
        <v>732.84</v>
      </c>
      <c r="K407" s="13" t="n">
        <v>0.19</v>
      </c>
      <c r="L407" t="n">
        <v>139.24</v>
      </c>
      <c r="M407" t="n">
        <v>872.08</v>
      </c>
      <c r="N407" t="inlineStr">
        <is>
          <t>RON</t>
        </is>
      </c>
      <c r="O407" t="inlineStr">
        <is>
          <t>Cluj-Napoca</t>
        </is>
      </c>
      <c r="P407" s="12" t="n">
        <v>46353</v>
      </c>
      <c r="Q407">
        <f>IF(COUNTIF(tbl_Localitati[oras_oficial],[@oras])=0,"ORAS NEALINIAT",IF(XLOOKUP([@oras],tbl_Localitati[oras_oficial],tbl_Localitati[judet],"?")&lt;&gt;[@judet],"JUDET NECORESPUNZATOR",""))</f>
        <v/>
      </c>
      <c r="R407">
        <f>IF(XLOOKUP([@categorie],tbl_RegulriTVA[categorie],tbl_RegulriTVA[cota_legala],-1)&lt;&gt;[@cota_tva],"TVA GRESIT","")</f>
        <v/>
      </c>
      <c r="S407">
        <f>IF([@data_scadentei]&lt;[@data_factura],"SCADENTA INAINTEA FACTURII","")</f>
        <v/>
      </c>
      <c r="T407">
        <f>IF(NETWORKDAYS.INTL([@data_factura],[@data_factura],1,tbl_SarbatoriLegale[data])=0,"ZI NELUCRATOARE","")</f>
        <v/>
      </c>
      <c r="U407">
        <f>IF([@motiv_anomalie]="","OK","DE INVESTIGAT")</f>
        <v/>
      </c>
      <c r="V407">
        <f>TEXTJOIN("; ",TRUE,[@flag_oras],[@flag_tva],[@flag_scadenta],[@flag_zi])</f>
        <v/>
      </c>
    </row>
    <row r="408">
      <c r="A408" t="inlineStr">
        <is>
          <t>F-2025-00407</t>
        </is>
      </c>
      <c r="B408" s="12" t="n">
        <v>46328</v>
      </c>
      <c r="C408" t="inlineStr">
        <is>
          <t>SC AROMET TRADING SRL</t>
        </is>
      </c>
      <c r="D408" t="inlineStr">
        <is>
          <t>Alba</t>
        </is>
      </c>
      <c r="E408" t="inlineStr">
        <is>
          <t>PRD-001</t>
        </is>
      </c>
      <c r="F408" t="inlineStr">
        <is>
          <t>Manual proceduri interne</t>
        </is>
      </c>
      <c r="G408" t="inlineStr">
        <is>
          <t>Cărți și manuale</t>
        </is>
      </c>
      <c r="H408" t="n">
        <v>5</v>
      </c>
      <c r="I408" t="n">
        <v>2513.84</v>
      </c>
      <c r="J408" t="n">
        <v>12569.2</v>
      </c>
      <c r="K408" s="13" t="n">
        <v>0.05</v>
      </c>
      <c r="L408" t="n">
        <v>628.46</v>
      </c>
      <c r="M408" t="n">
        <v>13197.66</v>
      </c>
      <c r="N408" t="inlineStr">
        <is>
          <t>RON</t>
        </is>
      </c>
      <c r="O408" t="inlineStr">
        <is>
          <t>Alba Iulia</t>
        </is>
      </c>
      <c r="P408" s="12" t="n">
        <v>46373</v>
      </c>
      <c r="Q408">
        <f>IF(COUNTIF(tbl_Localitati[oras_oficial],[@oras])=0,"ORAS NEALINIAT",IF(XLOOKUP([@oras],tbl_Localitati[oras_oficial],tbl_Localitati[judet],"?")&lt;&gt;[@judet],"JUDET NECORESPUNZATOR",""))</f>
        <v/>
      </c>
      <c r="R408">
        <f>IF(XLOOKUP([@categorie],tbl_RegulriTVA[categorie],tbl_RegulriTVA[cota_legala],-1)&lt;&gt;[@cota_tva],"TVA GRESIT","")</f>
        <v/>
      </c>
      <c r="S408">
        <f>IF([@data_scadentei]&lt;[@data_factura],"SCADENTA INAINTEA FACTURII","")</f>
        <v/>
      </c>
      <c r="T408">
        <f>IF(NETWORKDAYS.INTL([@data_factura],[@data_factura],1,tbl_SarbatoriLegale[data])=0,"ZI NELUCRATOARE","")</f>
        <v/>
      </c>
      <c r="U408">
        <f>IF([@motiv_anomalie]="","OK","DE INVESTIGAT")</f>
        <v/>
      </c>
      <c r="V408">
        <f>TEXTJOIN("; ",TRUE,[@flag_oras],[@flag_tva],[@flag_scadenta],[@flag_zi])</f>
        <v/>
      </c>
    </row>
    <row r="409">
      <c r="A409" t="inlineStr">
        <is>
          <t>F-2025-00408</t>
        </is>
      </c>
      <c r="B409" s="12" t="n">
        <v>46370</v>
      </c>
      <c r="C409" t="inlineStr">
        <is>
          <t>SC RAPID LOGISTIC SA</t>
        </is>
      </c>
      <c r="D409" t="inlineStr">
        <is>
          <t>Prahova</t>
        </is>
      </c>
      <c r="E409" t="inlineStr">
        <is>
          <t>PRD-001</t>
        </is>
      </c>
      <c r="F409" t="inlineStr">
        <is>
          <t>Suport tehnic anual</t>
        </is>
      </c>
      <c r="G409" t="inlineStr">
        <is>
          <t>Servicii consultanță</t>
        </is>
      </c>
      <c r="H409" t="n">
        <v>5</v>
      </c>
      <c r="I409" t="n">
        <v>2360.4</v>
      </c>
      <c r="J409" t="n">
        <v>11802</v>
      </c>
      <c r="K409" s="13" t="n">
        <v>0.19</v>
      </c>
      <c r="L409" t="n">
        <v>2242.38</v>
      </c>
      <c r="M409" t="n">
        <v>14044.38</v>
      </c>
      <c r="N409" t="inlineStr">
        <is>
          <t>RON</t>
        </is>
      </c>
      <c r="O409" t="inlineStr">
        <is>
          <t>Ploiești</t>
        </is>
      </c>
      <c r="P409" s="12" t="n">
        <v>46430</v>
      </c>
      <c r="Q409">
        <f>IF(COUNTIF(tbl_Localitati[oras_oficial],[@oras])=0,"ORAS NEALINIAT",IF(XLOOKUP([@oras],tbl_Localitati[oras_oficial],tbl_Localitati[judet],"?")&lt;&gt;[@judet],"JUDET NECORESPUNZATOR",""))</f>
        <v/>
      </c>
      <c r="R409">
        <f>IF(XLOOKUP([@categorie],tbl_RegulriTVA[categorie],tbl_RegulriTVA[cota_legala],-1)&lt;&gt;[@cota_tva],"TVA GRESIT","")</f>
        <v/>
      </c>
      <c r="S409">
        <f>IF([@data_scadentei]&lt;[@data_factura],"SCADENTA INAINTEA FACTURII","")</f>
        <v/>
      </c>
      <c r="T409">
        <f>IF(NETWORKDAYS.INTL([@data_factura],[@data_factura],1,tbl_SarbatoriLegale[data])=0,"ZI NELUCRATOARE","")</f>
        <v/>
      </c>
      <c r="U409">
        <f>IF([@motiv_anomalie]="","OK","DE INVESTIGAT")</f>
        <v/>
      </c>
      <c r="V409">
        <f>TEXTJOIN("; ",TRUE,[@flag_oras],[@flag_tva],[@flag_scadenta],[@flag_zi])</f>
        <v/>
      </c>
    </row>
    <row r="410">
      <c r="A410" t="inlineStr">
        <is>
          <t>F-2025-00409</t>
        </is>
      </c>
      <c r="B410" s="12" t="n">
        <v>46093</v>
      </c>
      <c r="C410" t="inlineStr">
        <is>
          <t>SC RAPID LOGISTIC SA</t>
        </is>
      </c>
      <c r="D410" t="inlineStr">
        <is>
          <t>Prahova</t>
        </is>
      </c>
      <c r="E410" t="inlineStr">
        <is>
          <t>PRD-007</t>
        </is>
      </c>
      <c r="F410" t="inlineStr">
        <is>
          <t>Monitor 27" 4K</t>
        </is>
      </c>
      <c r="G410" t="inlineStr">
        <is>
          <t>Hardware IT</t>
        </is>
      </c>
      <c r="H410" t="n">
        <v>1</v>
      </c>
      <c r="I410" t="n">
        <v>179.19</v>
      </c>
      <c r="J410" t="n">
        <v>179.19</v>
      </c>
      <c r="K410" s="13" t="n">
        <v>0.19</v>
      </c>
      <c r="L410" t="n">
        <v>34.05</v>
      </c>
      <c r="M410" t="n">
        <v>213.24</v>
      </c>
      <c r="N410" t="inlineStr">
        <is>
          <t>RON</t>
        </is>
      </c>
      <c r="O410" t="inlineStr">
        <is>
          <t>Ploiești</t>
        </is>
      </c>
      <c r="P410" s="12" t="n">
        <v>46123</v>
      </c>
      <c r="Q410">
        <f>IF(COUNTIF(tbl_Localitati[oras_oficial],[@oras])=0,"ORAS NEALINIAT",IF(XLOOKUP([@oras],tbl_Localitati[oras_oficial],tbl_Localitati[judet],"?")&lt;&gt;[@judet],"JUDET NECORESPUNZATOR",""))</f>
        <v/>
      </c>
      <c r="R410">
        <f>IF(XLOOKUP([@categorie],tbl_RegulriTVA[categorie],tbl_RegulriTVA[cota_legala],-1)&lt;&gt;[@cota_tva],"TVA GRESIT","")</f>
        <v/>
      </c>
      <c r="S410">
        <f>IF([@data_scadentei]&lt;[@data_factura],"SCADENTA INAINTEA FACTURII","")</f>
        <v/>
      </c>
      <c r="T410">
        <f>IF(NETWORKDAYS.INTL([@data_factura],[@data_factura],1,tbl_SarbatoriLegale[data])=0,"ZI NELUCRATOARE","")</f>
        <v/>
      </c>
      <c r="U410">
        <f>IF([@motiv_anomalie]="","OK","DE INVESTIGAT")</f>
        <v/>
      </c>
      <c r="V410">
        <f>TEXTJOIN("; ",TRUE,[@flag_oras],[@flag_tva],[@flag_scadenta],[@flag_zi])</f>
        <v/>
      </c>
    </row>
    <row r="411">
      <c r="A411" t="inlineStr">
        <is>
          <t>F-2025-00410</t>
        </is>
      </c>
      <c r="B411" s="12" t="n">
        <v>46157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Licenta antivirus enterprise</t>
        </is>
      </c>
      <c r="G411" t="inlineStr">
        <is>
          <t>Licențe software</t>
        </is>
      </c>
      <c r="H411" t="n">
        <v>10</v>
      </c>
      <c r="I411" t="n">
        <v>1139.01</v>
      </c>
      <c r="J411" t="n">
        <v>11390.1</v>
      </c>
      <c r="K411" s="13" t="n">
        <v>0.19</v>
      </c>
      <c r="L411" t="n">
        <v>2164.12</v>
      </c>
      <c r="M411" t="n">
        <v>13554.22</v>
      </c>
      <c r="N411" t="inlineStr">
        <is>
          <t>RON</t>
        </is>
      </c>
      <c r="O411" t="inlineStr">
        <is>
          <t>Sibiu</t>
        </is>
      </c>
      <c r="P411" s="12" t="n">
        <v>46172</v>
      </c>
      <c r="Q411">
        <f>IF(COUNTIF(tbl_Localitati[oras_oficial],[@oras])=0,"ORAS NEALINIAT",IF(XLOOKUP([@oras],tbl_Localitati[oras_oficial],tbl_Localitati[judet],"?")&lt;&gt;[@judet],"JUDET NECORESPUNZATOR",""))</f>
        <v/>
      </c>
      <c r="R411">
        <f>IF(XLOOKUP([@categorie],tbl_RegulriTVA[categorie],tbl_RegulriTVA[cota_legala],-1)&lt;&gt;[@cota_tva],"TVA GRESIT","")</f>
        <v/>
      </c>
      <c r="S411">
        <f>IF([@data_scadentei]&lt;[@data_factura],"SCADENTA INAINTEA FACTURII","")</f>
        <v/>
      </c>
      <c r="T411">
        <f>IF(NETWORKDAYS.INTL([@data_factura],[@data_factura],1,tbl_SarbatoriLegale[data])=0,"ZI NELUCRATOARE","")</f>
        <v/>
      </c>
      <c r="U411">
        <f>IF([@motiv_anomalie]="","OK","DE INVESTIGAT")</f>
        <v/>
      </c>
      <c r="V411">
        <f>TEXTJOIN("; ",TRUE,[@flag_oras],[@flag_tva],[@flag_scadenta],[@flag_zi])</f>
        <v/>
      </c>
    </row>
    <row r="412">
      <c r="A412" t="inlineStr">
        <is>
          <t>F-2025-00411</t>
        </is>
      </c>
      <c r="B412" s="12" t="n">
        <v>46237</v>
      </c>
      <c r="C412" t="inlineStr">
        <is>
          <t>SC METALPLAST INVEST SA</t>
        </is>
      </c>
      <c r="D412" t="inlineStr">
        <is>
          <t>Cluj</t>
        </is>
      </c>
      <c r="E412" t="inlineStr">
        <is>
          <t>PRD-009</t>
        </is>
      </c>
      <c r="F412" t="inlineStr">
        <is>
          <t>Server rack 1U</t>
        </is>
      </c>
      <c r="G412" t="inlineStr">
        <is>
          <t>Hardware IT</t>
        </is>
      </c>
      <c r="H412" t="n">
        <v>20</v>
      </c>
      <c r="I412" t="n">
        <v>28.74</v>
      </c>
      <c r="J412" t="n">
        <v>574.8</v>
      </c>
      <c r="K412" s="13" t="n">
        <v>0.19</v>
      </c>
      <c r="L412" t="n">
        <v>109.21</v>
      </c>
      <c r="M412" t="n">
        <v>684.01</v>
      </c>
      <c r="N412" t="inlineStr">
        <is>
          <t>RON</t>
        </is>
      </c>
      <c r="O412" t="inlineStr">
        <is>
          <t>Turda</t>
        </is>
      </c>
      <c r="P412" s="12" t="n">
        <v>46297</v>
      </c>
      <c r="Q412">
        <f>IF(COUNTIF(tbl_Localitati[oras_oficial],[@oras])=0,"ORAS NEALINIAT",IF(XLOOKUP([@oras],tbl_Localitati[oras_oficial],tbl_Localitati[judet],"?")&lt;&gt;[@judet],"JUDET NECORESPUNZATOR",""))</f>
        <v/>
      </c>
      <c r="R412">
        <f>IF(XLOOKUP([@categorie],tbl_RegulriTVA[categorie],tbl_RegulriTVA[cota_legala],-1)&lt;&gt;[@cota_tva],"TVA GRESIT","")</f>
        <v/>
      </c>
      <c r="S412">
        <f>IF([@data_scadentei]&lt;[@data_factura],"SCADENTA INAINTEA FACTURII","")</f>
        <v/>
      </c>
      <c r="T412">
        <f>IF(NETWORKDAYS.INTL([@data_factura],[@data_factura],1,tbl_SarbatoriLegale[data])=0,"ZI NELUCRATOARE","")</f>
        <v/>
      </c>
      <c r="U412">
        <f>IF([@motiv_anomalie]="","OK","DE INVESTIGAT")</f>
        <v/>
      </c>
      <c r="V412">
        <f>TEXTJOIN("; ",TRUE,[@flag_oras],[@flag_tva],[@flag_scadenta],[@flag_zi])</f>
        <v/>
      </c>
    </row>
    <row r="413">
      <c r="A413" t="inlineStr">
        <is>
          <t>F-2025-00412</t>
        </is>
      </c>
      <c r="B413" s="12" t="n">
        <v>46079</v>
      </c>
      <c r="C413" t="inlineStr">
        <is>
          <t>SC DACTECH SOLUTIONS SRL</t>
        </is>
      </c>
      <c r="D413" t="inlineStr">
        <is>
          <t>Argeș</t>
        </is>
      </c>
      <c r="E413" t="inlineStr">
        <is>
          <t>PRD-008</t>
        </is>
      </c>
      <c r="F413" t="inlineStr">
        <is>
          <t>Laptop business 15"</t>
        </is>
      </c>
      <c r="G413" t="inlineStr">
        <is>
          <t>Hardware IT</t>
        </is>
      </c>
      <c r="H413" t="n">
        <v>5</v>
      </c>
      <c r="I413" t="n">
        <v>462.92</v>
      </c>
      <c r="J413" t="n">
        <v>2314.6</v>
      </c>
      <c r="K413" s="13" t="n">
        <v>0.19</v>
      </c>
      <c r="L413" t="n">
        <v>439.77</v>
      </c>
      <c r="M413" t="n">
        <v>2754.37</v>
      </c>
      <c r="N413" t="inlineStr">
        <is>
          <t>RON</t>
        </is>
      </c>
      <c r="O413" t="inlineStr">
        <is>
          <t>Pitești</t>
        </is>
      </c>
      <c r="P413" s="12" t="n">
        <v>46139</v>
      </c>
      <c r="Q413">
        <f>IF(COUNTIF(tbl_Localitati[oras_oficial],[@oras])=0,"ORAS NEALINIAT",IF(XLOOKUP([@oras],tbl_Localitati[oras_oficial],tbl_Localitati[judet],"?")&lt;&gt;[@judet],"JUDET NECORESPUNZATOR",""))</f>
        <v/>
      </c>
      <c r="R413">
        <f>IF(XLOOKUP([@categorie],tbl_RegulriTVA[categorie],tbl_RegulriTVA[cota_legala],-1)&lt;&gt;[@cota_tva],"TVA GRESIT","")</f>
        <v/>
      </c>
      <c r="S413">
        <f>IF([@data_scadentei]&lt;[@data_factura],"SCADENTA INAINTEA FACTURII","")</f>
        <v/>
      </c>
      <c r="T413">
        <f>IF(NETWORKDAYS.INTL([@data_factura],[@data_factura],1,tbl_SarbatoriLegale[data])=0,"ZI NELUCRATOARE","")</f>
        <v/>
      </c>
      <c r="U413">
        <f>IF([@motiv_anomalie]="","OK","DE INVESTIGAT")</f>
        <v/>
      </c>
      <c r="V413">
        <f>TEXTJOIN("; ",TRUE,[@flag_oras],[@flag_tva],[@flag_scadenta],[@flag_zi])</f>
        <v/>
      </c>
    </row>
    <row r="414">
      <c r="A414" t="inlineStr">
        <is>
          <t>F-2025-00413</t>
        </is>
      </c>
      <c r="B414" s="12" t="n">
        <v>46302</v>
      </c>
      <c r="C414" t="inlineStr">
        <is>
          <t>SC INTEGROMED SA</t>
        </is>
      </c>
      <c r="D414" t="inlineStr">
        <is>
          <t>Bihor</t>
        </is>
      </c>
      <c r="E414" t="inlineStr">
        <is>
          <t>PRD-007</t>
        </is>
      </c>
      <c r="F414" t="inlineStr">
        <is>
          <t>Statie de lucru desktop</t>
        </is>
      </c>
      <c r="G414" t="inlineStr">
        <is>
          <t>Hardware IT</t>
        </is>
      </c>
      <c r="H414" t="n">
        <v>10</v>
      </c>
      <c r="I414" t="n">
        <v>178.23</v>
      </c>
      <c r="J414" t="n">
        <v>1782.3</v>
      </c>
      <c r="K414" s="13" t="n">
        <v>0.19</v>
      </c>
      <c r="L414" t="n">
        <v>338.64</v>
      </c>
      <c r="M414" t="n">
        <v>2120.94</v>
      </c>
      <c r="N414" t="inlineStr">
        <is>
          <t>RON</t>
        </is>
      </c>
      <c r="O414" t="inlineStr">
        <is>
          <t>Cluj-Napoca</t>
        </is>
      </c>
      <c r="P414" s="12" t="n">
        <v>46347</v>
      </c>
      <c r="Q414">
        <f>IF(COUNTIF(tbl_Localitati[oras_oficial],[@oras])=0,"ORAS NEALINIAT",IF(XLOOKUP([@oras],tbl_Localitati[oras_oficial],tbl_Localitati[judet],"?")&lt;&gt;[@judet],"JUDET NECORESPUNZATOR",""))</f>
        <v/>
      </c>
      <c r="R414">
        <f>IF(XLOOKUP([@categorie],tbl_RegulriTVA[categorie],tbl_RegulriTVA[cota_legala],-1)&lt;&gt;[@cota_tva],"TVA GRESIT","")</f>
        <v/>
      </c>
      <c r="S414">
        <f>IF([@data_scadentei]&lt;[@data_factura],"SCADENTA INAINTEA FACTURII","")</f>
        <v/>
      </c>
      <c r="T414">
        <f>IF(NETWORKDAYS.INTL([@data_factura],[@data_factura],1,tbl_SarbatoriLegale[data])=0,"ZI NELUCRATOARE","")</f>
        <v/>
      </c>
      <c r="U414">
        <f>IF([@motiv_anomalie]="","OK","DE INVESTIGAT")</f>
        <v/>
      </c>
      <c r="V414">
        <f>TEXTJOIN("; ",TRUE,[@flag_oras],[@flag_tva],[@flag_scadenta],[@flag_zi])</f>
        <v/>
      </c>
    </row>
    <row r="415">
      <c r="A415" t="inlineStr">
        <is>
          <t>F-2025-00414</t>
        </is>
      </c>
      <c r="B415" s="12" t="n">
        <v>46184</v>
      </c>
      <c r="C415" t="inlineStr">
        <is>
          <t>SC NORDIS DISTRIBUTIE SRL</t>
        </is>
      </c>
      <c r="D415" t="inlineStr">
        <is>
          <t>Constanța</t>
        </is>
      </c>
      <c r="E415" t="inlineStr">
        <is>
          <t>PRD-002</t>
        </is>
      </c>
      <c r="F415" t="inlineStr">
        <is>
          <t>Videoproiector sala</t>
        </is>
      </c>
      <c r="G415" t="inlineStr">
        <is>
          <t>Echipamente birou</t>
        </is>
      </c>
      <c r="H415" t="n">
        <v>3</v>
      </c>
      <c r="I415" t="n">
        <v>1114.33</v>
      </c>
      <c r="J415" t="n">
        <v>3342.99</v>
      </c>
      <c r="K415" s="13" t="n">
        <v>0.19</v>
      </c>
      <c r="L415" t="n">
        <v>635.17</v>
      </c>
      <c r="M415" t="n">
        <v>3978.16</v>
      </c>
      <c r="N415" t="inlineStr">
        <is>
          <t>RON</t>
        </is>
      </c>
      <c r="O415" t="inlineStr">
        <is>
          <t>Mangalia</t>
        </is>
      </c>
      <c r="P415" s="12" t="n">
        <v>46214</v>
      </c>
      <c r="Q415">
        <f>IF(COUNTIF(tbl_Localitati[oras_oficial],[@oras])=0,"ORAS NEALINIAT",IF(XLOOKUP([@oras],tbl_Localitati[oras_oficial],tbl_Localitati[judet],"?")&lt;&gt;[@judet],"JUDET NECORESPUNZATOR",""))</f>
        <v/>
      </c>
      <c r="R415">
        <f>IF(XLOOKUP([@categorie],tbl_RegulriTVA[categorie],tbl_RegulriTVA[cota_legala],-1)&lt;&gt;[@cota_tva],"TVA GRESIT","")</f>
        <v/>
      </c>
      <c r="S415">
        <f>IF([@data_scadentei]&lt;[@data_factura],"SCADENTA INAINTEA FACTURII","")</f>
        <v/>
      </c>
      <c r="T415">
        <f>IF(NETWORKDAYS.INTL([@data_factura],[@data_factura],1,tbl_SarbatoriLegale[data])=0,"ZI NELUCRATOARE","")</f>
        <v/>
      </c>
      <c r="U415">
        <f>IF([@motiv_anomalie]="","OK","DE INVESTIGAT")</f>
        <v/>
      </c>
      <c r="V415">
        <f>TEXTJOIN("; ",TRUE,[@flag_oras],[@flag_tva],[@flag_scadenta],[@flag_zi])</f>
        <v/>
      </c>
    </row>
    <row r="416">
      <c r="A416" t="inlineStr">
        <is>
          <t>F-2025-00415</t>
        </is>
      </c>
      <c r="B416" s="12" t="n">
        <v>46164</v>
      </c>
      <c r="C416" t="inlineStr">
        <is>
          <t>SC AROMET TRADING SRL</t>
        </is>
      </c>
      <c r="D416" t="inlineStr">
        <is>
          <t>Alba</t>
        </is>
      </c>
      <c r="E416" t="inlineStr">
        <is>
          <t>PRD-009</t>
        </is>
      </c>
      <c r="F416" t="inlineStr">
        <is>
          <t>Monitor 27" 4K</t>
        </is>
      </c>
      <c r="G416" t="inlineStr">
        <is>
          <t>Hardware IT</t>
        </is>
      </c>
      <c r="H416" t="n">
        <v>5</v>
      </c>
      <c r="I416" t="n">
        <v>27.56</v>
      </c>
      <c r="J416" t="n">
        <v>137.8</v>
      </c>
      <c r="K416" s="13" t="n">
        <v>0.19</v>
      </c>
      <c r="L416" t="n">
        <v>26.18</v>
      </c>
      <c r="M416" t="n">
        <v>163.98</v>
      </c>
      <c r="N416" t="inlineStr">
        <is>
          <t>RON</t>
        </is>
      </c>
      <c r="O416" t="inlineStr">
        <is>
          <t>Alba Iulia</t>
        </is>
      </c>
      <c r="P416" s="12" t="n">
        <v>46194</v>
      </c>
      <c r="Q416">
        <f>IF(COUNTIF(tbl_Localitati[oras_oficial],[@oras])=0,"ORAS NEALINIAT",IF(XLOOKUP([@oras],tbl_Localitati[oras_oficial],tbl_Localitati[judet],"?")&lt;&gt;[@judet],"JUDET NECORESPUNZATOR",""))</f>
        <v/>
      </c>
      <c r="R416">
        <f>IF(XLOOKUP([@categorie],tbl_RegulriTVA[categorie],tbl_RegulriTVA[cota_legala],-1)&lt;&gt;[@cota_tva],"TVA GRESIT","")</f>
        <v/>
      </c>
      <c r="S416">
        <f>IF([@data_scadentei]&lt;[@data_factura],"SCADENTA INAINTEA FACTURII","")</f>
        <v/>
      </c>
      <c r="T416">
        <f>IF(NETWORKDAYS.INTL([@data_factura],[@data_factura],1,tbl_SarbatoriLegale[data])=0,"ZI NELUCRATOARE","")</f>
        <v/>
      </c>
      <c r="U416">
        <f>IF([@motiv_anomalie]="","OK","DE INVESTIGAT")</f>
        <v/>
      </c>
      <c r="V416">
        <f>TEXTJOIN("; ",TRUE,[@flag_oras],[@flag_tva],[@flag_scadenta],[@flag_zi])</f>
        <v/>
      </c>
    </row>
    <row r="417">
      <c r="A417" t="inlineStr">
        <is>
          <t>F-2025-00416</t>
        </is>
      </c>
      <c r="B417" s="12" t="n">
        <v>46374</v>
      </c>
      <c r="C417" t="inlineStr">
        <is>
          <t>SC AROMET TRADING SRL</t>
        </is>
      </c>
      <c r="D417" t="inlineStr">
        <is>
          <t>Alba</t>
        </is>
      </c>
      <c r="E417" t="inlineStr">
        <is>
          <t>PRD-005</t>
        </is>
      </c>
      <c r="F417" t="inlineStr">
        <is>
          <t>Manual proceduri interne</t>
        </is>
      </c>
      <c r="G417" t="inlineStr">
        <is>
          <t>Cărți și manuale</t>
        </is>
      </c>
      <c r="H417" t="n">
        <v>3</v>
      </c>
      <c r="I417" t="n">
        <v>256.65</v>
      </c>
      <c r="J417" t="n">
        <v>769.95</v>
      </c>
      <c r="K417" s="13" t="n">
        <v>0.05</v>
      </c>
      <c r="L417" t="n">
        <v>38.5</v>
      </c>
      <c r="M417" t="n">
        <v>808.45</v>
      </c>
      <c r="N417" t="inlineStr">
        <is>
          <t>RON</t>
        </is>
      </c>
      <c r="O417" t="inlineStr">
        <is>
          <t>Alba Iulia</t>
        </is>
      </c>
      <c r="P417" s="12" t="n">
        <v>46419</v>
      </c>
      <c r="Q417">
        <f>IF(COUNTIF(tbl_Localitati[oras_oficial],[@oras])=0,"ORAS NEALINIAT",IF(XLOOKUP([@oras],tbl_Localitati[oras_oficial],tbl_Localitati[judet],"?")&lt;&gt;[@judet],"JUDET NECORESPUNZATOR",""))</f>
        <v/>
      </c>
      <c r="R417">
        <f>IF(XLOOKUP([@categorie],tbl_RegulriTVA[categorie],tbl_RegulriTVA[cota_legala],-1)&lt;&gt;[@cota_tva],"TVA GRESIT","")</f>
        <v/>
      </c>
      <c r="S417">
        <f>IF([@data_scadentei]&lt;[@data_factura],"SCADENTA INAINTEA FACTURII","")</f>
        <v/>
      </c>
      <c r="T417">
        <f>IF(NETWORKDAYS.INTL([@data_factura],[@data_factura],1,tbl_SarbatoriLegale[data])=0,"ZI NELUCRATOARE","")</f>
        <v/>
      </c>
      <c r="U417">
        <f>IF([@motiv_anomalie]="","OK","DE INVESTIGAT")</f>
        <v/>
      </c>
      <c r="V417">
        <f>TEXTJOIN("; ",TRUE,[@flag_oras],[@flag_tva],[@flag_scadenta],[@flag_zi])</f>
        <v/>
      </c>
    </row>
    <row r="418">
      <c r="A418" t="inlineStr">
        <is>
          <t>F-2025-00417</t>
        </is>
      </c>
      <c r="B418" s="12" t="n">
        <v>46084</v>
      </c>
      <c r="C418" t="inlineStr">
        <is>
          <t>SC AROMET TRADING SRL</t>
        </is>
      </c>
      <c r="D418" t="inlineStr">
        <is>
          <t>Alba</t>
        </is>
      </c>
      <c r="E418" t="inlineStr">
        <is>
          <t>PRD-009</t>
        </is>
      </c>
      <c r="F418" t="inlineStr">
        <is>
          <t>Switch gigabit 24p</t>
        </is>
      </c>
      <c r="G418" t="inlineStr">
        <is>
          <t>Hardware IT</t>
        </is>
      </c>
      <c r="H418" t="n">
        <v>50</v>
      </c>
      <c r="I418" t="n">
        <v>26.97</v>
      </c>
      <c r="J418" t="n">
        <v>1348.5</v>
      </c>
      <c r="K418" s="13" t="n">
        <v>0.19</v>
      </c>
      <c r="L418" t="n">
        <v>256.21</v>
      </c>
      <c r="M418" t="n">
        <v>1604.71</v>
      </c>
      <c r="N418" t="inlineStr">
        <is>
          <t>RON</t>
        </is>
      </c>
      <c r="O418" t="inlineStr">
        <is>
          <t>Alba Iulia</t>
        </is>
      </c>
      <c r="P418" s="12" t="n">
        <v>46114</v>
      </c>
      <c r="Q418">
        <f>IF(COUNTIF(tbl_Localitati[oras_oficial],[@oras])=0,"ORAS NEALINIAT",IF(XLOOKUP([@oras],tbl_Localitati[oras_oficial],tbl_Localitati[judet],"?")&lt;&gt;[@judet],"JUDET NECORESPUNZATOR",""))</f>
        <v/>
      </c>
      <c r="R418">
        <f>IF(XLOOKUP([@categorie],tbl_RegulriTVA[categorie],tbl_RegulriTVA[cota_legala],-1)&lt;&gt;[@cota_tva],"TVA GRESIT","")</f>
        <v/>
      </c>
      <c r="S418">
        <f>IF([@data_scadentei]&lt;[@data_factura],"SCADENTA INAINTEA FACTURII","")</f>
        <v/>
      </c>
      <c r="T418">
        <f>IF(NETWORKDAYS.INTL([@data_factura],[@data_factura],1,tbl_SarbatoriLegale[data])=0,"ZI NELUCRATOARE","")</f>
        <v/>
      </c>
      <c r="U418">
        <f>IF([@motiv_anomalie]="","OK","DE INVESTIGAT")</f>
        <v/>
      </c>
      <c r="V418">
        <f>TEXTJOIN("; ",TRUE,[@flag_oras],[@flag_tva],[@flag_scadenta],[@flag_zi])</f>
        <v/>
      </c>
    </row>
    <row r="419">
      <c r="A419" t="inlineStr">
        <is>
          <t>F-2025-00418</t>
        </is>
      </c>
      <c r="B419" s="12" t="n">
        <v>46275</v>
      </c>
      <c r="C419" t="inlineStr">
        <is>
          <t>SC DACTECH SOLUTIONS SRL</t>
        </is>
      </c>
      <c r="D419" t="inlineStr">
        <is>
          <t>Argeș</t>
        </is>
      </c>
      <c r="E419" t="inlineStr">
        <is>
          <t>PRD-001</t>
        </is>
      </c>
      <c r="F419" t="inlineStr">
        <is>
          <t>Monitor 27" 4K</t>
        </is>
      </c>
      <c r="G419" t="inlineStr">
        <is>
          <t>Hardware IT</t>
        </is>
      </c>
      <c r="H419" t="n">
        <v>2</v>
      </c>
      <c r="I419" t="n">
        <v>2481.57</v>
      </c>
      <c r="J419" t="n">
        <v>4963.14</v>
      </c>
      <c r="K419" s="13" t="n">
        <v>0.05</v>
      </c>
      <c r="L419" t="n">
        <v>248.16</v>
      </c>
      <c r="M419" t="n">
        <v>5211.3</v>
      </c>
      <c r="N419" t="inlineStr">
        <is>
          <t>RON</t>
        </is>
      </c>
      <c r="O419" t="inlineStr">
        <is>
          <t>Pitești</t>
        </is>
      </c>
      <c r="P419" s="12" t="n">
        <v>46290</v>
      </c>
      <c r="Q419">
        <f>IF(COUNTIF(tbl_Localitati[oras_oficial],[@oras])=0,"ORAS NEALINIAT",IF(XLOOKUP([@oras],tbl_Localitati[oras_oficial],tbl_Localitati[judet],"?")&lt;&gt;[@judet],"JUDET NECORESPUNZATOR",""))</f>
        <v/>
      </c>
      <c r="R419">
        <f>IF(XLOOKUP([@categorie],tbl_RegulriTVA[categorie],tbl_RegulriTVA[cota_legala],-1)&lt;&gt;[@cota_tva],"TVA GRESIT","")</f>
        <v/>
      </c>
      <c r="S419">
        <f>IF([@data_scadentei]&lt;[@data_factura],"SCADENTA INAINTEA FACTURII","")</f>
        <v/>
      </c>
      <c r="T419">
        <f>IF(NETWORKDAYS.INTL([@data_factura],[@data_factura],1,tbl_SarbatoriLegale[data])=0,"ZI NELUCRATOARE","")</f>
        <v/>
      </c>
      <c r="U419">
        <f>IF([@motiv_anomalie]="","OK","DE INVESTIGAT")</f>
        <v/>
      </c>
      <c r="V419">
        <f>TEXTJOIN("; ",TRUE,[@flag_oras],[@flag_tva],[@flag_scadenta],[@flag_zi])</f>
        <v/>
      </c>
    </row>
    <row r="420">
      <c r="A420" t="inlineStr">
        <is>
          <t>F-2025-00419</t>
        </is>
      </c>
      <c r="B420" s="12" t="n">
        <v>46272</v>
      </c>
      <c r="C420" t="inlineStr">
        <is>
          <t>SC DACTECH SOLUTIONS SRL</t>
        </is>
      </c>
      <c r="D420" t="inlineStr">
        <is>
          <t>Argeș</t>
        </is>
      </c>
      <c r="E420" t="inlineStr">
        <is>
          <t>PRD-010</t>
        </is>
      </c>
      <c r="F420" t="inlineStr">
        <is>
          <t>Telefon IP birou</t>
        </is>
      </c>
      <c r="G420" t="inlineStr">
        <is>
          <t>Echipamente birou</t>
        </is>
      </c>
      <c r="H420" t="n">
        <v>50</v>
      </c>
      <c r="I420" t="n">
        <v>356.47</v>
      </c>
      <c r="J420" t="n">
        <v>17823.5</v>
      </c>
      <c r="K420" s="13" t="n">
        <v>0.19</v>
      </c>
      <c r="L420" t="n">
        <v>3386.47</v>
      </c>
      <c r="M420" t="n">
        <v>21209.97</v>
      </c>
      <c r="N420" t="inlineStr">
        <is>
          <t>RON</t>
        </is>
      </c>
      <c r="O420" t="inlineStr">
        <is>
          <t>Pitești</t>
        </is>
      </c>
      <c r="P420" s="12" t="n">
        <v>46302</v>
      </c>
      <c r="Q420">
        <f>IF(COUNTIF(tbl_Localitati[oras_oficial],[@oras])=0,"ORAS NEALINIAT",IF(XLOOKUP([@oras],tbl_Localitati[oras_oficial],tbl_Localitati[judet],"?")&lt;&gt;[@judet],"JUDET NECORESPUNZATOR",""))</f>
        <v/>
      </c>
      <c r="R420">
        <f>IF(XLOOKUP([@categorie],tbl_RegulriTVA[categorie],tbl_RegulriTVA[cota_legala],-1)&lt;&gt;[@cota_tva],"TVA GRESIT","")</f>
        <v/>
      </c>
      <c r="S420">
        <f>IF([@data_scadentei]&lt;[@data_factura],"SCADENTA INAINTEA FACTURII","")</f>
        <v/>
      </c>
      <c r="T420">
        <f>IF(NETWORKDAYS.INTL([@data_factura],[@data_factura],1,tbl_SarbatoriLegale[data])=0,"ZI NELUCRATOARE","")</f>
        <v/>
      </c>
      <c r="U420">
        <f>IF([@motiv_anomalie]="","OK","DE INVESTIGAT")</f>
        <v/>
      </c>
      <c r="V420">
        <f>TEXTJOIN("; ",TRUE,[@flag_oras],[@flag_tva],[@flag_scadenta],[@flag_zi])</f>
        <v/>
      </c>
    </row>
    <row r="421">
      <c r="A421" t="inlineStr">
        <is>
          <t>F-2025-00420</t>
        </is>
      </c>
      <c r="B421" s="12" t="n">
        <v>46192</v>
      </c>
      <c r="C421" t="inlineStr">
        <is>
          <t>SC ELECTROBUILD SRL</t>
        </is>
      </c>
      <c r="D421" t="inlineStr">
        <is>
          <t>Bacău</t>
        </is>
      </c>
      <c r="E421" t="inlineStr">
        <is>
          <t>PRD-005</t>
        </is>
      </c>
      <c r="F421" t="inlineStr">
        <is>
          <t>Suport tehnic anual</t>
        </is>
      </c>
      <c r="G421" t="inlineStr">
        <is>
          <t>Servicii consultanță</t>
        </is>
      </c>
      <c r="H421" t="n">
        <v>5</v>
      </c>
      <c r="I421" t="n">
        <v>244.24</v>
      </c>
      <c r="J421" t="n">
        <v>1221.2</v>
      </c>
      <c r="K421" s="13" t="n">
        <v>0.19</v>
      </c>
      <c r="L421" t="n">
        <v>232.03</v>
      </c>
      <c r="M421" t="n">
        <v>1453.23</v>
      </c>
      <c r="N421" t="inlineStr">
        <is>
          <t>RON</t>
        </is>
      </c>
      <c r="O421" t="inlineStr">
        <is>
          <t>Bacău</t>
        </is>
      </c>
      <c r="P421" s="12" t="n">
        <v>46222</v>
      </c>
      <c r="Q421">
        <f>IF(COUNTIF(tbl_Localitati[oras_oficial],[@oras])=0,"ORAS NEALINIAT",IF(XLOOKUP([@oras],tbl_Localitati[oras_oficial],tbl_Localitati[judet],"?")&lt;&gt;[@judet],"JUDET NECORESPUNZATOR",""))</f>
        <v/>
      </c>
      <c r="R421">
        <f>IF(XLOOKUP([@categorie],tbl_RegulriTVA[categorie],tbl_RegulriTVA[cota_legala],-1)&lt;&gt;[@cota_tva],"TVA GRESIT","")</f>
        <v/>
      </c>
      <c r="S421">
        <f>IF([@data_scadentei]&lt;[@data_factura],"SCADENTA INAINTEA FACTURII","")</f>
        <v/>
      </c>
      <c r="T421">
        <f>IF(NETWORKDAYS.INTL([@data_factura],[@data_factura],1,tbl_SarbatoriLegale[data])=0,"ZI NELUCRATOARE","")</f>
        <v/>
      </c>
      <c r="U421">
        <f>IF([@motiv_anomalie]="","OK","DE INVESTIGAT")</f>
        <v/>
      </c>
      <c r="V421">
        <f>TEXTJOIN("; ",TRUE,[@flag_oras],[@flag_tva],[@flag_scadenta],[@flag_zi])</f>
        <v/>
      </c>
    </row>
    <row r="422">
      <c r="A422" t="inlineStr">
        <is>
          <t>F-2025-00421</t>
        </is>
      </c>
      <c r="B422" s="12" t="n">
        <v>46304</v>
      </c>
      <c r="C422" t="inlineStr">
        <is>
          <t>SC DACTECH SOLUTIONS SRL</t>
        </is>
      </c>
      <c r="D422" t="inlineStr">
        <is>
          <t>Argeș</t>
        </is>
      </c>
      <c r="E422" t="inlineStr">
        <is>
          <t>PRD-006</t>
        </is>
      </c>
      <c r="F422" t="inlineStr">
        <is>
          <t>Laptop business 15"</t>
        </is>
      </c>
      <c r="G422" t="inlineStr">
        <is>
          <t>Hardware IT</t>
        </is>
      </c>
      <c r="H422" t="n">
        <v>1</v>
      </c>
      <c r="I422" t="n">
        <v>716.76</v>
      </c>
      <c r="J422" t="n">
        <v>716.76</v>
      </c>
      <c r="K422" s="13" t="n">
        <v>0.19</v>
      </c>
      <c r="L422" t="n">
        <v>136.18</v>
      </c>
      <c r="M422" t="n">
        <v>852.9400000000001</v>
      </c>
      <c r="N422" t="inlineStr">
        <is>
          <t>RON</t>
        </is>
      </c>
      <c r="O422" t="inlineStr">
        <is>
          <t>Pitești</t>
        </is>
      </c>
      <c r="P422" s="12" t="n">
        <v>46349</v>
      </c>
      <c r="Q422">
        <f>IF(COUNTIF(tbl_Localitati[oras_oficial],[@oras])=0,"ORAS NEALINIAT",IF(XLOOKUP([@oras],tbl_Localitati[oras_oficial],tbl_Localitati[judet],"?")&lt;&gt;[@judet],"JUDET NECORESPUNZATOR",""))</f>
        <v/>
      </c>
      <c r="R422">
        <f>IF(XLOOKUP([@categorie],tbl_RegulriTVA[categorie],tbl_RegulriTVA[cota_legala],-1)&lt;&gt;[@cota_tva],"TVA GRESIT","")</f>
        <v/>
      </c>
      <c r="S422">
        <f>IF([@data_scadentei]&lt;[@data_factura],"SCADENTA INAINTEA FACTURII","")</f>
        <v/>
      </c>
      <c r="T422">
        <f>IF(NETWORKDAYS.INTL([@data_factura],[@data_factura],1,tbl_SarbatoriLegale[data])=0,"ZI NELUCRATOARE","")</f>
        <v/>
      </c>
      <c r="U422">
        <f>IF([@motiv_anomalie]="","OK","DE INVESTIGAT")</f>
        <v/>
      </c>
      <c r="V422">
        <f>TEXTJOIN("; ",TRUE,[@flag_oras],[@flag_tva],[@flag_scadenta],[@flag_zi])</f>
        <v/>
      </c>
    </row>
    <row r="423">
      <c r="A423" t="inlineStr">
        <is>
          <t>F-2025-00422</t>
        </is>
      </c>
      <c r="B423" s="12" t="n">
        <v>46189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Licenta ERP contabilitate</t>
        </is>
      </c>
      <c r="G423" t="inlineStr">
        <is>
          <t>Licențe software</t>
        </is>
      </c>
      <c r="H423" t="n">
        <v>25</v>
      </c>
      <c r="I423" t="n">
        <v>188.13</v>
      </c>
      <c r="J423" t="n">
        <v>4703.25</v>
      </c>
      <c r="K423" s="13" t="n">
        <v>0.19</v>
      </c>
      <c r="L423" t="n">
        <v>893.62</v>
      </c>
      <c r="M423" t="n">
        <v>5596.87</v>
      </c>
      <c r="N423" t="inlineStr">
        <is>
          <t>RON</t>
        </is>
      </c>
      <c r="O423" t="inlineStr">
        <is>
          <t>Sibiu</t>
        </is>
      </c>
      <c r="P423" s="12" t="n">
        <v>46204</v>
      </c>
      <c r="Q423">
        <f>IF(COUNTIF(tbl_Localitati[oras_oficial],[@oras])=0,"ORAS NEALINIAT",IF(XLOOKUP([@oras],tbl_Localitati[oras_oficial],tbl_Localitati[judet],"?")&lt;&gt;[@judet],"JUDET NECORESPUNZATOR",""))</f>
        <v/>
      </c>
      <c r="R423">
        <f>IF(XLOOKUP([@categorie],tbl_RegulriTVA[categorie],tbl_RegulriTVA[cota_legala],-1)&lt;&gt;[@cota_tva],"TVA GRESIT","")</f>
        <v/>
      </c>
      <c r="S423">
        <f>IF([@data_scadentei]&lt;[@data_factura],"SCADENTA INAINTEA FACTURII","")</f>
        <v/>
      </c>
      <c r="T423">
        <f>IF(NETWORKDAYS.INTL([@data_factura],[@data_factura],1,tbl_SarbatoriLegale[data])=0,"ZI NELUCRATOARE","")</f>
        <v/>
      </c>
      <c r="U423">
        <f>IF([@motiv_anomalie]="","OK","DE INVESTIGAT")</f>
        <v/>
      </c>
      <c r="V423">
        <f>TEXTJOIN("; ",TRUE,[@flag_oras],[@flag_tva],[@flag_scadenta],[@flag_zi])</f>
        <v/>
      </c>
    </row>
    <row r="424">
      <c r="A424" t="inlineStr">
        <is>
          <t>F-2025-00423</t>
        </is>
      </c>
      <c r="B424" s="12" t="n">
        <v>46276</v>
      </c>
      <c r="C424" t="inlineStr">
        <is>
          <t>SC VECTOR CONSULT SRL</t>
        </is>
      </c>
      <c r="D424" t="inlineStr">
        <is>
          <t>Timiș</t>
        </is>
      </c>
      <c r="E424" t="inlineStr">
        <is>
          <t>PRD-009</t>
        </is>
      </c>
      <c r="F424" t="inlineStr">
        <is>
          <t>Ceai cutie 100buc</t>
        </is>
      </c>
      <c r="G424" t="inlineStr">
        <is>
          <t>Alimente</t>
        </is>
      </c>
      <c r="H424" t="n">
        <v>5</v>
      </c>
      <c r="I424" t="n">
        <v>28.35</v>
      </c>
      <c r="J424" t="n">
        <v>141.75</v>
      </c>
      <c r="K424" s="13" t="n">
        <v>0.09</v>
      </c>
      <c r="L424" t="n">
        <v>12.76</v>
      </c>
      <c r="M424" t="n">
        <v>154.51</v>
      </c>
      <c r="N424" t="inlineStr">
        <is>
          <t>RON</t>
        </is>
      </c>
      <c r="O424" t="inlineStr">
        <is>
          <t>Timișoara</t>
        </is>
      </c>
      <c r="P424" s="12" t="n">
        <v>46321</v>
      </c>
      <c r="Q424">
        <f>IF(COUNTIF(tbl_Localitati[oras_oficial],[@oras])=0,"ORAS NEALINIAT",IF(XLOOKUP([@oras],tbl_Localitati[oras_oficial],tbl_Localitati[judet],"?")&lt;&gt;[@judet],"JUDET NECORESPUNZATOR",""))</f>
        <v/>
      </c>
      <c r="R424">
        <f>IF(XLOOKUP([@categorie],tbl_RegulriTVA[categorie],tbl_RegulriTVA[cota_legala],-1)&lt;&gt;[@cota_tva],"TVA GRESIT","")</f>
        <v/>
      </c>
      <c r="S424">
        <f>IF([@data_scadentei]&lt;[@data_factura],"SCADENTA INAINTEA FACTURII","")</f>
        <v/>
      </c>
      <c r="T424">
        <f>IF(NETWORKDAYS.INTL([@data_factura],[@data_factura],1,tbl_SarbatoriLegale[data])=0,"ZI NELUCRATOARE","")</f>
        <v/>
      </c>
      <c r="U424">
        <f>IF([@motiv_anomalie]="","OK","DE INVESTIGAT")</f>
        <v/>
      </c>
      <c r="V424">
        <f>TEXTJOIN("; ",TRUE,[@flag_oras],[@flag_tva],[@flag_scadenta],[@flag_zi])</f>
        <v/>
      </c>
    </row>
    <row r="425">
      <c r="A425" t="inlineStr">
        <is>
          <t>F-2025-00424</t>
        </is>
      </c>
      <c r="B425" s="12" t="n">
        <v>46273</v>
      </c>
      <c r="C425" t="inlineStr">
        <is>
          <t>SC INTEGROMED SA</t>
        </is>
      </c>
      <c r="D425" t="inlineStr">
        <is>
          <t>Cluj</t>
        </is>
      </c>
      <c r="E425" t="inlineStr">
        <is>
          <t>PRD-006</t>
        </is>
      </c>
      <c r="F425" t="inlineStr">
        <is>
          <t>Consultanta implementare IT</t>
        </is>
      </c>
      <c r="G425" t="inlineStr">
        <is>
          <t>Servicii consultanță</t>
        </is>
      </c>
      <c r="H425" t="n">
        <v>50</v>
      </c>
      <c r="I425" t="n">
        <v>728.0700000000001</v>
      </c>
      <c r="J425" t="n">
        <v>36403.5</v>
      </c>
      <c r="K425" s="13" t="n">
        <v>0.19</v>
      </c>
      <c r="L425" t="n">
        <v>6916.66</v>
      </c>
      <c r="M425" t="n">
        <v>43320.16</v>
      </c>
      <c r="N425" t="inlineStr">
        <is>
          <t>RON</t>
        </is>
      </c>
      <c r="O425" t="inlineStr">
        <is>
          <t>Cluj-Napoca</t>
        </is>
      </c>
      <c r="P425" s="12" t="n">
        <v>46303</v>
      </c>
      <c r="Q425">
        <f>IF(COUNTIF(tbl_Localitati[oras_oficial],[@oras])=0,"ORAS NEALINIAT",IF(XLOOKUP([@oras],tbl_Localitati[oras_oficial],tbl_Localitati[judet],"?")&lt;&gt;[@judet],"JUDET NECORESPUNZATOR",""))</f>
        <v/>
      </c>
      <c r="R425">
        <f>IF(XLOOKUP([@categorie],tbl_RegulriTVA[categorie],tbl_RegulriTVA[cota_legala],-1)&lt;&gt;[@cota_tva],"TVA GRESIT","")</f>
        <v/>
      </c>
      <c r="S425">
        <f>IF([@data_scadentei]&lt;[@data_factura],"SCADENTA INAINTEA FACTURII","")</f>
        <v/>
      </c>
      <c r="T425">
        <f>IF(NETWORKDAYS.INTL([@data_factura],[@data_factura],1,tbl_SarbatoriLegale[data])=0,"ZI NELUCRATOARE","")</f>
        <v/>
      </c>
      <c r="U425">
        <f>IF([@motiv_anomalie]="","OK","DE INVESTIGAT")</f>
        <v/>
      </c>
      <c r="V425">
        <f>TEXTJOIN("; ",TRUE,[@flag_oras],[@flag_tva],[@flag_scadenta],[@flag_zi])</f>
        <v/>
      </c>
    </row>
    <row r="426">
      <c r="A426" t="inlineStr">
        <is>
          <t>F-2025-00425</t>
        </is>
      </c>
      <c r="B426" s="12" t="n">
        <v>46176</v>
      </c>
      <c r="C426" t="inlineStr">
        <is>
          <t>SC FARMAVITAL DISTRIBUTIE SA</t>
        </is>
      </c>
      <c r="D426" t="inlineStr">
        <is>
          <t>Bihor</t>
        </is>
      </c>
      <c r="E426" t="inlineStr">
        <is>
          <t>PRD-007</t>
        </is>
      </c>
      <c r="F426" t="inlineStr">
        <is>
          <t>Laptop business 15"</t>
        </is>
      </c>
      <c r="G426" t="inlineStr">
        <is>
          <t>Hardware IT</t>
        </is>
      </c>
      <c r="H426" t="n">
        <v>25</v>
      </c>
      <c r="I426" t="n">
        <v>175.7</v>
      </c>
      <c r="J426" t="n">
        <v>4392.5</v>
      </c>
      <c r="K426" s="13" t="n">
        <v>0.19</v>
      </c>
      <c r="L426" t="n">
        <v>834.58</v>
      </c>
      <c r="M426" t="n">
        <v>5227.08</v>
      </c>
      <c r="N426" t="inlineStr">
        <is>
          <t>RON</t>
        </is>
      </c>
      <c r="O426" t="inlineStr">
        <is>
          <t>Oradea</t>
        </is>
      </c>
      <c r="P426" s="12" t="n">
        <v>46221</v>
      </c>
      <c r="Q426">
        <f>IF(COUNTIF(tbl_Localitati[oras_oficial],[@oras])=0,"ORAS NEALINIAT",IF(XLOOKUP([@oras],tbl_Localitati[oras_oficial],tbl_Localitati[judet],"?")&lt;&gt;[@judet],"JUDET NECORESPUNZATOR",""))</f>
        <v/>
      </c>
      <c r="R426">
        <f>IF(XLOOKUP([@categorie],tbl_RegulriTVA[categorie],tbl_RegulriTVA[cota_legala],-1)&lt;&gt;[@cota_tva],"TVA GRESIT","")</f>
        <v/>
      </c>
      <c r="S426">
        <f>IF([@data_scadentei]&lt;[@data_factura],"SCADENTA INAINTEA FACTURII","")</f>
        <v/>
      </c>
      <c r="T426">
        <f>IF(NETWORKDAYS.INTL([@data_factura],[@data_factura],1,tbl_SarbatoriLegale[data])=0,"ZI NELUCRATOARE","")</f>
        <v/>
      </c>
      <c r="U426">
        <f>IF([@motiv_anomalie]="","OK","DE INVESTIGAT")</f>
        <v/>
      </c>
      <c r="V426">
        <f>TEXTJOIN("; ",TRUE,[@flag_oras],[@flag_tva],[@flag_scadenta],[@flag_zi])</f>
        <v/>
      </c>
    </row>
    <row r="427">
      <c r="A427" t="inlineStr">
        <is>
          <t>F-2025-00426</t>
        </is>
      </c>
      <c r="B427" s="12" t="n">
        <v>46101</v>
      </c>
      <c r="C427" t="inlineStr">
        <is>
          <t>SC UNIFOOD DISTRIBUTION SA</t>
        </is>
      </c>
      <c r="D427" t="inlineStr">
        <is>
          <t>Sibiu</t>
        </is>
      </c>
      <c r="E427" t="inlineStr">
        <is>
          <t>PRD-002</t>
        </is>
      </c>
      <c r="F427" t="inlineStr">
        <is>
          <t>Statie de lucru desktop</t>
        </is>
      </c>
      <c r="G427" t="inlineStr">
        <is>
          <t>Hardware IT</t>
        </is>
      </c>
      <c r="H427" t="n">
        <v>1</v>
      </c>
      <c r="I427" t="n">
        <v>1081.59</v>
      </c>
      <c r="J427" t="n">
        <v>1081.59</v>
      </c>
      <c r="K427" s="13" t="n">
        <v>0.19</v>
      </c>
      <c r="L427" t="n">
        <v>205.5</v>
      </c>
      <c r="M427" t="n">
        <v>1287.09</v>
      </c>
      <c r="N427" t="inlineStr">
        <is>
          <t>RON</t>
        </is>
      </c>
      <c r="O427" t="inlineStr">
        <is>
          <t>Mediaș</t>
        </is>
      </c>
      <c r="P427" s="12" t="n">
        <v>46131</v>
      </c>
      <c r="Q427">
        <f>IF(COUNTIF(tbl_Localitati[oras_oficial],[@oras])=0,"ORAS NEALINIAT",IF(XLOOKUP([@oras],tbl_Localitati[oras_oficial],tbl_Localitati[judet],"?")&lt;&gt;[@judet],"JUDET NECORESPUNZATOR",""))</f>
        <v/>
      </c>
      <c r="R427">
        <f>IF(XLOOKUP([@categorie],tbl_RegulriTVA[categorie],tbl_RegulriTVA[cota_legala],-1)&lt;&gt;[@cota_tva],"TVA GRESIT","")</f>
        <v/>
      </c>
      <c r="S427">
        <f>IF([@data_scadentei]&lt;[@data_factura],"SCADENTA INAINTEA FACTURII","")</f>
        <v/>
      </c>
      <c r="T427">
        <f>IF(NETWORKDAYS.INTL([@data_factura],[@data_factura],1,tbl_SarbatoriLegale[data])=0,"ZI NELUCRATOARE","")</f>
        <v/>
      </c>
      <c r="U427">
        <f>IF([@motiv_anomalie]="","OK","DE INVESTIGAT")</f>
        <v/>
      </c>
      <c r="V427">
        <f>TEXTJOIN("; ",TRUE,[@flag_oras],[@flag_tva],[@flag_scadenta],[@flag_zi])</f>
        <v/>
      </c>
    </row>
    <row r="428">
      <c r="A428" t="inlineStr">
        <is>
          <t>F-2025-00427</t>
        </is>
      </c>
      <c r="B428" s="12" t="n">
        <v>46078</v>
      </c>
      <c r="C428" t="inlineStr">
        <is>
          <t>SC METALPLAST INVEST SA</t>
        </is>
      </c>
      <c r="D428" t="inlineStr">
        <is>
          <t>Cluj</t>
        </is>
      </c>
      <c r="E428" t="inlineStr">
        <is>
          <t>PRD-009</t>
        </is>
      </c>
      <c r="F428" t="inlineStr">
        <is>
          <t>Ghid legislatie GDPR</t>
        </is>
      </c>
      <c r="G428" t="inlineStr">
        <is>
          <t>Cărți și manuale</t>
        </is>
      </c>
      <c r="H428" t="n">
        <v>20</v>
      </c>
      <c r="I428" t="n">
        <v>27.07</v>
      </c>
      <c r="J428" t="n">
        <v>541.4</v>
      </c>
      <c r="K428" s="13" t="n">
        <v>0.05</v>
      </c>
      <c r="L428" t="n">
        <v>27.07</v>
      </c>
      <c r="M428" t="n">
        <v>568.47</v>
      </c>
      <c r="N428" t="inlineStr">
        <is>
          <t>RON</t>
        </is>
      </c>
      <c r="O428" t="inlineStr">
        <is>
          <t>Turda</t>
        </is>
      </c>
      <c r="P428" s="12" t="n">
        <v>46108</v>
      </c>
      <c r="Q428">
        <f>IF(COUNTIF(tbl_Localitati[oras_oficial],[@oras])=0,"ORAS NEALINIAT",IF(XLOOKUP([@oras],tbl_Localitati[oras_oficial],tbl_Localitati[judet],"?")&lt;&gt;[@judet],"JUDET NECORESPUNZATOR",""))</f>
        <v/>
      </c>
      <c r="R428">
        <f>IF(XLOOKUP([@categorie],tbl_RegulriTVA[categorie],tbl_RegulriTVA[cota_legala],-1)&lt;&gt;[@cota_tva],"TVA GRESIT","")</f>
        <v/>
      </c>
      <c r="S428">
        <f>IF([@data_scadentei]&lt;[@data_factura],"SCADENTA INAINTEA FACTURII","")</f>
        <v/>
      </c>
      <c r="T428">
        <f>IF(NETWORKDAYS.INTL([@data_factura],[@data_factura],1,tbl_SarbatoriLegale[data])=0,"ZI NELUCRATOARE","")</f>
        <v/>
      </c>
      <c r="U428">
        <f>IF([@motiv_anomalie]="","OK","DE INVESTIGAT")</f>
        <v/>
      </c>
      <c r="V428">
        <f>TEXTJOIN("; ",TRUE,[@flag_oras],[@flag_tva],[@flag_scadenta],[@flag_zi])</f>
        <v/>
      </c>
    </row>
    <row r="429">
      <c r="A429" t="inlineStr">
        <is>
          <t>F-2025-00428</t>
        </is>
      </c>
      <c r="B429" s="12" t="n">
        <v>46071</v>
      </c>
      <c r="C429" t="inlineStr">
        <is>
          <t>SC RAPID LOGISTIC SA</t>
        </is>
      </c>
      <c r="D429" t="inlineStr">
        <is>
          <t>Prahova</t>
        </is>
      </c>
      <c r="E429" t="inlineStr">
        <is>
          <t>PRD-008</t>
        </is>
      </c>
      <c r="F429" t="inlineStr">
        <is>
          <t>Abonament suita cloud</t>
        </is>
      </c>
      <c r="G429" t="inlineStr">
        <is>
          <t>Licențe software</t>
        </is>
      </c>
      <c r="H429" t="n">
        <v>10</v>
      </c>
      <c r="I429" t="n">
        <v>442.65</v>
      </c>
      <c r="J429" t="n">
        <v>4426.5</v>
      </c>
      <c r="K429" s="13" t="n">
        <v>0.19</v>
      </c>
      <c r="L429" t="n">
        <v>841.03</v>
      </c>
      <c r="M429" t="n">
        <v>5267.53</v>
      </c>
      <c r="N429" t="inlineStr">
        <is>
          <t>EUR</t>
        </is>
      </c>
      <c r="O429" t="inlineStr">
        <is>
          <t>Ploiești</t>
        </is>
      </c>
      <c r="P429" s="12" t="n">
        <v>46086</v>
      </c>
      <c r="Q429">
        <f>IF(COUNTIF(tbl_Localitati[oras_oficial],[@oras])=0,"ORAS NEALINIAT",IF(XLOOKUP([@oras],tbl_Localitati[oras_oficial],tbl_Localitati[judet],"?")&lt;&gt;[@judet],"JUDET NECORESPUNZATOR",""))</f>
        <v/>
      </c>
      <c r="R429">
        <f>IF(XLOOKUP([@categorie],tbl_RegulriTVA[categorie],tbl_RegulriTVA[cota_legala],-1)&lt;&gt;[@cota_tva],"TVA GRESIT","")</f>
        <v/>
      </c>
      <c r="S429">
        <f>IF([@data_scadentei]&lt;[@data_factura],"SCADENTA INAINTEA FACTURII","")</f>
        <v/>
      </c>
      <c r="T429">
        <f>IF(NETWORKDAYS.INTL([@data_factura],[@data_factura],1,tbl_SarbatoriLegale[data])=0,"ZI NELUCRATOARE","")</f>
        <v/>
      </c>
      <c r="U429">
        <f>IF([@motiv_anomalie]="","OK","DE INVESTIGAT")</f>
        <v/>
      </c>
      <c r="V429">
        <f>TEXTJOIN("; ",TRUE,[@flag_oras],[@flag_tva],[@flag_scadenta],[@flag_zi])</f>
        <v/>
      </c>
    </row>
    <row r="430">
      <c r="A430" t="inlineStr">
        <is>
          <t>F-2025-00429</t>
        </is>
      </c>
      <c r="B430" s="12" t="n">
        <v>46189</v>
      </c>
      <c r="C430" t="inlineStr">
        <is>
          <t>SC DACTECH SOLUTIONS SRL</t>
        </is>
      </c>
      <c r="D430" t="inlineStr">
        <is>
          <t>Argeș</t>
        </is>
      </c>
      <c r="E430" t="inlineStr">
        <is>
          <t>PRD-010</t>
        </is>
      </c>
      <c r="F430" t="inlineStr">
        <is>
          <t>Carte tehnica IT</t>
        </is>
      </c>
      <c r="G430" t="inlineStr">
        <is>
          <t>Cărți și manuale</t>
        </is>
      </c>
      <c r="H430" t="n">
        <v>10</v>
      </c>
      <c r="I430" t="n">
        <v>363.54</v>
      </c>
      <c r="J430" t="n">
        <v>3635.4</v>
      </c>
      <c r="K430" s="13" t="n">
        <v>0.05</v>
      </c>
      <c r="L430" t="n">
        <v>181.77</v>
      </c>
      <c r="M430" t="n">
        <v>3817.17</v>
      </c>
      <c r="N430" t="inlineStr">
        <is>
          <t>RON</t>
        </is>
      </c>
      <c r="O430" t="inlineStr">
        <is>
          <t>Pitești</t>
        </is>
      </c>
      <c r="P430" s="12" t="n">
        <v>46219</v>
      </c>
      <c r="Q430">
        <f>IF(COUNTIF(tbl_Localitati[oras_oficial],[@oras])=0,"ORAS NEALINIAT",IF(XLOOKUP([@oras],tbl_Localitati[oras_oficial],tbl_Localitati[judet],"?")&lt;&gt;[@judet],"JUDET NECORESPUNZATOR",""))</f>
        <v/>
      </c>
      <c r="R430">
        <f>IF(XLOOKUP([@categorie],tbl_RegulriTVA[categorie],tbl_RegulriTVA[cota_legala],-1)&lt;&gt;[@cota_tva],"TVA GRESIT","")</f>
        <v/>
      </c>
      <c r="S430">
        <f>IF([@data_scadentei]&lt;[@data_factura],"SCADENTA INAINTEA FACTURII","")</f>
        <v/>
      </c>
      <c r="T430">
        <f>IF(NETWORKDAYS.INTL([@data_factura],[@data_factura],1,tbl_SarbatoriLegale[data])=0,"ZI NELUCRATOARE","")</f>
        <v/>
      </c>
      <c r="U430">
        <f>IF([@motiv_anomalie]="","OK","DE INVESTIGAT")</f>
        <v/>
      </c>
      <c r="V430">
        <f>TEXTJOIN("; ",TRUE,[@flag_oras],[@flag_tva],[@flag_scadenta],[@flag_zi])</f>
        <v/>
      </c>
    </row>
    <row r="431">
      <c r="A431" t="inlineStr">
        <is>
          <t>F-2025-00430</t>
        </is>
      </c>
      <c r="B431" s="12" t="n">
        <v>46225</v>
      </c>
      <c r="C431" t="inlineStr">
        <is>
          <t>SC ELECTROBUILD SRL</t>
        </is>
      </c>
      <c r="D431" t="inlineStr">
        <is>
          <t>Bacău</t>
        </is>
      </c>
      <c r="E431" t="inlineStr">
        <is>
          <t>PRD-006</t>
        </is>
      </c>
      <c r="F431" t="inlineStr">
        <is>
          <t>Tocator documente</t>
        </is>
      </c>
      <c r="G431" t="inlineStr">
        <is>
          <t>Echipamente birou</t>
        </is>
      </c>
      <c r="H431" t="n">
        <v>5</v>
      </c>
      <c r="I431" t="n">
        <v>763.85</v>
      </c>
      <c r="J431" t="n">
        <v>3819.25</v>
      </c>
      <c r="K431" s="13" t="n">
        <v>0.19</v>
      </c>
      <c r="L431" t="n">
        <v>725.66</v>
      </c>
      <c r="M431" t="n">
        <v>4544.91</v>
      </c>
      <c r="N431" t="inlineStr">
        <is>
          <t>RON</t>
        </is>
      </c>
      <c r="O431" t="inlineStr">
        <is>
          <t>Bacău</t>
        </is>
      </c>
      <c r="P431" s="12" t="n">
        <v>46285</v>
      </c>
      <c r="Q431">
        <f>IF(COUNTIF(tbl_Localitati[oras_oficial],[@oras])=0,"ORAS NEALINIAT",IF(XLOOKUP([@oras],tbl_Localitati[oras_oficial],tbl_Localitati[judet],"?")&lt;&gt;[@judet],"JUDET NECORESPUNZATOR",""))</f>
        <v/>
      </c>
      <c r="R431">
        <f>IF(XLOOKUP([@categorie],tbl_RegulriTVA[categorie],tbl_RegulriTVA[cota_legala],-1)&lt;&gt;[@cota_tva],"TVA GRESIT","")</f>
        <v/>
      </c>
      <c r="S431">
        <f>IF([@data_scadentei]&lt;[@data_factura],"SCADENTA INAINTEA FACTURII","")</f>
        <v/>
      </c>
      <c r="T431">
        <f>IF(NETWORKDAYS.INTL([@data_factura],[@data_factura],1,tbl_SarbatoriLegale[data])=0,"ZI NELUCRATOARE","")</f>
        <v/>
      </c>
      <c r="U431">
        <f>IF([@motiv_anomalie]="","OK","DE INVESTIGAT")</f>
        <v/>
      </c>
      <c r="V431">
        <f>TEXTJOIN("; ",TRUE,[@flag_oras],[@flag_tva],[@flag_scadenta],[@flag_zi])</f>
        <v/>
      </c>
    </row>
    <row r="432">
      <c r="A432" t="inlineStr">
        <is>
          <t>F-2025-00431</t>
        </is>
      </c>
      <c r="B432" s="12" t="n">
        <v>46234</v>
      </c>
      <c r="C432" t="inlineStr">
        <is>
          <t>SC AROMET TRADING SRL</t>
        </is>
      </c>
      <c r="D432" t="inlineStr">
        <is>
          <t>Alba</t>
        </is>
      </c>
      <c r="E432" t="inlineStr">
        <is>
          <t>PRD-001</t>
        </is>
      </c>
      <c r="F432" t="inlineStr">
        <is>
          <t>Videoproiector sala</t>
        </is>
      </c>
      <c r="G432" t="inlineStr">
        <is>
          <t>Echipamente birou</t>
        </is>
      </c>
      <c r="H432" t="n">
        <v>5</v>
      </c>
      <c r="I432" t="n">
        <v>2514.73</v>
      </c>
      <c r="J432" t="n">
        <v>12573.65</v>
      </c>
      <c r="K432" s="13" t="n">
        <v>0.19</v>
      </c>
      <c r="L432" t="n">
        <v>2388.99</v>
      </c>
      <c r="M432" t="n">
        <v>14962.64</v>
      </c>
      <c r="N432" t="inlineStr">
        <is>
          <t>EUR</t>
        </is>
      </c>
      <c r="O432" t="inlineStr">
        <is>
          <t>Alba Iulia</t>
        </is>
      </c>
      <c r="P432" s="12" t="n">
        <v>46294</v>
      </c>
      <c r="Q432">
        <f>IF(COUNTIF(tbl_Localitati[oras_oficial],[@oras])=0,"ORAS NEALINIAT",IF(XLOOKUP([@oras],tbl_Localitati[oras_oficial],tbl_Localitati[judet],"?")&lt;&gt;[@judet],"JUDET NECORESPUNZATOR",""))</f>
        <v/>
      </c>
      <c r="R432">
        <f>IF(XLOOKUP([@categorie],tbl_RegulriTVA[categorie],tbl_RegulriTVA[cota_legala],-1)&lt;&gt;[@cota_tva],"TVA GRESIT","")</f>
        <v/>
      </c>
      <c r="S432">
        <f>IF([@data_scadentei]&lt;[@data_factura],"SCADENTA INAINTEA FACTURII","")</f>
        <v/>
      </c>
      <c r="T432">
        <f>IF(NETWORKDAYS.INTL([@data_factura],[@data_factura],1,tbl_SarbatoriLegale[data])=0,"ZI NELUCRATOARE","")</f>
        <v/>
      </c>
      <c r="U432">
        <f>IF([@motiv_anomalie]="","OK","DE INVESTIGAT")</f>
        <v/>
      </c>
      <c r="V432">
        <f>TEXTJOIN("; ",TRUE,[@flag_oras],[@flag_tva],[@flag_scadenta],[@flag_zi])</f>
        <v/>
      </c>
    </row>
    <row r="433">
      <c r="A433" t="inlineStr">
        <is>
          <t>F-2025-00432</t>
        </is>
      </c>
      <c r="B433" s="12" t="n">
        <v>46176</v>
      </c>
      <c r="C433" t="inlineStr">
        <is>
          <t>SC METALPLAST INVEST SA</t>
        </is>
      </c>
      <c r="D433" t="inlineStr">
        <is>
          <t>Cluj</t>
        </is>
      </c>
      <c r="E433" t="inlineStr">
        <is>
          <t>PRD-006</t>
        </is>
      </c>
      <c r="F433" t="inlineStr">
        <is>
          <t>Laptop business 15"</t>
        </is>
      </c>
      <c r="G433" t="inlineStr">
        <is>
          <t>Hardware IT</t>
        </is>
      </c>
      <c r="H433" t="n">
        <v>25</v>
      </c>
      <c r="I433" t="n">
        <v>751.48</v>
      </c>
      <c r="J433" t="n">
        <v>18787</v>
      </c>
      <c r="K433" s="13" t="n">
        <v>0.19</v>
      </c>
      <c r="L433" t="n">
        <v>3569.53</v>
      </c>
      <c r="M433" t="n">
        <v>22356.53</v>
      </c>
      <c r="N433" t="inlineStr">
        <is>
          <t>RON</t>
        </is>
      </c>
      <c r="O433" t="inlineStr">
        <is>
          <t>Turda</t>
        </is>
      </c>
      <c r="P433" s="12" t="n">
        <v>46236</v>
      </c>
      <c r="Q433">
        <f>IF(COUNTIF(tbl_Localitati[oras_oficial],[@oras])=0,"ORAS NEALINIAT",IF(XLOOKUP([@oras],tbl_Localitati[oras_oficial],tbl_Localitati[judet],"?")&lt;&gt;[@judet],"JUDET NECORESPUNZATOR",""))</f>
        <v/>
      </c>
      <c r="R433">
        <f>IF(XLOOKUP([@categorie],tbl_RegulriTVA[categorie],tbl_RegulriTVA[cota_legala],-1)&lt;&gt;[@cota_tva],"TVA GRESIT","")</f>
        <v/>
      </c>
      <c r="S433">
        <f>IF([@data_scadentei]&lt;[@data_factura],"SCADENTA INAINTEA FACTURII","")</f>
        <v/>
      </c>
      <c r="T433">
        <f>IF(NETWORKDAYS.INTL([@data_factura],[@data_factura],1,tbl_SarbatoriLegale[data])=0,"ZI NELUCRATOARE","")</f>
        <v/>
      </c>
      <c r="U433">
        <f>IF([@motiv_anomalie]="","OK","DE INVESTIGAT")</f>
        <v/>
      </c>
      <c r="V433">
        <f>TEXTJOIN("; ",TRUE,[@flag_oras],[@flag_tva],[@flag_scadenta],[@flag_zi])</f>
        <v/>
      </c>
    </row>
    <row r="434">
      <c r="A434" t="inlineStr">
        <is>
          <t>F-2025-00433</t>
        </is>
      </c>
      <c r="B434" s="12" t="n">
        <v>46035</v>
      </c>
      <c r="C434" t="inlineStr">
        <is>
          <t>SC AROMET TRADING SRL</t>
        </is>
      </c>
      <c r="D434" t="inlineStr">
        <is>
          <t>Alba</t>
        </is>
      </c>
      <c r="E434" t="inlineStr">
        <is>
          <t>PRD-010</t>
        </is>
      </c>
      <c r="F434" t="inlineStr">
        <is>
          <t>Multifunctionala laser</t>
        </is>
      </c>
      <c r="G434" t="inlineStr">
        <is>
          <t>Echipamente birou</t>
        </is>
      </c>
      <c r="H434" t="n">
        <v>50</v>
      </c>
      <c r="I434" t="n">
        <v>340</v>
      </c>
      <c r="J434" t="n">
        <v>17000</v>
      </c>
      <c r="K434" s="13" t="n">
        <v>0.19</v>
      </c>
      <c r="L434" t="n">
        <v>3230</v>
      </c>
      <c r="M434" t="n">
        <v>20230</v>
      </c>
      <c r="N434" t="inlineStr">
        <is>
          <t>RON</t>
        </is>
      </c>
      <c r="O434" t="inlineStr">
        <is>
          <t>Alba Iulia</t>
        </is>
      </c>
      <c r="P434" s="12" t="n">
        <v>46065</v>
      </c>
      <c r="Q434">
        <f>IF(COUNTIF(tbl_Localitati[oras_oficial],[@oras])=0,"ORAS NEALINIAT",IF(XLOOKUP([@oras],tbl_Localitati[oras_oficial],tbl_Localitati[judet],"?")&lt;&gt;[@judet],"JUDET NECORESPUNZATOR",""))</f>
        <v/>
      </c>
      <c r="R434">
        <f>IF(XLOOKUP([@categorie],tbl_RegulriTVA[categorie],tbl_RegulriTVA[cota_legala],-1)&lt;&gt;[@cota_tva],"TVA GRESIT","")</f>
        <v/>
      </c>
      <c r="S434">
        <f>IF([@data_scadentei]&lt;[@data_factura],"SCADENTA INAINTEA FACTURII","")</f>
        <v/>
      </c>
      <c r="T434">
        <f>IF(NETWORKDAYS.INTL([@data_factura],[@data_factura],1,tbl_SarbatoriLegale[data])=0,"ZI NELUCRATOARE","")</f>
        <v/>
      </c>
      <c r="U434">
        <f>IF([@motiv_anomalie]="","OK","DE INVESTIGAT")</f>
        <v/>
      </c>
      <c r="V434">
        <f>TEXTJOIN("; ",TRUE,[@flag_oras],[@flag_tva],[@flag_scadenta],[@flag_zi])</f>
        <v/>
      </c>
    </row>
    <row r="435">
      <c r="A435" t="inlineStr">
        <is>
          <t>F-2025-00434</t>
        </is>
      </c>
      <c r="B435" s="12" t="n">
        <v>46240</v>
      </c>
      <c r="C435" t="inlineStr">
        <is>
          <t>SC PROVITA MEDICAL SRL</t>
        </is>
      </c>
      <c r="D435" t="inlineStr">
        <is>
          <t>Mureș</t>
        </is>
      </c>
      <c r="E435" t="inlineStr">
        <is>
          <t>PRD-008</t>
        </is>
      </c>
      <c r="F435" t="inlineStr">
        <is>
          <t>Abonament suita cloud</t>
        </is>
      </c>
      <c r="G435" t="inlineStr">
        <is>
          <t>Licențe software</t>
        </is>
      </c>
      <c r="H435" t="n">
        <v>10</v>
      </c>
      <c r="I435" t="n">
        <v>456.99</v>
      </c>
      <c r="J435" t="n">
        <v>4569.9</v>
      </c>
      <c r="K435" s="13" t="n">
        <v>0.19</v>
      </c>
      <c r="L435" t="n">
        <v>868.28</v>
      </c>
      <c r="M435" t="n">
        <v>5438.18</v>
      </c>
      <c r="N435" t="inlineStr">
        <is>
          <t>RON</t>
        </is>
      </c>
      <c r="O435" t="inlineStr">
        <is>
          <t>Târgu Mureș</t>
        </is>
      </c>
      <c r="P435" s="12" t="n">
        <v>46270</v>
      </c>
      <c r="Q435">
        <f>IF(COUNTIF(tbl_Localitati[oras_oficial],[@oras])=0,"ORAS NEALINIAT",IF(XLOOKUP([@oras],tbl_Localitati[oras_oficial],tbl_Localitati[judet],"?")&lt;&gt;[@judet],"JUDET NECORESPUNZATOR",""))</f>
        <v/>
      </c>
      <c r="R435">
        <f>IF(XLOOKUP([@categorie],tbl_RegulriTVA[categorie],tbl_RegulriTVA[cota_legala],-1)&lt;&gt;[@cota_tva],"TVA GRESIT","")</f>
        <v/>
      </c>
      <c r="S435">
        <f>IF([@data_scadentei]&lt;[@data_factura],"SCADENTA INAINTEA FACTURII","")</f>
        <v/>
      </c>
      <c r="T435">
        <f>IF(NETWORKDAYS.INTL([@data_factura],[@data_factura],1,tbl_SarbatoriLegale[data])=0,"ZI NELUCRATOARE","")</f>
        <v/>
      </c>
      <c r="U435">
        <f>IF([@motiv_anomalie]="","OK","DE INVESTIGAT")</f>
        <v/>
      </c>
      <c r="V435">
        <f>TEXTJOIN("; ",TRUE,[@flag_oras],[@flag_tva],[@flag_scadenta],[@flag_zi])</f>
        <v/>
      </c>
    </row>
    <row r="436">
      <c r="A436" t="inlineStr">
        <is>
          <t>F-2025-00435</t>
        </is>
      </c>
      <c r="B436" s="12" t="n">
        <v>46262</v>
      </c>
      <c r="C436" t="inlineStr">
        <is>
          <t>SC INTEGROMED SA</t>
        </is>
      </c>
      <c r="D436" t="inlineStr">
        <is>
          <t>Cluj</t>
        </is>
      </c>
      <c r="E436" t="inlineStr">
        <is>
          <t>PRD-008</t>
        </is>
      </c>
      <c r="F436" t="inlineStr">
        <is>
          <t>Masti protectie cutie</t>
        </is>
      </c>
      <c r="G436" t="inlineStr">
        <is>
          <t>Produse farmaceutice</t>
        </is>
      </c>
      <c r="H436" t="n">
        <v>10</v>
      </c>
      <c r="I436" t="n">
        <v>470.45</v>
      </c>
      <c r="J436" t="n">
        <v>4704.5</v>
      </c>
      <c r="K436" s="13" t="n">
        <v>0.09</v>
      </c>
      <c r="L436" t="n">
        <v>423.4</v>
      </c>
      <c r="M436" t="n">
        <v>5127.9</v>
      </c>
      <c r="N436" t="inlineStr">
        <is>
          <t>RON</t>
        </is>
      </c>
      <c r="O436" t="inlineStr">
        <is>
          <t>Cluj-Napoca</t>
        </is>
      </c>
      <c r="P436" s="12" t="n">
        <v>46292</v>
      </c>
      <c r="Q436">
        <f>IF(COUNTIF(tbl_Localitati[oras_oficial],[@oras])=0,"ORAS NEALINIAT",IF(XLOOKUP([@oras],tbl_Localitati[oras_oficial],tbl_Localitati[judet],"?")&lt;&gt;[@judet],"JUDET NECORESPUNZATOR",""))</f>
        <v/>
      </c>
      <c r="R436">
        <f>IF(XLOOKUP([@categorie],tbl_RegulriTVA[categorie],tbl_RegulriTVA[cota_legala],-1)&lt;&gt;[@cota_tva],"TVA GRESIT","")</f>
        <v/>
      </c>
      <c r="S436">
        <f>IF([@data_scadentei]&lt;[@data_factura],"SCADENTA INAINTEA FACTURII","")</f>
        <v/>
      </c>
      <c r="T436">
        <f>IF(NETWORKDAYS.INTL([@data_factura],[@data_factura],1,tbl_SarbatoriLegale[data])=0,"ZI NELUCRATOARE","")</f>
        <v/>
      </c>
      <c r="U436">
        <f>IF([@motiv_anomalie]="","OK","DE INVESTIGAT")</f>
        <v/>
      </c>
      <c r="V436">
        <f>TEXTJOIN("; ",TRUE,[@flag_oras],[@flag_tva],[@flag_scadenta],[@flag_zi])</f>
        <v/>
      </c>
    </row>
    <row r="437">
      <c r="A437" t="inlineStr">
        <is>
          <t>F-2025-00436</t>
        </is>
      </c>
      <c r="B437" s="12" t="n">
        <v>46178</v>
      </c>
      <c r="C437" t="inlineStr">
        <is>
          <t>SC RAPID LOGISTIC SA</t>
        </is>
      </c>
      <c r="D437" t="inlineStr">
        <is>
          <t>Prahova</t>
        </is>
      </c>
      <c r="E437" t="inlineStr">
        <is>
          <t>PRD-005</t>
        </is>
      </c>
      <c r="F437" t="inlineStr">
        <is>
          <t>Monitor 27" 4K</t>
        </is>
      </c>
      <c r="G437" t="inlineStr">
        <is>
          <t>Hardware IT</t>
        </is>
      </c>
      <c r="H437" t="n">
        <v>10</v>
      </c>
      <c r="I437" t="n">
        <v>239.62</v>
      </c>
      <c r="J437" t="n">
        <v>2396.2</v>
      </c>
      <c r="K437" s="13" t="n">
        <v>0.19</v>
      </c>
      <c r="L437" t="n">
        <v>455.28</v>
      </c>
      <c r="M437" t="n">
        <v>2851.48</v>
      </c>
      <c r="N437" t="inlineStr">
        <is>
          <t>RON</t>
        </is>
      </c>
      <c r="O437" t="inlineStr">
        <is>
          <t>Ploiești</t>
        </is>
      </c>
      <c r="P437" s="12" t="n">
        <v>46193</v>
      </c>
      <c r="Q437">
        <f>IF(COUNTIF(tbl_Localitati[oras_oficial],[@oras])=0,"ORAS NEALINIAT",IF(XLOOKUP([@oras],tbl_Localitati[oras_oficial],tbl_Localitati[judet],"?")&lt;&gt;[@judet],"JUDET NECORESPUNZATOR",""))</f>
        <v/>
      </c>
      <c r="R437">
        <f>IF(XLOOKUP([@categorie],tbl_RegulriTVA[categorie],tbl_RegulriTVA[cota_legala],-1)&lt;&gt;[@cota_tva],"TVA GRESIT","")</f>
        <v/>
      </c>
      <c r="S437">
        <f>IF([@data_scadentei]&lt;[@data_factura],"SCADENTA INAINTEA FACTURII","")</f>
        <v/>
      </c>
      <c r="T437">
        <f>IF(NETWORKDAYS.INTL([@data_factura],[@data_factura],1,tbl_SarbatoriLegale[data])=0,"ZI NELUCRATOARE","")</f>
        <v/>
      </c>
      <c r="U437">
        <f>IF([@motiv_anomalie]="","OK","DE INVESTIGAT")</f>
        <v/>
      </c>
      <c r="V437">
        <f>TEXTJOIN("; ",TRUE,[@flag_oras],[@flag_tva],[@flag_scadenta],[@flag_zi])</f>
        <v/>
      </c>
    </row>
    <row r="438">
      <c r="A438" t="inlineStr">
        <is>
          <t>F-2025-00437</t>
        </is>
      </c>
      <c r="B438" s="12" t="n">
        <v>46322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Server rack 1U</t>
        </is>
      </c>
      <c r="G438" t="inlineStr">
        <is>
          <t>Hardware IT</t>
        </is>
      </c>
      <c r="H438" t="n">
        <v>1</v>
      </c>
      <c r="I438" t="n">
        <v>254.58</v>
      </c>
      <c r="J438" t="n">
        <v>254.58</v>
      </c>
      <c r="K438" s="13" t="n">
        <v>0.19</v>
      </c>
      <c r="L438" t="n">
        <v>48.37</v>
      </c>
      <c r="M438" t="n">
        <v>302.95</v>
      </c>
      <c r="N438" t="inlineStr">
        <is>
          <t>RON</t>
        </is>
      </c>
      <c r="O438" t="inlineStr">
        <is>
          <t>Sibiu</t>
        </is>
      </c>
      <c r="P438" s="12" t="n">
        <v>46367</v>
      </c>
      <c r="Q438">
        <f>IF(COUNTIF(tbl_Localitati[oras_oficial],[@oras])=0,"ORAS NEALINIAT",IF(XLOOKUP([@oras],tbl_Localitati[oras_oficial],tbl_Localitati[judet],"?")&lt;&gt;[@judet],"JUDET NECORESPUNZATOR",""))</f>
        <v/>
      </c>
      <c r="R438">
        <f>IF(XLOOKUP([@categorie],tbl_RegulriTVA[categorie],tbl_RegulriTVA[cota_legala],-1)&lt;&gt;[@cota_tva],"TVA GRESIT","")</f>
        <v/>
      </c>
      <c r="S438">
        <f>IF([@data_scadentei]&lt;[@data_factura],"SCADENTA INAINTEA FACTURII","")</f>
        <v/>
      </c>
      <c r="T438">
        <f>IF(NETWORKDAYS.INTL([@data_factura],[@data_factura],1,tbl_SarbatoriLegale[data])=0,"ZI NELUCRATOARE","")</f>
        <v/>
      </c>
      <c r="U438">
        <f>IF([@motiv_anomalie]="","OK","DE INVESTIGAT")</f>
        <v/>
      </c>
      <c r="V438">
        <f>TEXTJOIN("; ",TRUE,[@flag_oras],[@flag_tva],[@flag_scadenta],[@flag_zi])</f>
        <v/>
      </c>
    </row>
    <row r="439">
      <c r="A439" t="inlineStr">
        <is>
          <t>F-2025-00438</t>
        </is>
      </c>
      <c r="B439" s="12" t="n">
        <v>46366</v>
      </c>
      <c r="C439" t="inlineStr">
        <is>
          <t>SC AROMET TRADING SRL</t>
        </is>
      </c>
      <c r="D439" t="inlineStr">
        <is>
          <t>Alba</t>
        </is>
      </c>
      <c r="E439" t="inlineStr">
        <is>
          <t>PRD-010</t>
        </is>
      </c>
      <c r="F439" t="inlineStr">
        <is>
          <t>Trusa prim ajutor</t>
        </is>
      </c>
      <c r="G439" t="inlineStr">
        <is>
          <t>Produse farmaceutice</t>
        </is>
      </c>
      <c r="H439" t="n">
        <v>20</v>
      </c>
      <c r="I439" t="n">
        <v>349.31</v>
      </c>
      <c r="J439" t="n">
        <v>6986.2</v>
      </c>
      <c r="K439" s="13" t="n">
        <v>0.09</v>
      </c>
      <c r="L439" t="n">
        <v>628.76</v>
      </c>
      <c r="M439" t="n">
        <v>7614.96</v>
      </c>
      <c r="N439" t="inlineStr">
        <is>
          <t>RON</t>
        </is>
      </c>
      <c r="O439" t="inlineStr">
        <is>
          <t>Alba Iulia</t>
        </is>
      </c>
      <c r="P439" s="12" t="n">
        <v>46396</v>
      </c>
      <c r="Q439">
        <f>IF(COUNTIF(tbl_Localitati[oras_oficial],[@oras])=0,"ORAS NEALINIAT",IF(XLOOKUP([@oras],tbl_Localitati[oras_oficial],tbl_Localitati[judet],"?")&lt;&gt;[@judet],"JUDET NECORESPUNZATOR",""))</f>
        <v/>
      </c>
      <c r="R439">
        <f>IF(XLOOKUP([@categorie],tbl_RegulriTVA[categorie],tbl_RegulriTVA[cota_legala],-1)&lt;&gt;[@cota_tva],"TVA GRESIT","")</f>
        <v/>
      </c>
      <c r="S439">
        <f>IF([@data_scadentei]&lt;[@data_factura],"SCADENTA INAINTEA FACTURII","")</f>
        <v/>
      </c>
      <c r="T439">
        <f>IF(NETWORKDAYS.INTL([@data_factura],[@data_factura],1,tbl_SarbatoriLegale[data])=0,"ZI NELUCRATOARE","")</f>
        <v/>
      </c>
      <c r="U439">
        <f>IF([@motiv_anomalie]="","OK","DE INVESTIGAT")</f>
        <v/>
      </c>
      <c r="V439">
        <f>TEXTJOIN("; ",TRUE,[@flag_oras],[@flag_tva],[@flag_scadenta],[@flag_zi])</f>
        <v/>
      </c>
    </row>
    <row r="440">
      <c r="A440" t="inlineStr">
        <is>
          <t>F-2025-00439</t>
        </is>
      </c>
      <c r="B440" s="12" t="n">
        <v>46337</v>
      </c>
      <c r="C440" t="inlineStr">
        <is>
          <t>SC INTEGROMED SA</t>
        </is>
      </c>
      <c r="D440" t="inlineStr">
        <is>
          <t>Cluj</t>
        </is>
      </c>
      <c r="E440" t="inlineStr">
        <is>
          <t>PRD-009</t>
        </is>
      </c>
      <c r="F440" t="inlineStr">
        <is>
          <t>Tocator documente</t>
        </is>
      </c>
      <c r="G440" t="inlineStr">
        <is>
          <t>Echipamente birou</t>
        </is>
      </c>
      <c r="H440" t="n">
        <v>20</v>
      </c>
      <c r="I440" t="n">
        <v>29.39</v>
      </c>
      <c r="J440" t="n">
        <v>587.8</v>
      </c>
      <c r="K440" s="13" t="n">
        <v>0.19</v>
      </c>
      <c r="L440" t="n">
        <v>111.68</v>
      </c>
      <c r="M440" t="n">
        <v>699.48</v>
      </c>
      <c r="N440" t="inlineStr">
        <is>
          <t>RON</t>
        </is>
      </c>
      <c r="O440" t="inlineStr">
        <is>
          <t>Cluj-Napoca</t>
        </is>
      </c>
      <c r="P440" s="12" t="n">
        <v>46352</v>
      </c>
      <c r="Q440">
        <f>IF(COUNTIF(tbl_Localitati[oras_oficial],[@oras])=0,"ORAS NEALINIAT",IF(XLOOKUP([@oras],tbl_Localitati[oras_oficial],tbl_Localitati[judet],"?")&lt;&gt;[@judet],"JUDET NECORESPUNZATOR",""))</f>
        <v/>
      </c>
      <c r="R440">
        <f>IF(XLOOKUP([@categorie],tbl_RegulriTVA[categorie],tbl_RegulriTVA[cota_legala],-1)&lt;&gt;[@cota_tva],"TVA GRESIT","")</f>
        <v/>
      </c>
      <c r="S440">
        <f>IF([@data_scadentei]&lt;[@data_factura],"SCADENTA INAINTEA FACTURII","")</f>
        <v/>
      </c>
      <c r="T440">
        <f>IF(NETWORKDAYS.INTL([@data_factura],[@data_factura],1,tbl_SarbatoriLegale[data])=0,"ZI NELUCRATOARE","")</f>
        <v/>
      </c>
      <c r="U440">
        <f>IF([@motiv_anomalie]="","OK","DE INVESTIGAT")</f>
        <v/>
      </c>
      <c r="V440">
        <f>TEXTJOIN("; ",TRUE,[@flag_oras],[@flag_tva],[@flag_scadenta],[@flag_zi])</f>
        <v/>
      </c>
    </row>
    <row r="441">
      <c r="A441" t="inlineStr">
        <is>
          <t>F-2025-00440</t>
        </is>
      </c>
      <c r="B441" s="12" t="n">
        <v>46245</v>
      </c>
      <c r="C441" t="inlineStr">
        <is>
          <t>SC METALPLAST INVEST SA</t>
        </is>
      </c>
      <c r="D441" t="inlineStr">
        <is>
          <t>Cluj</t>
        </is>
      </c>
      <c r="E441" t="inlineStr">
        <is>
          <t>PRD-012</t>
        </is>
      </c>
      <c r="F441" t="inlineStr">
        <is>
          <t>Multifunctionala laser</t>
        </is>
      </c>
      <c r="G441" t="inlineStr">
        <is>
          <t>Echipamente birou</t>
        </is>
      </c>
      <c r="H441" t="n">
        <v>1</v>
      </c>
      <c r="I441" t="n">
        <v>185.94</v>
      </c>
      <c r="J441" t="n">
        <v>185.94</v>
      </c>
      <c r="K441" s="13" t="n">
        <v>0.19</v>
      </c>
      <c r="L441" t="n">
        <v>35.33</v>
      </c>
      <c r="M441" t="n">
        <v>221.27</v>
      </c>
      <c r="N441" t="inlineStr">
        <is>
          <t>USD</t>
        </is>
      </c>
      <c r="O441" t="inlineStr">
        <is>
          <t>Turda</t>
        </is>
      </c>
      <c r="P441" s="12" t="n">
        <v>46275</v>
      </c>
      <c r="Q441">
        <f>IF(COUNTIF(tbl_Localitati[oras_oficial],[@oras])=0,"ORAS NEALINIAT",IF(XLOOKUP([@oras],tbl_Localitati[oras_oficial],tbl_Localitati[judet],"?")&lt;&gt;[@judet],"JUDET NECORESPUNZATOR",""))</f>
        <v/>
      </c>
      <c r="R441">
        <f>IF(XLOOKUP([@categorie],tbl_RegulriTVA[categorie],tbl_RegulriTVA[cota_legala],-1)&lt;&gt;[@cota_tva],"TVA GRESIT","")</f>
        <v/>
      </c>
      <c r="S441">
        <f>IF([@data_scadentei]&lt;[@data_factura],"SCADENTA INAINTEA FACTURII","")</f>
        <v/>
      </c>
      <c r="T441">
        <f>IF(NETWORKDAYS.INTL([@data_factura],[@data_factura],1,tbl_SarbatoriLegale[data])=0,"ZI NELUCRATOARE","")</f>
        <v/>
      </c>
      <c r="U441">
        <f>IF([@motiv_anomalie]="","OK","DE INVESTIGAT")</f>
        <v/>
      </c>
      <c r="V441">
        <f>TEXTJOIN("; ",TRUE,[@flag_oras],[@flag_tva],[@flag_scadenta],[@flag_zi])</f>
        <v/>
      </c>
    </row>
    <row r="442">
      <c r="A442" t="inlineStr">
        <is>
          <t>F-2025-00441</t>
        </is>
      </c>
      <c r="B442" s="12" t="n">
        <v>46345</v>
      </c>
      <c r="C442" t="inlineStr">
        <is>
          <t>SC DACTECH SOLUTIONS SRL</t>
        </is>
      </c>
      <c r="D442" t="inlineStr">
        <is>
          <t>Argeș</t>
        </is>
      </c>
      <c r="E442" t="inlineStr">
        <is>
          <t>PRD-010</t>
        </is>
      </c>
      <c r="F442" t="inlineStr">
        <is>
          <t>Videoproiector sala</t>
        </is>
      </c>
      <c r="G442" t="inlineStr">
        <is>
          <t>Echipamente birou</t>
        </is>
      </c>
      <c r="H442" t="n">
        <v>5</v>
      </c>
      <c r="I442" t="n">
        <v>362.79</v>
      </c>
      <c r="J442" t="n">
        <v>1813.95</v>
      </c>
      <c r="K442" s="13" t="n">
        <v>0.19</v>
      </c>
      <c r="L442" t="n">
        <v>344.65</v>
      </c>
      <c r="M442" t="n">
        <v>2158.6</v>
      </c>
      <c r="N442" t="inlineStr">
        <is>
          <t>RON</t>
        </is>
      </c>
      <c r="O442" t="inlineStr">
        <is>
          <t>Pitești</t>
        </is>
      </c>
      <c r="P442" s="12" t="n">
        <v>46375</v>
      </c>
      <c r="Q442">
        <f>IF(COUNTIF(tbl_Localitati[oras_oficial],[@oras])=0,"ORAS NEALINIAT",IF(XLOOKUP([@oras],tbl_Localitati[oras_oficial],tbl_Localitati[judet],"?")&lt;&gt;[@judet],"JUDET NECORESPUNZATOR",""))</f>
        <v/>
      </c>
      <c r="R442">
        <f>IF(XLOOKUP([@categorie],tbl_RegulriTVA[categorie],tbl_RegulriTVA[cota_legala],-1)&lt;&gt;[@cota_tva],"TVA GRESIT","")</f>
        <v/>
      </c>
      <c r="S442">
        <f>IF([@data_scadentei]&lt;[@data_factura],"SCADENTA INAINTEA FACTURII","")</f>
        <v/>
      </c>
      <c r="T442">
        <f>IF(NETWORKDAYS.INTL([@data_factura],[@data_factura],1,tbl_SarbatoriLegale[data])=0,"ZI NELUCRATOARE","")</f>
        <v/>
      </c>
      <c r="U442">
        <f>IF([@motiv_anomalie]="","OK","DE INVESTIGAT")</f>
        <v/>
      </c>
      <c r="V442">
        <f>TEXTJOIN("; ",TRUE,[@flag_oras],[@flag_tva],[@flag_scadenta],[@flag_zi])</f>
        <v/>
      </c>
    </row>
    <row r="443">
      <c r="A443" t="inlineStr">
        <is>
          <t>F-2025-00442</t>
        </is>
      </c>
      <c r="B443" s="12" t="n">
        <v>46153</v>
      </c>
      <c r="C443" t="inlineStr">
        <is>
          <t>SC RAPID LOGISTIC SA</t>
        </is>
      </c>
      <c r="D443" t="inlineStr">
        <is>
          <t>Prahova</t>
        </is>
      </c>
      <c r="E443" t="inlineStr">
        <is>
          <t>PRD-011</t>
        </is>
      </c>
      <c r="F443" t="inlineStr">
        <is>
          <t>Laptop business 15"</t>
        </is>
      </c>
      <c r="G443" t="inlineStr">
        <is>
          <t>Hardware IT</t>
        </is>
      </c>
      <c r="H443" t="n">
        <v>50</v>
      </c>
      <c r="I443" t="n">
        <v>44.97</v>
      </c>
      <c r="J443" t="n">
        <v>2248.5</v>
      </c>
      <c r="K443" s="13" t="n">
        <v>0.19</v>
      </c>
      <c r="L443" t="n">
        <v>427.22</v>
      </c>
      <c r="M443" t="n">
        <v>2675.72</v>
      </c>
      <c r="N443" t="inlineStr">
        <is>
          <t>RON</t>
        </is>
      </c>
      <c r="O443" t="inlineStr">
        <is>
          <t>Ploiești</t>
        </is>
      </c>
      <c r="P443" s="12" t="n">
        <v>46183</v>
      </c>
      <c r="Q443">
        <f>IF(COUNTIF(tbl_Localitati[oras_oficial],[@oras])=0,"ORAS NEALINIAT",IF(XLOOKUP([@oras],tbl_Localitati[oras_oficial],tbl_Localitati[judet],"?")&lt;&gt;[@judet],"JUDET NECORESPUNZATOR",""))</f>
        <v/>
      </c>
      <c r="R443">
        <f>IF(XLOOKUP([@categorie],tbl_RegulriTVA[categorie],tbl_RegulriTVA[cota_legala],-1)&lt;&gt;[@cota_tva],"TVA GRESIT","")</f>
        <v/>
      </c>
      <c r="S443">
        <f>IF([@data_scadentei]&lt;[@data_factura],"SCADENTA INAINTEA FACTURII","")</f>
        <v/>
      </c>
      <c r="T443">
        <f>IF(NETWORKDAYS.INTL([@data_factura],[@data_factura],1,tbl_SarbatoriLegale[data])=0,"ZI NELUCRATOARE","")</f>
        <v/>
      </c>
      <c r="U443">
        <f>IF([@motiv_anomalie]="","OK","DE INVESTIGAT")</f>
        <v/>
      </c>
      <c r="V443">
        <f>TEXTJOIN("; ",TRUE,[@flag_oras],[@flag_tva],[@flag_scadenta],[@flag_zi])</f>
        <v/>
      </c>
    </row>
    <row r="444">
      <c r="A444" t="inlineStr">
        <is>
          <t>F-2025-00443</t>
        </is>
      </c>
      <c r="B444" s="12" t="n">
        <v>46261</v>
      </c>
      <c r="C444" t="inlineStr">
        <is>
          <t>SC DACTECH SOLUTIONS SRL</t>
        </is>
      </c>
      <c r="D444" t="inlineStr">
        <is>
          <t>Argeș</t>
        </is>
      </c>
      <c r="E444" t="inlineStr">
        <is>
          <t>PRD-006</t>
        </is>
      </c>
      <c r="F444" t="inlineStr">
        <is>
          <t>Tocator documente</t>
        </is>
      </c>
      <c r="G444" t="inlineStr">
        <is>
          <t>Echipamente birou</t>
        </is>
      </c>
      <c r="H444" t="n">
        <v>10</v>
      </c>
      <c r="I444" t="n">
        <v>756.34</v>
      </c>
      <c r="J444" t="n">
        <v>7563.4</v>
      </c>
      <c r="K444" s="13" t="n">
        <v>0.19</v>
      </c>
      <c r="L444" t="n">
        <v>1437.05</v>
      </c>
      <c r="M444" t="n">
        <v>9000.450000000001</v>
      </c>
      <c r="N444" t="inlineStr">
        <is>
          <t>USD</t>
        </is>
      </c>
      <c r="O444" t="inlineStr">
        <is>
          <t>Pitești</t>
        </is>
      </c>
      <c r="P444" s="12" t="n">
        <v>46276</v>
      </c>
      <c r="Q444">
        <f>IF(COUNTIF(tbl_Localitati[oras_oficial],[@oras])=0,"ORAS NEALINIAT",IF(XLOOKUP([@oras],tbl_Localitati[oras_oficial],tbl_Localitati[judet],"?")&lt;&gt;[@judet],"JUDET NECORESPUNZATOR",""))</f>
        <v/>
      </c>
      <c r="R444">
        <f>IF(XLOOKUP([@categorie],tbl_RegulriTVA[categorie],tbl_RegulriTVA[cota_legala],-1)&lt;&gt;[@cota_tva],"TVA GRESIT","")</f>
        <v/>
      </c>
      <c r="S444">
        <f>IF([@data_scadentei]&lt;[@data_factura],"SCADENTA INAINTEA FACTURII","")</f>
        <v/>
      </c>
      <c r="T444">
        <f>IF(NETWORKDAYS.INTL([@data_factura],[@data_factura],1,tbl_SarbatoriLegale[data])=0,"ZI NELUCRATOARE","")</f>
        <v/>
      </c>
      <c r="U444">
        <f>IF([@motiv_anomalie]="","OK","DE INVESTIGAT")</f>
        <v/>
      </c>
      <c r="V444">
        <f>TEXTJOIN("; ",TRUE,[@flag_oras],[@flag_tva],[@flag_scadenta],[@flag_zi])</f>
        <v/>
      </c>
    </row>
    <row r="445">
      <c r="A445" t="inlineStr">
        <is>
          <t>F-2025-00444</t>
        </is>
      </c>
      <c r="B445" s="12" t="n">
        <v>46157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Carte tehnica IT</t>
        </is>
      </c>
      <c r="G445" t="inlineStr">
        <is>
          <t>Cărți și manuale</t>
        </is>
      </c>
      <c r="H445" t="n">
        <v>25</v>
      </c>
      <c r="I445" t="n">
        <v>756.27</v>
      </c>
      <c r="J445" t="n">
        <v>18906.75</v>
      </c>
      <c r="K445" s="13" t="n">
        <v>0.05</v>
      </c>
      <c r="L445" t="n">
        <v>945.34</v>
      </c>
      <c r="M445" t="n">
        <v>19852.09</v>
      </c>
      <c r="N445" t="inlineStr">
        <is>
          <t>RON</t>
        </is>
      </c>
      <c r="O445" t="inlineStr">
        <is>
          <t>Sibiu</t>
        </is>
      </c>
      <c r="P445" s="12" t="n">
        <v>46187</v>
      </c>
      <c r="Q445">
        <f>IF(COUNTIF(tbl_Localitati[oras_oficial],[@oras])=0,"ORAS NEALINIAT",IF(XLOOKUP([@oras],tbl_Localitati[oras_oficial],tbl_Localitati[judet],"?")&lt;&gt;[@judet],"JUDET NECORESPUNZATOR",""))</f>
        <v/>
      </c>
      <c r="R445">
        <f>IF(XLOOKUP([@categorie],tbl_RegulriTVA[categorie],tbl_RegulriTVA[cota_legala],-1)&lt;&gt;[@cota_tva],"TVA GRESIT","")</f>
        <v/>
      </c>
      <c r="S445">
        <f>IF([@data_scadentei]&lt;[@data_factura],"SCADENTA INAINTEA FACTURII","")</f>
        <v/>
      </c>
      <c r="T445">
        <f>IF(NETWORKDAYS.INTL([@data_factura],[@data_factura],1,tbl_SarbatoriLegale[data])=0,"ZI NELUCRATOARE","")</f>
        <v/>
      </c>
      <c r="U445">
        <f>IF([@motiv_anomalie]="","OK","DE INVESTIGAT")</f>
        <v/>
      </c>
      <c r="V445">
        <f>TEXTJOIN("; ",TRUE,[@flag_oras],[@flag_tva],[@flag_scadenta],[@flag_zi])</f>
        <v/>
      </c>
    </row>
    <row r="446">
      <c r="A446" t="inlineStr">
        <is>
          <t>F-2025-00445</t>
        </is>
      </c>
      <c r="B446" s="12" t="n">
        <v>46065</v>
      </c>
      <c r="C446" t="inlineStr">
        <is>
          <t>SC DACTECH SOLUTIONS SRL</t>
        </is>
      </c>
      <c r="D446" t="inlineStr">
        <is>
          <t>Argeș</t>
        </is>
      </c>
      <c r="E446" t="inlineStr">
        <is>
          <t>PRD-005</t>
        </is>
      </c>
      <c r="F446" t="inlineStr">
        <is>
          <t>Licenta ERP contabilitate</t>
        </is>
      </c>
      <c r="G446" t="inlineStr">
        <is>
          <t>Licențe software</t>
        </is>
      </c>
      <c r="H446" t="n">
        <v>5</v>
      </c>
      <c r="I446" t="n">
        <v>257.5</v>
      </c>
      <c r="J446" t="n">
        <v>1287.5</v>
      </c>
      <c r="K446" s="13" t="n">
        <v>0.19</v>
      </c>
      <c r="L446" t="n">
        <v>244.62</v>
      </c>
      <c r="M446" t="n">
        <v>1532.12</v>
      </c>
      <c r="N446" t="inlineStr">
        <is>
          <t>RON</t>
        </is>
      </c>
      <c r="O446" t="inlineStr">
        <is>
          <t>Pitești</t>
        </is>
      </c>
      <c r="P446" s="12" t="n">
        <v>46095</v>
      </c>
      <c r="Q446">
        <f>IF(COUNTIF(tbl_Localitati[oras_oficial],[@oras])=0,"ORAS NEALINIAT",IF(XLOOKUP([@oras],tbl_Localitati[oras_oficial],tbl_Localitati[judet],"?")&lt;&gt;[@judet],"JUDET NECORESPUNZATOR",""))</f>
        <v/>
      </c>
      <c r="R446">
        <f>IF(XLOOKUP([@categorie],tbl_RegulriTVA[categorie],tbl_RegulriTVA[cota_legala],-1)&lt;&gt;[@cota_tva],"TVA GRESIT","")</f>
        <v/>
      </c>
      <c r="S446">
        <f>IF([@data_scadentei]&lt;[@data_factura],"SCADENTA INAINTEA FACTURII","")</f>
        <v/>
      </c>
      <c r="T446">
        <f>IF(NETWORKDAYS.INTL([@data_factura],[@data_factura],1,tbl_SarbatoriLegale[data])=0,"ZI NELUCRATOARE","")</f>
        <v/>
      </c>
      <c r="U446">
        <f>IF([@motiv_anomalie]="","OK","DE INVESTIGAT")</f>
        <v/>
      </c>
      <c r="V446">
        <f>TEXTJOIN("; ",TRUE,[@flag_oras],[@flag_tva],[@flag_scadenta],[@flag_zi])</f>
        <v/>
      </c>
    </row>
    <row r="447">
      <c r="A447" t="inlineStr">
        <is>
          <t>F-2025-00446</t>
        </is>
      </c>
      <c r="B447" s="12" t="n">
        <v>46091</v>
      </c>
      <c r="C447" t="inlineStr">
        <is>
          <t>SC AROMET TRADING SRL</t>
        </is>
      </c>
      <c r="D447" t="inlineStr">
        <is>
          <t>Alba</t>
        </is>
      </c>
      <c r="E447" t="inlineStr">
        <is>
          <t>PRD-003</t>
        </is>
      </c>
      <c r="F447" t="inlineStr">
        <is>
          <t>Statie de lucru desktop</t>
        </is>
      </c>
      <c r="G447" t="inlineStr">
        <is>
          <t>Hardware IT</t>
        </is>
      </c>
      <c r="H447" t="n">
        <v>1</v>
      </c>
      <c r="I447" t="n">
        <v>4285.92</v>
      </c>
      <c r="J447" t="n">
        <v>4285.92</v>
      </c>
      <c r="K447" s="13" t="n">
        <v>0.19</v>
      </c>
      <c r="L447" t="n">
        <v>814.3200000000001</v>
      </c>
      <c r="M447" t="n">
        <v>5100.24</v>
      </c>
      <c r="N447" t="inlineStr">
        <is>
          <t>RON</t>
        </is>
      </c>
      <c r="O447" t="inlineStr">
        <is>
          <t>Alba Iulia</t>
        </is>
      </c>
      <c r="P447" s="12" t="n">
        <v>46136</v>
      </c>
      <c r="Q447">
        <f>IF(COUNTIF(tbl_Localitati[oras_oficial],[@oras])=0,"ORAS NEALINIAT",IF(XLOOKUP([@oras],tbl_Localitati[oras_oficial],tbl_Localitati[judet],"?")&lt;&gt;[@judet],"JUDET NECORESPUNZATOR",""))</f>
        <v/>
      </c>
      <c r="R447">
        <f>IF(XLOOKUP([@categorie],tbl_RegulriTVA[categorie],tbl_RegulriTVA[cota_legala],-1)&lt;&gt;[@cota_tva],"TVA GRESIT","")</f>
        <v/>
      </c>
      <c r="S447">
        <f>IF([@data_scadentei]&lt;[@data_factura],"SCADENTA INAINTEA FACTURII","")</f>
        <v/>
      </c>
      <c r="T447">
        <f>IF(NETWORKDAYS.INTL([@data_factura],[@data_factura],1,tbl_SarbatoriLegale[data])=0,"ZI NELUCRATOARE","")</f>
        <v/>
      </c>
      <c r="U447">
        <f>IF([@motiv_anomalie]="","OK","DE INVESTIGAT")</f>
        <v/>
      </c>
      <c r="V447">
        <f>TEXTJOIN("; ",TRUE,[@flag_oras],[@flag_tva],[@flag_scadenta],[@flag_zi])</f>
        <v/>
      </c>
    </row>
    <row r="448">
      <c r="A448" t="inlineStr">
        <is>
          <t>F-2025-00447</t>
        </is>
      </c>
      <c r="B448" s="12" t="n">
        <v>46307</v>
      </c>
      <c r="C448" t="inlineStr">
        <is>
          <t>SC AROMET TRADING SRL</t>
        </is>
      </c>
      <c r="D448" t="inlineStr">
        <is>
          <t>Alba</t>
        </is>
      </c>
      <c r="E448" t="inlineStr">
        <is>
          <t>PRD-007</t>
        </is>
      </c>
      <c r="F448" t="inlineStr">
        <is>
          <t>Manual proceduri interne</t>
        </is>
      </c>
      <c r="G448" t="inlineStr">
        <is>
          <t>Cărți și manuale</t>
        </is>
      </c>
      <c r="H448" t="n">
        <v>10</v>
      </c>
      <c r="I448" t="n">
        <v>174.97</v>
      </c>
      <c r="J448" t="n">
        <v>1749.7</v>
      </c>
      <c r="K448" s="13" t="n">
        <v>0.05</v>
      </c>
      <c r="L448" t="n">
        <v>87.48999999999999</v>
      </c>
      <c r="M448" t="n">
        <v>1837.19</v>
      </c>
      <c r="N448" t="inlineStr">
        <is>
          <t>RON</t>
        </is>
      </c>
      <c r="O448" t="inlineStr">
        <is>
          <t>Alba Iulia</t>
        </is>
      </c>
      <c r="P448" s="12" t="n">
        <v>46367</v>
      </c>
      <c r="Q448">
        <f>IF(COUNTIF(tbl_Localitati[oras_oficial],[@oras])=0,"ORAS NEALINIAT",IF(XLOOKUP([@oras],tbl_Localitati[oras_oficial],tbl_Localitati[judet],"?")&lt;&gt;[@judet],"JUDET NECORESPUNZATOR",""))</f>
        <v/>
      </c>
      <c r="R448">
        <f>IF(XLOOKUP([@categorie],tbl_RegulriTVA[categorie],tbl_RegulriTVA[cota_legala],-1)&lt;&gt;[@cota_tva],"TVA GRESIT","")</f>
        <v/>
      </c>
      <c r="S448">
        <f>IF([@data_scadentei]&lt;[@data_factura],"SCADENTA INAINTEA FACTURII","")</f>
        <v/>
      </c>
      <c r="T448">
        <f>IF(NETWORKDAYS.INTL([@data_factura],[@data_factura],1,tbl_SarbatoriLegale[data])=0,"ZI NELUCRATOARE","")</f>
        <v/>
      </c>
      <c r="U448">
        <f>IF([@motiv_anomalie]="","OK","DE INVESTIGAT")</f>
        <v/>
      </c>
      <c r="V448">
        <f>TEXTJOIN("; ",TRUE,[@flag_oras],[@flag_tva],[@flag_scadenta],[@flag_zi])</f>
        <v/>
      </c>
    </row>
    <row r="449">
      <c r="A449" t="inlineStr">
        <is>
          <t>F-2025-00448</t>
        </is>
      </c>
      <c r="B449" s="12" t="n">
        <v>46378</v>
      </c>
      <c r="C449" t="inlineStr">
        <is>
          <t>SC INTEGROMED SA</t>
        </is>
      </c>
      <c r="D449" t="inlineStr">
        <is>
          <t>Cluj</t>
        </is>
      </c>
      <c r="E449" t="inlineStr">
        <is>
          <t>PRD-001</t>
        </is>
      </c>
      <c r="F449" t="inlineStr">
        <is>
          <t>Server rack 1U</t>
        </is>
      </c>
      <c r="G449" t="inlineStr">
        <is>
          <t>Hardware IT</t>
        </is>
      </c>
      <c r="H449" t="n">
        <v>3</v>
      </c>
      <c r="I449" t="n">
        <v>2455.85</v>
      </c>
      <c r="J449" t="n">
        <v>7367.55</v>
      </c>
      <c r="K449" s="13" t="n">
        <v>0.19</v>
      </c>
      <c r="L449" t="n">
        <v>1399.83</v>
      </c>
      <c r="M449" t="n">
        <v>8767.379999999999</v>
      </c>
      <c r="N449" t="inlineStr">
        <is>
          <t>RON</t>
        </is>
      </c>
      <c r="O449" t="inlineStr">
        <is>
          <t>Cluj-Napoca</t>
        </is>
      </c>
      <c r="P449" s="12" t="n">
        <v>46438</v>
      </c>
      <c r="Q449">
        <f>IF(COUNTIF(tbl_Localitati[oras_oficial],[@oras])=0,"ORAS NEALINIAT",IF(XLOOKUP([@oras],tbl_Localitati[oras_oficial],tbl_Localitati[judet],"?")&lt;&gt;[@judet],"JUDET NECORESPUNZATOR",""))</f>
        <v/>
      </c>
      <c r="R449">
        <f>IF(XLOOKUP([@categorie],tbl_RegulriTVA[categorie],tbl_RegulriTVA[cota_legala],-1)&lt;&gt;[@cota_tva],"TVA GRESIT","")</f>
        <v/>
      </c>
      <c r="S449">
        <f>IF([@data_scadentei]&lt;[@data_factura],"SCADENTA INAINTEA FACTURII","")</f>
        <v/>
      </c>
      <c r="T449">
        <f>IF(NETWORKDAYS.INTL([@data_factura],[@data_factura],1,tbl_SarbatoriLegale[data])=0,"ZI NELUCRATOARE","")</f>
        <v/>
      </c>
      <c r="U449">
        <f>IF([@motiv_anomalie]="","OK","DE INVESTIGAT")</f>
        <v/>
      </c>
      <c r="V449">
        <f>TEXTJOIN("; ",TRUE,[@flag_oras],[@flag_tva],[@flag_scadenta],[@flag_zi])</f>
        <v/>
      </c>
    </row>
    <row r="450">
      <c r="A450" t="inlineStr">
        <is>
          <t>F-2025-00449</t>
        </is>
      </c>
      <c r="B450" s="12" t="n">
        <v>46304</v>
      </c>
      <c r="C450" t="inlineStr">
        <is>
          <t>SC DACTECH SOLUTIONS SRL</t>
        </is>
      </c>
      <c r="D450" t="inlineStr">
        <is>
          <t>Argeș</t>
        </is>
      </c>
      <c r="E450" t="inlineStr">
        <is>
          <t>PRD-010</t>
        </is>
      </c>
      <c r="F450" t="inlineStr">
        <is>
          <t>Telefon IP birou</t>
        </is>
      </c>
      <c r="G450" t="inlineStr">
        <is>
          <t>Echipamente birou</t>
        </is>
      </c>
      <c r="H450" t="n">
        <v>10</v>
      </c>
      <c r="I450" t="n">
        <v>352.73</v>
      </c>
      <c r="J450" t="n">
        <v>3527.3</v>
      </c>
      <c r="K450" s="13" t="n">
        <v>0.19</v>
      </c>
      <c r="L450" t="n">
        <v>670.1900000000001</v>
      </c>
      <c r="M450" t="n">
        <v>4197.49</v>
      </c>
      <c r="N450" t="inlineStr">
        <is>
          <t>RON</t>
        </is>
      </c>
      <c r="O450" t="inlineStr">
        <is>
          <t>Pitești</t>
        </is>
      </c>
      <c r="P450" s="12" t="n">
        <v>46349</v>
      </c>
      <c r="Q450">
        <f>IF(COUNTIF(tbl_Localitati[oras_oficial],[@oras])=0,"ORAS NEALINIAT",IF(XLOOKUP([@oras],tbl_Localitati[oras_oficial],tbl_Localitati[judet],"?")&lt;&gt;[@judet],"JUDET NECORESPUNZATOR",""))</f>
        <v/>
      </c>
      <c r="R450">
        <f>IF(XLOOKUP([@categorie],tbl_RegulriTVA[categorie],tbl_RegulriTVA[cota_legala],-1)&lt;&gt;[@cota_tva],"TVA GRESIT","")</f>
        <v/>
      </c>
      <c r="S450">
        <f>IF([@data_scadentei]&lt;[@data_factura],"SCADENTA INAINTEA FACTURII","")</f>
        <v/>
      </c>
      <c r="T450">
        <f>IF(NETWORKDAYS.INTL([@data_factura],[@data_factura],1,tbl_SarbatoriLegale[data])=0,"ZI NELUCRATOARE","")</f>
        <v/>
      </c>
      <c r="U450">
        <f>IF([@motiv_anomalie]="","OK","DE INVESTIGAT")</f>
        <v/>
      </c>
      <c r="V450">
        <f>TEXTJOIN("; ",TRUE,[@flag_oras],[@flag_tva],[@flag_scadenta],[@flag_zi])</f>
        <v/>
      </c>
    </row>
    <row r="451">
      <c r="A451" t="inlineStr">
        <is>
          <t>F-2025-00450</t>
        </is>
      </c>
      <c r="B451" s="12" t="n">
        <v>46367</v>
      </c>
      <c r="C451" t="inlineStr">
        <is>
          <t>SC INTEGROMED SA</t>
        </is>
      </c>
      <c r="D451" t="inlineStr">
        <is>
          <t>Cluj</t>
        </is>
      </c>
      <c r="E451" t="inlineStr">
        <is>
          <t>PRD-006</t>
        </is>
      </c>
      <c r="F451" t="inlineStr">
        <is>
          <t>Masti protectie cutie</t>
        </is>
      </c>
      <c r="G451" t="inlineStr">
        <is>
          <t>Produse farmaceutice</t>
        </is>
      </c>
      <c r="H451" t="n">
        <v>1</v>
      </c>
      <c r="I451" t="n">
        <v>733.48</v>
      </c>
      <c r="J451" t="n">
        <v>733.48</v>
      </c>
      <c r="K451" s="13" t="n">
        <v>0.09</v>
      </c>
      <c r="L451" t="n">
        <v>66.01000000000001</v>
      </c>
      <c r="M451" t="n">
        <v>799.49</v>
      </c>
      <c r="N451" t="inlineStr">
        <is>
          <t>RON</t>
        </is>
      </c>
      <c r="O451" t="inlineStr">
        <is>
          <t>Cluj-Napoca</t>
        </is>
      </c>
      <c r="P451" s="12" t="n">
        <v>46412</v>
      </c>
      <c r="Q451">
        <f>IF(COUNTIF(tbl_Localitati[oras_oficial],[@oras])=0,"ORAS NEALINIAT",IF(XLOOKUP([@oras],tbl_Localitati[oras_oficial],tbl_Localitati[judet],"?")&lt;&gt;[@judet],"JUDET NECORESPUNZATOR",""))</f>
        <v/>
      </c>
      <c r="R451">
        <f>IF(XLOOKUP([@categorie],tbl_RegulriTVA[categorie],tbl_RegulriTVA[cota_legala],-1)&lt;&gt;[@cota_tva],"TVA GRESIT","")</f>
        <v/>
      </c>
      <c r="S451">
        <f>IF([@data_scadentei]&lt;[@data_factura],"SCADENTA INAINTEA FACTURII","")</f>
        <v/>
      </c>
      <c r="T451">
        <f>IF(NETWORKDAYS.INTL([@data_factura],[@data_factura],1,tbl_SarbatoriLegale[data])=0,"ZI NELUCRATOARE","")</f>
        <v/>
      </c>
      <c r="U451">
        <f>IF([@motiv_anomalie]="","OK","DE INVESTIGAT")</f>
        <v/>
      </c>
      <c r="V451">
        <f>TEXTJOIN("; ",TRUE,[@flag_oras],[@flag_tva],[@flag_scadenta],[@flag_zi])</f>
        <v/>
      </c>
    </row>
    <row r="452">
      <c r="A452" t="inlineStr">
        <is>
          <t>F-2025-00451</t>
        </is>
      </c>
      <c r="B452" s="12" t="n">
        <v>46146</v>
      </c>
      <c r="C452" t="inlineStr">
        <is>
          <t>SC METALPLAST INVEST SA</t>
        </is>
      </c>
      <c r="D452" t="inlineStr">
        <is>
          <t>Cluj</t>
        </is>
      </c>
      <c r="E452" t="inlineStr">
        <is>
          <t>PRD-009</t>
        </is>
      </c>
      <c r="F452" t="inlineStr">
        <is>
          <t>Ceai cutie 100buc</t>
        </is>
      </c>
      <c r="G452" t="inlineStr">
        <is>
          <t>Alimente</t>
        </is>
      </c>
      <c r="H452" t="n">
        <v>100</v>
      </c>
      <c r="I452" t="n">
        <v>29.33</v>
      </c>
      <c r="J452" t="n">
        <v>2933</v>
      </c>
      <c r="K452" s="13" t="n">
        <v>0.09</v>
      </c>
      <c r="L452" t="n">
        <v>263.97</v>
      </c>
      <c r="M452" t="n">
        <v>3196.97</v>
      </c>
      <c r="N452" t="inlineStr">
        <is>
          <t>RON</t>
        </is>
      </c>
      <c r="O452" t="inlineStr">
        <is>
          <t>Turda</t>
        </is>
      </c>
      <c r="P452" s="12" t="n">
        <v>46176</v>
      </c>
      <c r="Q452">
        <f>IF(COUNTIF(tbl_Localitati[oras_oficial],[@oras])=0,"ORAS NEALINIAT",IF(XLOOKUP([@oras],tbl_Localitati[oras_oficial],tbl_Localitati[judet],"?")&lt;&gt;[@judet],"JUDET NECORESPUNZATOR",""))</f>
        <v/>
      </c>
      <c r="R452">
        <f>IF(XLOOKUP([@categorie],tbl_RegulriTVA[categorie],tbl_RegulriTVA[cota_legala],-1)&lt;&gt;[@cota_tva],"TVA GRESIT","")</f>
        <v/>
      </c>
      <c r="S452">
        <f>IF([@data_scadentei]&lt;[@data_factura],"SCADENTA INAINTEA FACTURII","")</f>
        <v/>
      </c>
      <c r="T452">
        <f>IF(NETWORKDAYS.INTL([@data_factura],[@data_factura],1,tbl_SarbatoriLegale[data])=0,"ZI NELUCRATOARE","")</f>
        <v/>
      </c>
      <c r="U452">
        <f>IF([@motiv_anomalie]="","OK","DE INVESTIGAT")</f>
        <v/>
      </c>
      <c r="V452">
        <f>TEXTJOIN("; ",TRUE,[@flag_oras],[@flag_tva],[@flag_scadenta],[@flag_zi])</f>
        <v/>
      </c>
    </row>
    <row r="453">
      <c r="A453" t="inlineStr">
        <is>
          <t>F-2025-00452</t>
        </is>
      </c>
      <c r="B453" s="12" t="n">
        <v>46203</v>
      </c>
      <c r="C453" t="inlineStr">
        <is>
          <t>SC INTEGROMED SA</t>
        </is>
      </c>
      <c r="D453" t="inlineStr">
        <is>
          <t>Cluj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 IT</t>
        </is>
      </c>
      <c r="H453" t="n">
        <v>5</v>
      </c>
      <c r="I453" t="n">
        <v>1146</v>
      </c>
      <c r="J453" t="n">
        <v>5730</v>
      </c>
      <c r="K453" s="13" t="n">
        <v>0.19</v>
      </c>
      <c r="L453" t="n">
        <v>1088.7</v>
      </c>
      <c r="M453" t="n">
        <v>6818.7</v>
      </c>
      <c r="N453" t="inlineStr">
        <is>
          <t>RON</t>
        </is>
      </c>
      <c r="O453" t="inlineStr">
        <is>
          <t>Cluj-Napoca</t>
        </is>
      </c>
      <c r="P453" s="12" t="n">
        <v>46233</v>
      </c>
      <c r="Q453">
        <f>IF(COUNTIF(tbl_Localitati[oras_oficial],[@oras])=0,"ORAS NEALINIAT",IF(XLOOKUP([@oras],tbl_Localitati[oras_oficial],tbl_Localitati[judet],"?")&lt;&gt;[@judet],"JUDET NECORESPUNZATOR",""))</f>
        <v/>
      </c>
      <c r="R453">
        <f>IF(XLOOKUP([@categorie],tbl_RegulriTVA[categorie],tbl_RegulriTVA[cota_legala],-1)&lt;&gt;[@cota_tva],"TVA GRESIT","")</f>
        <v/>
      </c>
      <c r="S453">
        <f>IF([@data_scadentei]&lt;[@data_factura],"SCADENTA INAINTEA FACTURII","")</f>
        <v/>
      </c>
      <c r="T453">
        <f>IF(NETWORKDAYS.INTL([@data_factura],[@data_factura],1,tbl_SarbatoriLegale[data])=0,"ZI NELUCRATOARE","")</f>
        <v/>
      </c>
      <c r="U453">
        <f>IF([@motiv_anomalie]="","OK","DE INVESTIGAT")</f>
        <v/>
      </c>
      <c r="V453">
        <f>TEXTJOIN("; ",TRUE,[@flag_oras],[@flag_tva],[@flag_scadenta],[@flag_zi])</f>
        <v/>
      </c>
    </row>
    <row r="454">
      <c r="A454" t="inlineStr">
        <is>
          <t>F-2025-00453</t>
        </is>
      </c>
      <c r="B454" s="12" t="n">
        <v>46246</v>
      </c>
      <c r="C454" t="inlineStr">
        <is>
          <t>SC SOLARIS ENERGY SRL</t>
        </is>
      </c>
      <c r="D454" t="inlineStr">
        <is>
          <t>Prahova</t>
        </is>
      </c>
      <c r="E454" t="inlineStr">
        <is>
          <t>PRD-008</t>
        </is>
      </c>
      <c r="F454" t="inlineStr">
        <is>
          <t>Licenta ERP contabilitate</t>
        </is>
      </c>
      <c r="G454" t="inlineStr">
        <is>
          <t>Licențe software</t>
        </is>
      </c>
      <c r="H454" t="n">
        <v>1</v>
      </c>
      <c r="I454" t="n">
        <v>444.59</v>
      </c>
      <c r="J454" t="n">
        <v>444.59</v>
      </c>
      <c r="K454" s="13" t="n">
        <v>0.19</v>
      </c>
      <c r="L454" t="n">
        <v>84.47</v>
      </c>
      <c r="M454" t="n">
        <v>529.0599999999999</v>
      </c>
      <c r="N454" t="inlineStr">
        <is>
          <t>RON</t>
        </is>
      </c>
      <c r="O454" t="inlineStr">
        <is>
          <t>Câmpina</t>
        </is>
      </c>
      <c r="P454" s="12" t="n">
        <v>46261</v>
      </c>
      <c r="Q454">
        <f>IF(COUNTIF(tbl_Localitati[oras_oficial],[@oras])=0,"ORAS NEALINIAT",IF(XLOOKUP([@oras],tbl_Localitati[oras_oficial],tbl_Localitati[judet],"?")&lt;&gt;[@judet],"JUDET NECORESPUNZATOR",""))</f>
        <v/>
      </c>
      <c r="R454">
        <f>IF(XLOOKUP([@categorie],tbl_RegulriTVA[categorie],tbl_RegulriTVA[cota_legala],-1)&lt;&gt;[@cota_tva],"TVA GRESIT","")</f>
        <v/>
      </c>
      <c r="S454">
        <f>IF([@data_scadentei]&lt;[@data_factura],"SCADENTA INAINTEA FACTURII","")</f>
        <v/>
      </c>
      <c r="T454">
        <f>IF(NETWORKDAYS.INTL([@data_factura],[@data_factura],1,tbl_SarbatoriLegale[data])=0,"ZI NELUCRATOARE","")</f>
        <v/>
      </c>
      <c r="U454">
        <f>IF([@motiv_anomalie]="","OK","DE INVESTIGAT")</f>
        <v/>
      </c>
      <c r="V454">
        <f>TEXTJOIN("; ",TRUE,[@flag_oras],[@flag_tva],[@flag_scadenta],[@flag_zi])</f>
        <v/>
      </c>
    </row>
    <row r="455">
      <c r="A455" t="inlineStr">
        <is>
          <t>F-2025-00454</t>
        </is>
      </c>
      <c r="B455" s="12" t="n">
        <v>46055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Telefon IP birou</t>
        </is>
      </c>
      <c r="G455" t="inlineStr">
        <is>
          <t>Echipamente birou</t>
        </is>
      </c>
      <c r="H455" t="n">
        <v>5</v>
      </c>
      <c r="I455" t="n">
        <v>349.71</v>
      </c>
      <c r="J455" t="n">
        <v>1748.55</v>
      </c>
      <c r="K455" s="13" t="n">
        <v>0.19</v>
      </c>
      <c r="L455" t="n">
        <v>332.22</v>
      </c>
      <c r="M455" t="n">
        <v>2080.77</v>
      </c>
      <c r="N455" t="inlineStr">
        <is>
          <t>EUR</t>
        </is>
      </c>
      <c r="O455" t="inlineStr">
        <is>
          <t>Sibiu</t>
        </is>
      </c>
      <c r="P455" s="12" t="n">
        <v>46085</v>
      </c>
      <c r="Q455">
        <f>IF(COUNTIF(tbl_Localitati[oras_oficial],[@oras])=0,"ORAS NEALINIAT",IF(XLOOKUP([@oras],tbl_Localitati[oras_oficial],tbl_Localitati[judet],"?")&lt;&gt;[@judet],"JUDET NECORESPUNZATOR",""))</f>
        <v/>
      </c>
      <c r="R455">
        <f>IF(XLOOKUP([@categorie],tbl_RegulriTVA[categorie],tbl_RegulriTVA[cota_legala],-1)&lt;&gt;[@cota_tva],"TVA GRESIT","")</f>
        <v/>
      </c>
      <c r="S455">
        <f>IF([@data_scadentei]&lt;[@data_factura],"SCADENTA INAINTEA FACTURII","")</f>
        <v/>
      </c>
      <c r="T455">
        <f>IF(NETWORKDAYS.INTL([@data_factura],[@data_factura],1,tbl_SarbatoriLegale[data])=0,"ZI NELUCRATOARE","")</f>
        <v/>
      </c>
      <c r="U455">
        <f>IF([@motiv_anomalie]="","OK","DE INVESTIGAT")</f>
        <v/>
      </c>
      <c r="V455">
        <f>TEXTJOIN("; ",TRUE,[@flag_oras],[@flag_tva],[@flag_scadenta],[@flag_zi])</f>
        <v/>
      </c>
    </row>
    <row r="456">
      <c r="A456" t="inlineStr">
        <is>
          <t>F-2025-00455</t>
        </is>
      </c>
      <c r="B456" s="12" t="n">
        <v>46042</v>
      </c>
      <c r="C456" t="inlineStr">
        <is>
          <t>SC PROVITA MEDICAL SRL</t>
        </is>
      </c>
      <c r="D456" t="inlineStr">
        <is>
          <t>Mureș</t>
        </is>
      </c>
      <c r="E456" t="inlineStr">
        <is>
          <t>PRD-001</t>
        </is>
      </c>
      <c r="F456" t="inlineStr">
        <is>
          <t>Videoproiector sala</t>
        </is>
      </c>
      <c r="G456" t="inlineStr">
        <is>
          <t>Echipamente birou</t>
        </is>
      </c>
      <c r="H456" t="n">
        <v>3</v>
      </c>
      <c r="I456" t="n">
        <v>2476.11</v>
      </c>
      <c r="J456" t="n">
        <v>7428.33</v>
      </c>
      <c r="K456" s="13" t="n">
        <v>0.19</v>
      </c>
      <c r="L456" t="n">
        <v>1411.38</v>
      </c>
      <c r="M456" t="n">
        <v>8839.709999999999</v>
      </c>
      <c r="N456" t="inlineStr">
        <is>
          <t>RON</t>
        </is>
      </c>
      <c r="O456" t="inlineStr">
        <is>
          <t>Târgu Mureș</t>
        </is>
      </c>
      <c r="P456" s="12" t="n">
        <v>46057</v>
      </c>
      <c r="Q456">
        <f>IF(COUNTIF(tbl_Localitati[oras_oficial],[@oras])=0,"ORAS NEALINIAT",IF(XLOOKUP([@oras],tbl_Localitati[oras_oficial],tbl_Localitati[judet],"?")&lt;&gt;[@judet],"JUDET NECORESPUNZATOR",""))</f>
        <v/>
      </c>
      <c r="R456">
        <f>IF(XLOOKUP([@categorie],tbl_RegulriTVA[categorie],tbl_RegulriTVA[cota_legala],-1)&lt;&gt;[@cota_tva],"TVA GRESIT","")</f>
        <v/>
      </c>
      <c r="S456">
        <f>IF([@data_scadentei]&lt;[@data_factura],"SCADENTA INAINTEA FACTURII","")</f>
        <v/>
      </c>
      <c r="T456">
        <f>IF(NETWORKDAYS.INTL([@data_factura],[@data_factura],1,tbl_SarbatoriLegale[data])=0,"ZI NELUCRATOARE","")</f>
        <v/>
      </c>
      <c r="U456">
        <f>IF([@motiv_anomalie]="","OK","DE INVESTIGAT")</f>
        <v/>
      </c>
      <c r="V456">
        <f>TEXTJOIN("; ",TRUE,[@flag_oras],[@flag_tva],[@flag_scadenta],[@flag_zi])</f>
        <v/>
      </c>
    </row>
    <row r="457">
      <c r="A457" t="inlineStr">
        <is>
          <t>F-2025-00456</t>
        </is>
      </c>
      <c r="B457" s="12" t="n">
        <v>46056</v>
      </c>
      <c r="C457" t="inlineStr">
        <is>
          <t>SC METALPLAST INVEST SA</t>
        </is>
      </c>
      <c r="D457" t="inlineStr">
        <is>
          <t>Cluj</t>
        </is>
      </c>
      <c r="E457" t="inlineStr">
        <is>
          <t>PRD-007</t>
        </is>
      </c>
      <c r="F457" t="inlineStr">
        <is>
          <t>Licenta Office 365 anuala</t>
        </is>
      </c>
      <c r="G457" t="inlineStr">
        <is>
          <t>Licențe software</t>
        </is>
      </c>
      <c r="H457" t="n">
        <v>1</v>
      </c>
      <c r="I457" t="n">
        <v>177.32</v>
      </c>
      <c r="J457" t="n">
        <v>177.32</v>
      </c>
      <c r="K457" s="13" t="n">
        <v>0.19</v>
      </c>
      <c r="L457" t="n">
        <v>33.69</v>
      </c>
      <c r="M457" t="n">
        <v>211.01</v>
      </c>
      <c r="N457" t="inlineStr">
        <is>
          <t>RON</t>
        </is>
      </c>
      <c r="O457" t="inlineStr">
        <is>
          <t>Turda</t>
        </is>
      </c>
      <c r="P457" s="12" t="n">
        <v>46116</v>
      </c>
      <c r="Q457">
        <f>IF(COUNTIF(tbl_Localitati[oras_oficial],[@oras])=0,"ORAS NEALINIAT",IF(XLOOKUP([@oras],tbl_Localitati[oras_oficial],tbl_Localitati[judet],"?")&lt;&gt;[@judet],"JUDET NECORESPUNZATOR",""))</f>
        <v/>
      </c>
      <c r="R457">
        <f>IF(XLOOKUP([@categorie],tbl_RegulriTVA[categorie],tbl_RegulriTVA[cota_legala],-1)&lt;&gt;[@cota_tva],"TVA GRESIT","")</f>
        <v/>
      </c>
      <c r="S457">
        <f>IF([@data_scadentei]&lt;[@data_factura],"SCADENTA INAINTEA FACTURII","")</f>
        <v/>
      </c>
      <c r="T457">
        <f>IF(NETWORKDAYS.INTL([@data_factura],[@data_factura],1,tbl_SarbatoriLegale[data])=0,"ZI NELUCRATOARE","")</f>
        <v/>
      </c>
      <c r="U457">
        <f>IF([@motiv_anomalie]="","OK","DE INVESTIGAT")</f>
        <v/>
      </c>
      <c r="V457">
        <f>TEXTJOIN("; ",TRUE,[@flag_oras],[@flag_tva],[@flag_scadenta],[@flag_zi])</f>
        <v/>
      </c>
    </row>
    <row r="458">
      <c r="A458" t="inlineStr">
        <is>
          <t>F-2025-00457</t>
        </is>
      </c>
      <c r="B458" s="12" t="n">
        <v>46247</v>
      </c>
      <c r="C458" t="inlineStr">
        <is>
          <t>SC UNIFOOD DISTRIBUTION SA</t>
        </is>
      </c>
      <c r="D458" t="inlineStr">
        <is>
          <t>Sibiu</t>
        </is>
      </c>
      <c r="E458" t="inlineStr">
        <is>
          <t>PRD-001</t>
        </is>
      </c>
      <c r="F458" t="inlineStr">
        <is>
          <t>Ceai cutie 100buc</t>
        </is>
      </c>
      <c r="G458" t="inlineStr">
        <is>
          <t>Alimente</t>
        </is>
      </c>
      <c r="H458" t="n">
        <v>1</v>
      </c>
      <c r="I458" t="n">
        <v>2355.95</v>
      </c>
      <c r="J458" t="n">
        <v>2355.95</v>
      </c>
      <c r="K458" s="13" t="n">
        <v>0.09</v>
      </c>
      <c r="L458" t="n">
        <v>212.04</v>
      </c>
      <c r="M458" t="n">
        <v>2567.99</v>
      </c>
      <c r="N458" t="inlineStr">
        <is>
          <t>RON</t>
        </is>
      </c>
      <c r="O458" t="inlineStr">
        <is>
          <t>Mediaș</t>
        </is>
      </c>
      <c r="P458" s="12" t="n">
        <v>46292</v>
      </c>
      <c r="Q458">
        <f>IF(COUNTIF(tbl_Localitati[oras_oficial],[@oras])=0,"ORAS NEALINIAT",IF(XLOOKUP([@oras],tbl_Localitati[oras_oficial],tbl_Localitati[judet],"?")&lt;&gt;[@judet],"JUDET NECORESPUNZATOR",""))</f>
        <v/>
      </c>
      <c r="R458">
        <f>IF(XLOOKUP([@categorie],tbl_RegulriTVA[categorie],tbl_RegulriTVA[cota_legala],-1)&lt;&gt;[@cota_tva],"TVA GRESIT","")</f>
        <v/>
      </c>
      <c r="S458">
        <f>IF([@data_scadentei]&lt;[@data_factura],"SCADENTA INAINTEA FACTURII","")</f>
        <v/>
      </c>
      <c r="T458">
        <f>IF(NETWORKDAYS.INTL([@data_factura],[@data_factura],1,tbl_SarbatoriLegale[data])=0,"ZI NELUCRATOARE","")</f>
        <v/>
      </c>
      <c r="U458">
        <f>IF([@motiv_anomalie]="","OK","DE INVESTIGAT")</f>
        <v/>
      </c>
      <c r="V458">
        <f>TEXTJOIN("; ",TRUE,[@flag_oras],[@flag_tva],[@flag_scadenta],[@flag_zi])</f>
        <v/>
      </c>
    </row>
    <row r="459">
      <c r="A459" t="inlineStr">
        <is>
          <t>F-2025-00458</t>
        </is>
      </c>
      <c r="B459" s="12" t="n">
        <v>46241</v>
      </c>
      <c r="C459" t="inlineStr">
        <is>
          <t>SC PROVITA MEDICAL SRL</t>
        </is>
      </c>
      <c r="D459" t="inlineStr">
        <is>
          <t>Mureș</t>
        </is>
      </c>
      <c r="E459" t="inlineStr">
        <is>
          <t>PRD-001</t>
        </is>
      </c>
      <c r="F459" t="inlineStr">
        <is>
          <t>Multifunctionala laser</t>
        </is>
      </c>
      <c r="G459" t="inlineStr">
        <is>
          <t>Echipamente birou</t>
        </is>
      </c>
      <c r="H459" t="n">
        <v>1</v>
      </c>
      <c r="I459" t="n">
        <v>2403.79</v>
      </c>
      <c r="J459" t="n">
        <v>2403.79</v>
      </c>
      <c r="K459" s="13" t="n">
        <v>0.19</v>
      </c>
      <c r="L459" t="n">
        <v>456.72</v>
      </c>
      <c r="M459" t="n">
        <v>2860.51</v>
      </c>
      <c r="N459" t="inlineStr">
        <is>
          <t>RON</t>
        </is>
      </c>
      <c r="O459" t="inlineStr">
        <is>
          <t>Târgu Mureș</t>
        </is>
      </c>
      <c r="P459" s="12" t="n">
        <v>46286</v>
      </c>
      <c r="Q459">
        <f>IF(COUNTIF(tbl_Localitati[oras_oficial],[@oras])=0,"ORAS NEALINIAT",IF(XLOOKUP([@oras],tbl_Localitati[oras_oficial],tbl_Localitati[judet],"?")&lt;&gt;[@judet],"JUDET NECORESPUNZATOR",""))</f>
        <v/>
      </c>
      <c r="R459">
        <f>IF(XLOOKUP([@categorie],tbl_RegulriTVA[categorie],tbl_RegulriTVA[cota_legala],-1)&lt;&gt;[@cota_tva],"TVA GRESIT","")</f>
        <v/>
      </c>
      <c r="S459">
        <f>IF([@data_scadentei]&lt;[@data_factura],"SCADENTA INAINTEA FACTURII","")</f>
        <v/>
      </c>
      <c r="T459">
        <f>IF(NETWORKDAYS.INTL([@data_factura],[@data_factura],1,tbl_SarbatoriLegale[data])=0,"ZI NELUCRATOARE","")</f>
        <v/>
      </c>
      <c r="U459">
        <f>IF([@motiv_anomalie]="","OK","DE INVESTIGAT")</f>
        <v/>
      </c>
      <c r="V459">
        <f>TEXTJOIN("; ",TRUE,[@flag_oras],[@flag_tva],[@flag_scadenta],[@flag_zi])</f>
        <v/>
      </c>
    </row>
    <row r="460">
      <c r="A460" t="inlineStr">
        <is>
          <t>F-2025-00459</t>
        </is>
      </c>
      <c r="B460" s="12" t="n">
        <v>46363</v>
      </c>
      <c r="C460" t="inlineStr">
        <is>
          <t>SC SOLARIS ENERGY SRL</t>
        </is>
      </c>
      <c r="D460" t="inlineStr">
        <is>
          <t>Prahova</t>
        </is>
      </c>
      <c r="E460" t="inlineStr">
        <is>
          <t>PRD-008</t>
        </is>
      </c>
      <c r="F460" t="inlineStr">
        <is>
          <t>Tocator documente</t>
        </is>
      </c>
      <c r="G460" t="inlineStr">
        <is>
          <t>Echipamente birou</t>
        </is>
      </c>
      <c r="H460" t="n">
        <v>10</v>
      </c>
      <c r="I460" t="n">
        <v>432.91</v>
      </c>
      <c r="J460" t="n">
        <v>4329.1</v>
      </c>
      <c r="K460" s="13" t="n">
        <v>0.19</v>
      </c>
      <c r="L460" t="n">
        <v>822.53</v>
      </c>
      <c r="M460" t="n">
        <v>5151.63</v>
      </c>
      <c r="N460" t="inlineStr">
        <is>
          <t>RON</t>
        </is>
      </c>
      <c r="O460" t="inlineStr">
        <is>
          <t>Câmpina</t>
        </is>
      </c>
      <c r="P460" s="12" t="n">
        <v>46408</v>
      </c>
      <c r="Q460">
        <f>IF(COUNTIF(tbl_Localitati[oras_oficial],[@oras])=0,"ORAS NEALINIAT",IF(XLOOKUP([@oras],tbl_Localitati[oras_oficial],tbl_Localitati[judet],"?")&lt;&gt;[@judet],"JUDET NECORESPUNZATOR",""))</f>
        <v/>
      </c>
      <c r="R460">
        <f>IF(XLOOKUP([@categorie],tbl_RegulriTVA[categorie],tbl_RegulriTVA[cota_legala],-1)&lt;&gt;[@cota_tva],"TVA GRESIT","")</f>
        <v/>
      </c>
      <c r="S460">
        <f>IF([@data_scadentei]&lt;[@data_factura],"SCADENTA INAINTEA FACTURII","")</f>
        <v/>
      </c>
      <c r="T460">
        <f>IF(NETWORKDAYS.INTL([@data_factura],[@data_factura],1,tbl_SarbatoriLegale[data])=0,"ZI NELUCRATOARE","")</f>
        <v/>
      </c>
      <c r="U460">
        <f>IF([@motiv_anomalie]="","OK","DE INVESTIGAT")</f>
        <v/>
      </c>
      <c r="V460">
        <f>TEXTJOIN("; ",TRUE,[@flag_oras],[@flag_tva],[@flag_scadenta],[@flag_zi])</f>
        <v/>
      </c>
    </row>
    <row r="461">
      <c r="A461" t="inlineStr">
        <is>
          <t>F-2025-00460</t>
        </is>
      </c>
      <c r="B461" s="12" t="n">
        <v>46251</v>
      </c>
      <c r="C461" t="inlineStr">
        <is>
          <t>SC ELECTROBUILD SRL</t>
        </is>
      </c>
      <c r="D461" t="inlineStr">
        <is>
          <t>Bacău</t>
        </is>
      </c>
      <c r="E461" t="inlineStr">
        <is>
          <t>PRD-005</t>
        </is>
      </c>
      <c r="F461" t="inlineStr">
        <is>
          <t>Licenta antivirus enterprise</t>
        </is>
      </c>
      <c r="G461" t="inlineStr">
        <is>
          <t>Licențe software</t>
        </is>
      </c>
      <c r="H461" t="n">
        <v>2</v>
      </c>
      <c r="I461" t="n">
        <v>241.51</v>
      </c>
      <c r="J461" t="n">
        <v>483.02</v>
      </c>
      <c r="K461" s="13" t="n">
        <v>0.19</v>
      </c>
      <c r="L461" t="n">
        <v>91.77</v>
      </c>
      <c r="M461" t="n">
        <v>574.79</v>
      </c>
      <c r="N461" t="inlineStr">
        <is>
          <t>RON</t>
        </is>
      </c>
      <c r="O461" t="inlineStr">
        <is>
          <t>Bacău</t>
        </is>
      </c>
      <c r="P461" s="12" t="n">
        <v>46281</v>
      </c>
      <c r="Q461">
        <f>IF(COUNTIF(tbl_Localitati[oras_oficial],[@oras])=0,"ORAS NEALINIAT",IF(XLOOKUP([@oras],tbl_Localitati[oras_oficial],tbl_Localitati[judet],"?")&lt;&gt;[@judet],"JUDET NECORESPUNZATOR",""))</f>
        <v/>
      </c>
      <c r="R461">
        <f>IF(XLOOKUP([@categorie],tbl_RegulriTVA[categorie],tbl_RegulriTVA[cota_legala],-1)&lt;&gt;[@cota_tva],"TVA GRESIT","")</f>
        <v/>
      </c>
      <c r="S461">
        <f>IF([@data_scadentei]&lt;[@data_factura],"SCADENTA INAINTEA FACTURII","")</f>
        <v/>
      </c>
      <c r="T461">
        <f>IF(NETWORKDAYS.INTL([@data_factura],[@data_factura],1,tbl_SarbatoriLegale[data])=0,"ZI NELUCRATOARE","")</f>
        <v/>
      </c>
      <c r="U461">
        <f>IF([@motiv_anomalie]="","OK","DE INVESTIGAT")</f>
        <v/>
      </c>
      <c r="V461">
        <f>TEXTJOIN("; ",TRUE,[@flag_oras],[@flag_tva],[@flag_scadenta],[@flag_zi])</f>
        <v/>
      </c>
    </row>
    <row r="462">
      <c r="A462" t="inlineStr">
        <is>
          <t>F-2025-00461</t>
        </is>
      </c>
      <c r="B462" s="12" t="n">
        <v>46196</v>
      </c>
      <c r="C462" t="inlineStr">
        <is>
          <t>SC PROVITA MEDICAL SRL</t>
        </is>
      </c>
      <c r="D462" t="inlineStr">
        <is>
          <t>Mureș</t>
        </is>
      </c>
      <c r="E462" t="inlineStr">
        <is>
          <t>PRD-008</t>
        </is>
      </c>
      <c r="F462" t="inlineStr">
        <is>
          <t>Monitor 27" 4K</t>
        </is>
      </c>
      <c r="G462" t="inlineStr">
        <is>
          <t>Hardware IT</t>
        </is>
      </c>
      <c r="H462" t="n">
        <v>50</v>
      </c>
      <c r="I462" t="n">
        <v>452.47</v>
      </c>
      <c r="J462" t="n">
        <v>22623.5</v>
      </c>
      <c r="K462" s="13" t="n">
        <v>0.19</v>
      </c>
      <c r="L462" t="n">
        <v>4298.47</v>
      </c>
      <c r="M462" t="n">
        <v>26921.97</v>
      </c>
      <c r="N462" t="inlineStr">
        <is>
          <t>RON</t>
        </is>
      </c>
      <c r="O462" t="inlineStr">
        <is>
          <t>Târgu Mureș</t>
        </is>
      </c>
      <c r="P462" s="12" t="n">
        <v>46211</v>
      </c>
      <c r="Q462">
        <f>IF(COUNTIF(tbl_Localitati[oras_oficial],[@oras])=0,"ORAS NEALINIAT",IF(XLOOKUP([@oras],tbl_Localitati[oras_oficial],tbl_Localitati[judet],"?")&lt;&gt;[@judet],"JUDET NECORESPUNZATOR",""))</f>
        <v/>
      </c>
      <c r="R462">
        <f>IF(XLOOKUP([@categorie],tbl_RegulriTVA[categorie],tbl_RegulriTVA[cota_legala],-1)&lt;&gt;[@cota_tva],"TVA GRESIT","")</f>
        <v/>
      </c>
      <c r="S462">
        <f>IF([@data_scadentei]&lt;[@data_factura],"SCADENTA INAINTEA FACTURII","")</f>
        <v/>
      </c>
      <c r="T462">
        <f>IF(NETWORKDAYS.INTL([@data_factura],[@data_factura],1,tbl_SarbatoriLegale[data])=0,"ZI NELUCRATOARE","")</f>
        <v/>
      </c>
      <c r="U462">
        <f>IF([@motiv_anomalie]="","OK","DE INVESTIGAT")</f>
        <v/>
      </c>
      <c r="V462">
        <f>TEXTJOIN("; ",TRUE,[@flag_oras],[@flag_tva],[@flag_scadenta],[@flag_zi])</f>
        <v/>
      </c>
    </row>
    <row r="463">
      <c r="A463" t="inlineStr">
        <is>
          <t>F-2025-00462</t>
        </is>
      </c>
      <c r="B463" s="12" t="n">
        <v>46058</v>
      </c>
      <c r="C463" t="inlineStr">
        <is>
          <t>SC INTEGROMED SA</t>
        </is>
      </c>
      <c r="D463" t="inlineStr">
        <is>
          <t>Cluj</t>
        </is>
      </c>
      <c r="E463" t="inlineStr">
        <is>
          <t>PRD-002</t>
        </is>
      </c>
      <c r="F463" t="inlineStr">
        <is>
          <t>Dezinfectant maini 5L</t>
        </is>
      </c>
      <c r="G463" t="inlineStr">
        <is>
          <t>Produse farmaceutice</t>
        </is>
      </c>
      <c r="H463" t="n">
        <v>5</v>
      </c>
      <c r="I463" t="n">
        <v>1127.39</v>
      </c>
      <c r="J463" t="n">
        <v>5636.95</v>
      </c>
      <c r="K463" s="13" t="n">
        <v>0.09</v>
      </c>
      <c r="L463" t="n">
        <v>507.33</v>
      </c>
      <c r="M463" t="n">
        <v>6144.28</v>
      </c>
      <c r="N463" t="inlineStr">
        <is>
          <t>RON</t>
        </is>
      </c>
      <c r="O463" t="inlineStr">
        <is>
          <t>Cluj-Napoca</t>
        </is>
      </c>
      <c r="P463" s="12" t="n">
        <v>46103</v>
      </c>
      <c r="Q463">
        <f>IF(COUNTIF(tbl_Localitati[oras_oficial],[@oras])=0,"ORAS NEALINIAT",IF(XLOOKUP([@oras],tbl_Localitati[oras_oficial],tbl_Localitati[judet],"?")&lt;&gt;[@judet],"JUDET NECORESPUNZATOR",""))</f>
        <v/>
      </c>
      <c r="R463">
        <f>IF(XLOOKUP([@categorie],tbl_RegulriTVA[categorie],tbl_RegulriTVA[cota_legala],-1)&lt;&gt;[@cota_tva],"TVA GRESIT","")</f>
        <v/>
      </c>
      <c r="S463">
        <f>IF([@data_scadentei]&lt;[@data_factura],"SCADENTA INAINTEA FACTURII","")</f>
        <v/>
      </c>
      <c r="T463">
        <f>IF(NETWORKDAYS.INTL([@data_factura],[@data_factura],1,tbl_SarbatoriLegale[data])=0,"ZI NELUCRATOARE","")</f>
        <v/>
      </c>
      <c r="U463">
        <f>IF([@motiv_anomalie]="","OK","DE INVESTIGAT")</f>
        <v/>
      </c>
      <c r="V463">
        <f>TEXTJOIN("; ",TRUE,[@flag_oras],[@flag_tva],[@flag_scadenta],[@flag_zi])</f>
        <v/>
      </c>
    </row>
    <row r="464">
      <c r="A464" t="inlineStr">
        <is>
          <t>F-2025-00463</t>
        </is>
      </c>
      <c r="B464" s="12" t="n">
        <v>46118</v>
      </c>
      <c r="C464" t="inlineStr">
        <is>
          <t>SC AROMET TRADING SRL</t>
        </is>
      </c>
      <c r="D464" t="inlineStr">
        <is>
          <t>Alba</t>
        </is>
      </c>
      <c r="E464" t="inlineStr">
        <is>
          <t>PRD-005</t>
        </is>
      </c>
      <c r="F464" t="inlineStr">
        <is>
          <t>Server rack 1U</t>
        </is>
      </c>
      <c r="G464" t="inlineStr">
        <is>
          <t>Hardware IT</t>
        </is>
      </c>
      <c r="H464" t="n">
        <v>2</v>
      </c>
      <c r="I464" t="n">
        <v>241.81</v>
      </c>
      <c r="J464" t="n">
        <v>483.62</v>
      </c>
      <c r="K464" s="13" t="n">
        <v>0.19</v>
      </c>
      <c r="L464" t="n">
        <v>91.89</v>
      </c>
      <c r="M464" t="n">
        <v>575.51</v>
      </c>
      <c r="N464" t="inlineStr">
        <is>
          <t>RON</t>
        </is>
      </c>
      <c r="O464" t="inlineStr">
        <is>
          <t>Alba Iulia</t>
        </is>
      </c>
      <c r="P464" s="12" t="n">
        <v>46178</v>
      </c>
      <c r="Q464">
        <f>IF(COUNTIF(tbl_Localitati[oras_oficial],[@oras])=0,"ORAS NEALINIAT",IF(XLOOKUP([@oras],tbl_Localitati[oras_oficial],tbl_Localitati[judet],"?")&lt;&gt;[@judet],"JUDET NECORESPUNZATOR",""))</f>
        <v/>
      </c>
      <c r="R464">
        <f>IF(XLOOKUP([@categorie],tbl_RegulriTVA[categorie],tbl_RegulriTVA[cota_legala],-1)&lt;&gt;[@cota_tva],"TVA GRESIT","")</f>
        <v/>
      </c>
      <c r="S464">
        <f>IF([@data_scadentei]&lt;[@data_factura],"SCADENTA INAINTEA FACTURII","")</f>
        <v/>
      </c>
      <c r="T464">
        <f>IF(NETWORKDAYS.INTL([@data_factura],[@data_factura],1,tbl_SarbatoriLegale[data])=0,"ZI NELUCRATOARE","")</f>
        <v/>
      </c>
      <c r="U464">
        <f>IF([@motiv_anomalie]="","OK","DE INVESTIGAT")</f>
        <v/>
      </c>
      <c r="V464">
        <f>TEXTJOIN("; ",TRUE,[@flag_oras],[@flag_tva],[@flag_scadenta],[@flag_zi])</f>
        <v/>
      </c>
    </row>
    <row r="465">
      <c r="A465" t="inlineStr">
        <is>
          <t>F-2025-00464</t>
        </is>
      </c>
      <c r="B465" s="12" t="n">
        <v>46223</v>
      </c>
      <c r="C465" t="inlineStr">
        <is>
          <t>SC RAPID LOGISTIC SA</t>
        </is>
      </c>
      <c r="D465" t="inlineStr">
        <is>
          <t>Prahova</t>
        </is>
      </c>
      <c r="E465" t="inlineStr">
        <is>
          <t>PRD-005</t>
        </is>
      </c>
      <c r="F465" t="inlineStr">
        <is>
          <t>Tocator documente</t>
        </is>
      </c>
      <c r="G465" t="inlineStr">
        <is>
          <t>Echipamente birou</t>
        </is>
      </c>
      <c r="H465" t="n">
        <v>2</v>
      </c>
      <c r="I465" t="n">
        <v>257.28</v>
      </c>
      <c r="J465" t="n">
        <v>514.5599999999999</v>
      </c>
      <c r="K465" s="13" t="n">
        <v>0.19</v>
      </c>
      <c r="L465" t="n">
        <v>97.77</v>
      </c>
      <c r="M465" t="n">
        <v>612.33</v>
      </c>
      <c r="N465" t="inlineStr">
        <is>
          <t>RON</t>
        </is>
      </c>
      <c r="O465" t="inlineStr">
        <is>
          <t>Ploiești</t>
        </is>
      </c>
      <c r="P465" s="12" t="n">
        <v>46268</v>
      </c>
      <c r="Q465">
        <f>IF(COUNTIF(tbl_Localitati[oras_oficial],[@oras])=0,"ORAS NEALINIAT",IF(XLOOKUP([@oras],tbl_Localitati[oras_oficial],tbl_Localitati[judet],"?")&lt;&gt;[@judet],"JUDET NECORESPUNZATOR",""))</f>
        <v/>
      </c>
      <c r="R465">
        <f>IF(XLOOKUP([@categorie],tbl_RegulriTVA[categorie],tbl_RegulriTVA[cota_legala],-1)&lt;&gt;[@cota_tva],"TVA GRESIT","")</f>
        <v/>
      </c>
      <c r="S465">
        <f>IF([@data_scadentei]&lt;[@data_factura],"SCADENTA INAINTEA FACTURII","")</f>
        <v/>
      </c>
      <c r="T465">
        <f>IF(NETWORKDAYS.INTL([@data_factura],[@data_factura],1,tbl_SarbatoriLegale[data])=0,"ZI NELUCRATOARE","")</f>
        <v/>
      </c>
      <c r="U465">
        <f>IF([@motiv_anomalie]="","OK","DE INVESTIGAT")</f>
        <v/>
      </c>
      <c r="V465">
        <f>TEXTJOIN("; ",TRUE,[@flag_oras],[@flag_tva],[@flag_scadenta],[@flag_zi])</f>
        <v/>
      </c>
    </row>
    <row r="466">
      <c r="A466" t="inlineStr">
        <is>
          <t>F-2025-00465</t>
        </is>
      </c>
      <c r="B466" s="12" t="n">
        <v>46167</v>
      </c>
      <c r="C466" t="inlineStr">
        <is>
          <t>SC OMEGA SOFT SRL</t>
        </is>
      </c>
      <c r="D466" t="inlineStr">
        <is>
          <t>Dolj</t>
        </is>
      </c>
      <c r="E466" t="inlineStr">
        <is>
          <t>PRD-010</t>
        </is>
      </c>
      <c r="F466" t="inlineStr">
        <is>
          <t>Abonament suita cloud</t>
        </is>
      </c>
      <c r="G466" t="inlineStr">
        <is>
          <t>Licențe software</t>
        </is>
      </c>
      <c r="H466" t="n">
        <v>20</v>
      </c>
      <c r="I466" t="n">
        <v>334.81</v>
      </c>
      <c r="J466" t="n">
        <v>6696.2</v>
      </c>
      <c r="K466" s="13" t="n">
        <v>0.19</v>
      </c>
      <c r="L466" t="n">
        <v>1272.28</v>
      </c>
      <c r="M466" t="n">
        <v>7968.48</v>
      </c>
      <c r="N466" t="inlineStr">
        <is>
          <t>RON</t>
        </is>
      </c>
      <c r="O466" t="inlineStr">
        <is>
          <t>Craiova</t>
        </is>
      </c>
      <c r="P466" s="12" t="n">
        <v>46197</v>
      </c>
      <c r="Q466">
        <f>IF(COUNTIF(tbl_Localitati[oras_oficial],[@oras])=0,"ORAS NEALINIAT",IF(XLOOKUP([@oras],tbl_Localitati[oras_oficial],tbl_Localitati[judet],"?")&lt;&gt;[@judet],"JUDET NECORESPUNZATOR",""))</f>
        <v/>
      </c>
      <c r="R466">
        <f>IF(XLOOKUP([@categorie],tbl_RegulriTVA[categorie],tbl_RegulriTVA[cota_legala],-1)&lt;&gt;[@cota_tva],"TVA GRESIT","")</f>
        <v/>
      </c>
      <c r="S466">
        <f>IF([@data_scadentei]&lt;[@data_factura],"SCADENTA INAINTEA FACTURII","")</f>
        <v/>
      </c>
      <c r="T466">
        <f>IF(NETWORKDAYS.INTL([@data_factura],[@data_factura],1,tbl_SarbatoriLegale[data])=0,"ZI NELUCRATOARE","")</f>
        <v/>
      </c>
      <c r="U466">
        <f>IF([@motiv_anomalie]="","OK","DE INVESTIGAT")</f>
        <v/>
      </c>
      <c r="V466">
        <f>TEXTJOIN("; ",TRUE,[@flag_oras],[@flag_tva],[@flag_scadenta],[@flag_zi])</f>
        <v/>
      </c>
    </row>
    <row r="467">
      <c r="A467" t="inlineStr">
        <is>
          <t>F-2025-00466</t>
        </is>
      </c>
      <c r="B467" s="12" t="n">
        <v>46311</v>
      </c>
      <c r="C467" t="inlineStr">
        <is>
          <t>SC AROMET TRADING SRL</t>
        </is>
      </c>
      <c r="D467" t="inlineStr">
        <is>
          <t>Alba</t>
        </is>
      </c>
      <c r="E467" t="inlineStr">
        <is>
          <t>PRD-002</t>
        </is>
      </c>
      <c r="F467" t="inlineStr">
        <is>
          <t>Multifunctionala laser</t>
        </is>
      </c>
      <c r="G467" t="inlineStr">
        <is>
          <t>Echipamente birou</t>
        </is>
      </c>
      <c r="H467" t="n">
        <v>3</v>
      </c>
      <c r="I467" t="n">
        <v>1143.37</v>
      </c>
      <c r="J467" t="n">
        <v>3430.11</v>
      </c>
      <c r="K467" s="13" t="n">
        <v>0.19</v>
      </c>
      <c r="L467" t="n">
        <v>651.72</v>
      </c>
      <c r="M467" t="n">
        <v>4081.83</v>
      </c>
      <c r="N467" t="inlineStr">
        <is>
          <t>RON</t>
        </is>
      </c>
      <c r="O467" t="inlineStr">
        <is>
          <t>Alba Iulia</t>
        </is>
      </c>
      <c r="P467" s="12" t="n">
        <v>46341</v>
      </c>
      <c r="Q467">
        <f>IF(COUNTIF(tbl_Localitati[oras_oficial],[@oras])=0,"ORAS NEALINIAT",IF(XLOOKUP([@oras],tbl_Localitati[oras_oficial],tbl_Localitati[judet],"?")&lt;&gt;[@judet],"JUDET NECORESPUNZATOR",""))</f>
        <v/>
      </c>
      <c r="R467">
        <f>IF(XLOOKUP([@categorie],tbl_RegulriTVA[categorie],tbl_RegulriTVA[cota_legala],-1)&lt;&gt;[@cota_tva],"TVA GRESIT","")</f>
        <v/>
      </c>
      <c r="S467">
        <f>IF([@data_scadentei]&lt;[@data_factura],"SCADENTA INAINTEA FACTURII","")</f>
        <v/>
      </c>
      <c r="T467">
        <f>IF(NETWORKDAYS.INTL([@data_factura],[@data_factura],1,tbl_SarbatoriLegale[data])=0,"ZI NELUCRATOARE","")</f>
        <v/>
      </c>
      <c r="U467">
        <f>IF([@motiv_anomalie]="","OK","DE INVESTIGAT")</f>
        <v/>
      </c>
      <c r="V467">
        <f>TEXTJOIN("; ",TRUE,[@flag_oras],[@flag_tva],[@flag_scadenta],[@flag_zi])</f>
        <v/>
      </c>
    </row>
    <row r="468">
      <c r="A468" t="inlineStr">
        <is>
          <t>F-2025-00467</t>
        </is>
      </c>
      <c r="B468" s="12" t="n">
        <v>46266</v>
      </c>
      <c r="C468" t="inlineStr">
        <is>
          <t>SC ZENITH AUTO SRL</t>
        </is>
      </c>
      <c r="D468" t="inlineStr">
        <is>
          <t>București</t>
        </is>
      </c>
      <c r="E468" t="inlineStr">
        <is>
          <t>PRD-010</t>
        </is>
      </c>
      <c r="F468" t="inlineStr">
        <is>
          <t>Cafea boabe 1kg</t>
        </is>
      </c>
      <c r="G468" t="inlineStr">
        <is>
          <t>Alimente</t>
        </is>
      </c>
      <c r="H468" t="n">
        <v>50</v>
      </c>
      <c r="I468" t="n">
        <v>366.46</v>
      </c>
      <c r="J468" t="n">
        <v>18323</v>
      </c>
      <c r="K468" s="13" t="n">
        <v>0.09</v>
      </c>
      <c r="L468" t="n">
        <v>1649.07</v>
      </c>
      <c r="M468" t="n">
        <v>19972.07</v>
      </c>
      <c r="N468" t="inlineStr">
        <is>
          <t>RON</t>
        </is>
      </c>
      <c r="O468" t="inlineStr">
        <is>
          <t>București</t>
        </is>
      </c>
      <c r="P468" s="12" t="n">
        <v>46296</v>
      </c>
      <c r="Q468">
        <f>IF(COUNTIF(tbl_Localitati[oras_oficial],[@oras])=0,"ORAS NEALINIAT",IF(XLOOKUP([@oras],tbl_Localitati[oras_oficial],tbl_Localitati[judet],"?")&lt;&gt;[@judet],"JUDET NECORESPUNZATOR",""))</f>
        <v/>
      </c>
      <c r="R468">
        <f>IF(XLOOKUP([@categorie],tbl_RegulriTVA[categorie],tbl_RegulriTVA[cota_legala],-1)&lt;&gt;[@cota_tva],"TVA GRESIT","")</f>
        <v/>
      </c>
      <c r="S468">
        <f>IF([@data_scadentei]&lt;[@data_factura],"SCADENTA INAINTEA FACTURII","")</f>
        <v/>
      </c>
      <c r="T468">
        <f>IF(NETWORKDAYS.INTL([@data_factura],[@data_factura],1,tbl_SarbatoriLegale[data])=0,"ZI NELUCRATOARE","")</f>
        <v/>
      </c>
      <c r="U468">
        <f>IF([@motiv_anomalie]="","OK","DE INVESTIGAT")</f>
        <v/>
      </c>
      <c r="V468">
        <f>TEXTJOIN("; ",TRUE,[@flag_oras],[@flag_tva],[@flag_scadenta],[@flag_zi])</f>
        <v/>
      </c>
    </row>
    <row r="469">
      <c r="A469" t="inlineStr">
        <is>
          <t>F-2025-00468</t>
        </is>
      </c>
      <c r="B469" s="12" t="n">
        <v>46063</v>
      </c>
      <c r="C469" t="inlineStr">
        <is>
          <t>SC AROMET TRADING SRL</t>
        </is>
      </c>
      <c r="D469" t="inlineStr">
        <is>
          <t>Alba</t>
        </is>
      </c>
      <c r="E469" t="inlineStr">
        <is>
          <t>PRD-006</t>
        </is>
      </c>
      <c r="F469" t="inlineStr">
        <is>
          <t>Abonament suita cloud</t>
        </is>
      </c>
      <c r="G469" t="inlineStr">
        <is>
          <t>Licențe software</t>
        </is>
      </c>
      <c r="H469" t="n">
        <v>5</v>
      </c>
      <c r="I469" t="n">
        <v>718.34</v>
      </c>
      <c r="J469" t="n">
        <v>3591.7</v>
      </c>
      <c r="K469" s="13" t="n">
        <v>0.19</v>
      </c>
      <c r="L469" t="n">
        <v>682.42</v>
      </c>
      <c r="M469" t="n">
        <v>4274.12</v>
      </c>
      <c r="N469" t="inlineStr">
        <is>
          <t>RON</t>
        </is>
      </c>
      <c r="O469" t="inlineStr">
        <is>
          <t>Alba Iulia</t>
        </is>
      </c>
      <c r="P469" s="12" t="n">
        <v>46108</v>
      </c>
      <c r="Q469">
        <f>IF(COUNTIF(tbl_Localitati[oras_oficial],[@oras])=0,"ORAS NEALINIAT",IF(XLOOKUP([@oras],tbl_Localitati[oras_oficial],tbl_Localitati[judet],"?")&lt;&gt;[@judet],"JUDET NECORESPUNZATOR",""))</f>
        <v/>
      </c>
      <c r="R469">
        <f>IF(XLOOKUP([@categorie],tbl_RegulriTVA[categorie],tbl_RegulriTVA[cota_legala],-1)&lt;&gt;[@cota_tva],"TVA GRESIT","")</f>
        <v/>
      </c>
      <c r="S469">
        <f>IF([@data_scadentei]&lt;[@data_factura],"SCADENTA INAINTEA FACTURII","")</f>
        <v/>
      </c>
      <c r="T469">
        <f>IF(NETWORKDAYS.INTL([@data_factura],[@data_factura],1,tbl_SarbatoriLegale[data])=0,"ZI NELUCRATOARE","")</f>
        <v/>
      </c>
      <c r="U469">
        <f>IF([@motiv_anomalie]="","OK","DE INVESTIGAT")</f>
        <v/>
      </c>
      <c r="V469">
        <f>TEXTJOIN("; ",TRUE,[@flag_oras],[@flag_tva],[@flag_scadenta],[@flag_zi])</f>
        <v/>
      </c>
    </row>
    <row r="470">
      <c r="A470" t="inlineStr">
        <is>
          <t>F-2025-00469</t>
        </is>
      </c>
      <c r="B470" s="12" t="n">
        <v>46119</v>
      </c>
      <c r="C470" t="inlineStr">
        <is>
          <t>SC RAPID LOGISTIC SA</t>
        </is>
      </c>
      <c r="D470" t="inlineStr">
        <is>
          <t>Prahova</t>
        </is>
      </c>
      <c r="E470" t="inlineStr">
        <is>
          <t>PRD-003</t>
        </is>
      </c>
      <c r="F470" t="inlineStr">
        <is>
          <t>Licenta antivirus enterprise</t>
        </is>
      </c>
      <c r="G470" t="inlineStr">
        <is>
          <t>Licențe software</t>
        </is>
      </c>
      <c r="H470" t="n">
        <v>10</v>
      </c>
      <c r="I470" t="n">
        <v>4356.72</v>
      </c>
      <c r="J470" t="n">
        <v>43567.2</v>
      </c>
      <c r="K470" s="13" t="n">
        <v>0.19</v>
      </c>
      <c r="L470" t="n">
        <v>8277.77</v>
      </c>
      <c r="M470" t="n">
        <v>51844.97</v>
      </c>
      <c r="N470" t="inlineStr">
        <is>
          <t>RON</t>
        </is>
      </c>
      <c r="O470" t="inlineStr">
        <is>
          <t>Ploiești</t>
        </is>
      </c>
      <c r="P470" s="12" t="n">
        <v>46179</v>
      </c>
      <c r="Q470">
        <f>IF(COUNTIF(tbl_Localitati[oras_oficial],[@oras])=0,"ORAS NEALINIAT",IF(XLOOKUP([@oras],tbl_Localitati[oras_oficial],tbl_Localitati[judet],"?")&lt;&gt;[@judet],"JUDET NECORESPUNZATOR",""))</f>
        <v/>
      </c>
      <c r="R470">
        <f>IF(XLOOKUP([@categorie],tbl_RegulriTVA[categorie],tbl_RegulriTVA[cota_legala],-1)&lt;&gt;[@cota_tva],"TVA GRESIT","")</f>
        <v/>
      </c>
      <c r="S470">
        <f>IF([@data_scadentei]&lt;[@data_factura],"SCADENTA INAINTEA FACTURII","")</f>
        <v/>
      </c>
      <c r="T470">
        <f>IF(NETWORKDAYS.INTL([@data_factura],[@data_factura],1,tbl_SarbatoriLegale[data])=0,"ZI NELUCRATOARE","")</f>
        <v/>
      </c>
      <c r="U470">
        <f>IF([@motiv_anomalie]="","OK","DE INVESTIGAT")</f>
        <v/>
      </c>
      <c r="V470">
        <f>TEXTJOIN("; ",TRUE,[@flag_oras],[@flag_tva],[@flag_scadenta],[@flag_zi])</f>
        <v/>
      </c>
    </row>
    <row r="471">
      <c r="A471" t="inlineStr">
        <is>
          <t>F-2025-00470</t>
        </is>
      </c>
      <c r="B471" s="12" t="n">
        <v>46057</v>
      </c>
      <c r="C471" t="inlineStr">
        <is>
          <t>SC NORDIS DISTRIBUTIE SRL</t>
        </is>
      </c>
      <c r="D471" t="inlineStr">
        <is>
          <t>Constanța</t>
        </is>
      </c>
      <c r="E471" t="inlineStr">
        <is>
          <t>PRD-010</t>
        </is>
      </c>
      <c r="F471" t="inlineStr">
        <is>
          <t>Licenta antivirus enterprise</t>
        </is>
      </c>
      <c r="G471" t="inlineStr">
        <is>
          <t>Licențe software</t>
        </is>
      </c>
      <c r="H471" t="n">
        <v>10</v>
      </c>
      <c r="I471" t="n">
        <v>336.65</v>
      </c>
      <c r="J471" t="n">
        <v>3366.5</v>
      </c>
      <c r="K471" s="13" t="n">
        <v>0.19</v>
      </c>
      <c r="L471" t="n">
        <v>639.63</v>
      </c>
      <c r="M471" t="n">
        <v>4006.13</v>
      </c>
      <c r="N471" t="inlineStr">
        <is>
          <t>RON</t>
        </is>
      </c>
      <c r="O471" t="inlineStr">
        <is>
          <t>Mangalia</t>
        </is>
      </c>
      <c r="P471" s="12" t="n">
        <v>46102</v>
      </c>
      <c r="Q471">
        <f>IF(COUNTIF(tbl_Localitati[oras_oficial],[@oras])=0,"ORAS NEALINIAT",IF(XLOOKUP([@oras],tbl_Localitati[oras_oficial],tbl_Localitati[judet],"?")&lt;&gt;[@judet],"JUDET NECORESPUNZATOR",""))</f>
        <v/>
      </c>
      <c r="R471">
        <f>IF(XLOOKUP([@categorie],tbl_RegulriTVA[categorie],tbl_RegulriTVA[cota_legala],-1)&lt;&gt;[@cota_tva],"TVA GRESIT","")</f>
        <v/>
      </c>
      <c r="S471">
        <f>IF([@data_scadentei]&lt;[@data_factura],"SCADENTA INAINTEA FACTURII","")</f>
        <v/>
      </c>
      <c r="T471">
        <f>IF(NETWORKDAYS.INTL([@data_factura],[@data_factura],1,tbl_SarbatoriLegale[data])=0,"ZI NELUCRATOARE","")</f>
        <v/>
      </c>
      <c r="U471">
        <f>IF([@motiv_anomalie]="","OK","DE INVESTIGAT")</f>
        <v/>
      </c>
      <c r="V471">
        <f>TEXTJOIN("; ",TRUE,[@flag_oras],[@flag_tva],[@flag_scadenta],[@flag_zi])</f>
        <v/>
      </c>
    </row>
    <row r="472">
      <c r="A472" t="inlineStr">
        <is>
          <t>F-2025-00471</t>
        </is>
      </c>
      <c r="B472" s="12" t="n">
        <v>46142</v>
      </c>
      <c r="C472" t="inlineStr">
        <is>
          <t>SC AROMET TRADING SRL</t>
        </is>
      </c>
      <c r="D472" t="inlineStr">
        <is>
          <t>Alba</t>
        </is>
      </c>
      <c r="E472" t="inlineStr">
        <is>
          <t>PRD-001</t>
        </is>
      </c>
      <c r="F472" t="inlineStr">
        <is>
          <t>Abonament suita cloud</t>
        </is>
      </c>
      <c r="G472" t="inlineStr">
        <is>
          <t>Licențe software</t>
        </is>
      </c>
      <c r="H472" t="n">
        <v>1</v>
      </c>
      <c r="I472" t="n">
        <v>2327.68</v>
      </c>
      <c r="J472" t="n">
        <v>2327.68</v>
      </c>
      <c r="K472" s="13" t="n">
        <v>0.19</v>
      </c>
      <c r="L472" t="n">
        <v>442.26</v>
      </c>
      <c r="M472" t="n">
        <v>2769.94</v>
      </c>
      <c r="N472" t="inlineStr">
        <is>
          <t>RON</t>
        </is>
      </c>
      <c r="O472" t="inlineStr">
        <is>
          <t>Alba Iulia</t>
        </is>
      </c>
      <c r="P472" s="12" t="n">
        <v>46202</v>
      </c>
      <c r="Q472">
        <f>IF(COUNTIF(tbl_Localitati[oras_oficial],[@oras])=0,"ORAS NEALINIAT",IF(XLOOKUP([@oras],tbl_Localitati[oras_oficial],tbl_Localitati[judet],"?")&lt;&gt;[@judet],"JUDET NECORESPUNZATOR",""))</f>
        <v/>
      </c>
      <c r="R472">
        <f>IF(XLOOKUP([@categorie],tbl_RegulriTVA[categorie],tbl_RegulriTVA[cota_legala],-1)&lt;&gt;[@cota_tva],"TVA GRESIT","")</f>
        <v/>
      </c>
      <c r="S472">
        <f>IF([@data_scadentei]&lt;[@data_factura],"SCADENTA INAINTEA FACTURII","")</f>
        <v/>
      </c>
      <c r="T472">
        <f>IF(NETWORKDAYS.INTL([@data_factura],[@data_factura],1,tbl_SarbatoriLegale[data])=0,"ZI NELUCRATOARE","")</f>
        <v/>
      </c>
      <c r="U472">
        <f>IF([@motiv_anomalie]="","OK","DE INVESTIGAT")</f>
        <v/>
      </c>
      <c r="V472">
        <f>TEXTJOIN("; ",TRUE,[@flag_oras],[@flag_tva],[@flag_scadenta],[@flag_zi])</f>
        <v/>
      </c>
    </row>
    <row r="473">
      <c r="A473" t="inlineStr">
        <is>
          <t>F-2025-00472</t>
        </is>
      </c>
      <c r="B473" s="12" t="n">
        <v>46247</v>
      </c>
      <c r="C473" t="inlineStr">
        <is>
          <t>SC DACTECH SOLUTIONS SRL</t>
        </is>
      </c>
      <c r="D473" t="inlineStr">
        <is>
          <t>Argeș</t>
        </is>
      </c>
      <c r="E473" t="inlineStr">
        <is>
          <t>PRD-009</t>
        </is>
      </c>
      <c r="F473" t="inlineStr">
        <is>
          <t>Laptop business 15"</t>
        </is>
      </c>
      <c r="G473" t="inlineStr">
        <is>
          <t>Hardware IT</t>
        </is>
      </c>
      <c r="H473" t="n">
        <v>10</v>
      </c>
      <c r="I473" t="n">
        <v>27.56</v>
      </c>
      <c r="J473" t="n">
        <v>275.6</v>
      </c>
      <c r="K473" s="13" t="n">
        <v>0.19</v>
      </c>
      <c r="L473" t="n">
        <v>52.36</v>
      </c>
      <c r="M473" t="n">
        <v>327.96</v>
      </c>
      <c r="N473" t="inlineStr">
        <is>
          <t>RON</t>
        </is>
      </c>
      <c r="O473" t="inlineStr">
        <is>
          <t>Pitești</t>
        </is>
      </c>
      <c r="P473" s="12" t="n">
        <v>46307</v>
      </c>
      <c r="Q473">
        <f>IF(COUNTIF(tbl_Localitati[oras_oficial],[@oras])=0,"ORAS NEALINIAT",IF(XLOOKUP([@oras],tbl_Localitati[oras_oficial],tbl_Localitati[judet],"?")&lt;&gt;[@judet],"JUDET NECORESPUNZATOR",""))</f>
        <v/>
      </c>
      <c r="R473">
        <f>IF(XLOOKUP([@categorie],tbl_RegulriTVA[categorie],tbl_RegulriTVA[cota_legala],-1)&lt;&gt;[@cota_tva],"TVA GRESIT","")</f>
        <v/>
      </c>
      <c r="S473">
        <f>IF([@data_scadentei]&lt;[@data_factura],"SCADENTA INAINTEA FACTURII","")</f>
        <v/>
      </c>
      <c r="T473">
        <f>IF(NETWORKDAYS.INTL([@data_factura],[@data_factura],1,tbl_SarbatoriLegale[data])=0,"ZI NELUCRATOARE","")</f>
        <v/>
      </c>
      <c r="U473">
        <f>IF([@motiv_anomalie]="","OK","DE INVESTIGAT")</f>
        <v/>
      </c>
      <c r="V473">
        <f>TEXTJOIN("; ",TRUE,[@flag_oras],[@flag_tva],[@flag_scadenta],[@flag_zi])</f>
        <v/>
      </c>
    </row>
    <row r="474">
      <c r="A474" t="inlineStr">
        <is>
          <t>F-2025-00473</t>
        </is>
      </c>
      <c r="B474" s="12" t="n">
        <v>46234</v>
      </c>
      <c r="C474" t="inlineStr">
        <is>
          <t>SC AROMET TRADING SRL</t>
        </is>
      </c>
      <c r="D474" t="inlineStr">
        <is>
          <t>Alba</t>
        </is>
      </c>
      <c r="E474" t="inlineStr">
        <is>
          <t>PRD-008</t>
        </is>
      </c>
      <c r="F474" t="inlineStr">
        <is>
          <t>Licenta ERP contabilitate</t>
        </is>
      </c>
      <c r="G474" t="inlineStr">
        <is>
          <t>Licențe software</t>
        </is>
      </c>
      <c r="H474" t="n">
        <v>1</v>
      </c>
      <c r="I474" t="n">
        <v>443.06</v>
      </c>
      <c r="J474" t="n">
        <v>443.06</v>
      </c>
      <c r="K474" s="13" t="n">
        <v>0.19</v>
      </c>
      <c r="L474" t="n">
        <v>84.18000000000001</v>
      </c>
      <c r="M474" t="n">
        <v>527.24</v>
      </c>
      <c r="N474" t="inlineStr">
        <is>
          <t>RON</t>
        </is>
      </c>
      <c r="O474" t="inlineStr">
        <is>
          <t>Alba Iulia</t>
        </is>
      </c>
      <c r="P474" s="12" t="n">
        <v>46264</v>
      </c>
      <c r="Q474">
        <f>IF(COUNTIF(tbl_Localitati[oras_oficial],[@oras])=0,"ORAS NEALINIAT",IF(XLOOKUP([@oras],tbl_Localitati[oras_oficial],tbl_Localitati[judet],"?")&lt;&gt;[@judet],"JUDET NECORESPUNZATOR",""))</f>
        <v/>
      </c>
      <c r="R474">
        <f>IF(XLOOKUP([@categorie],tbl_RegulriTVA[categorie],tbl_RegulriTVA[cota_legala],-1)&lt;&gt;[@cota_tva],"TVA GRESIT","")</f>
        <v/>
      </c>
      <c r="S474">
        <f>IF([@data_scadentei]&lt;[@data_factura],"SCADENTA INAINTEA FACTURII","")</f>
        <v/>
      </c>
      <c r="T474">
        <f>IF(NETWORKDAYS.INTL([@data_factura],[@data_factura],1,tbl_SarbatoriLegale[data])=0,"ZI NELUCRATOARE","")</f>
        <v/>
      </c>
      <c r="U474">
        <f>IF([@motiv_anomalie]="","OK","DE INVESTIGAT")</f>
        <v/>
      </c>
      <c r="V474">
        <f>TEXTJOIN("; ",TRUE,[@flag_oras],[@flag_tva],[@flag_scadenta],[@flag_zi])</f>
        <v/>
      </c>
    </row>
    <row r="475">
      <c r="A475" t="inlineStr">
        <is>
          <t>F-2025-00474</t>
        </is>
      </c>
      <c r="B475" s="12" t="n">
        <v>46274</v>
      </c>
      <c r="C475" t="inlineStr">
        <is>
          <t>SC AROMET TRADING SRL</t>
        </is>
      </c>
      <c r="D475" t="inlineStr">
        <is>
          <t>Alba</t>
        </is>
      </c>
      <c r="E475" t="inlineStr">
        <is>
          <t>PRD-010</t>
        </is>
      </c>
      <c r="F475" t="inlineStr">
        <is>
          <t>Switch gigabit 24p</t>
        </is>
      </c>
      <c r="G475" t="inlineStr">
        <is>
          <t>Hardware IT</t>
        </is>
      </c>
      <c r="H475" t="n">
        <v>10</v>
      </c>
      <c r="I475" t="n">
        <v>357.4</v>
      </c>
      <c r="J475" t="n">
        <v>3574</v>
      </c>
      <c r="K475" s="13" t="n">
        <v>0.19</v>
      </c>
      <c r="L475" t="n">
        <v>679.0599999999999</v>
      </c>
      <c r="M475" t="n">
        <v>4253.06</v>
      </c>
      <c r="N475" t="inlineStr">
        <is>
          <t>RON</t>
        </is>
      </c>
      <c r="O475" t="inlineStr">
        <is>
          <t>Alba Iulia</t>
        </is>
      </c>
      <c r="P475" s="12" t="n">
        <v>46334</v>
      </c>
      <c r="Q475">
        <f>IF(COUNTIF(tbl_Localitati[oras_oficial],[@oras])=0,"ORAS NEALINIAT",IF(XLOOKUP([@oras],tbl_Localitati[oras_oficial],tbl_Localitati[judet],"?")&lt;&gt;[@judet],"JUDET NECORESPUNZATOR",""))</f>
        <v/>
      </c>
      <c r="R475">
        <f>IF(XLOOKUP([@categorie],tbl_RegulriTVA[categorie],tbl_RegulriTVA[cota_legala],-1)&lt;&gt;[@cota_tva],"TVA GRESIT","")</f>
        <v/>
      </c>
      <c r="S475">
        <f>IF([@data_scadentei]&lt;[@data_factura],"SCADENTA INAINTEA FACTURII","")</f>
        <v/>
      </c>
      <c r="T475">
        <f>IF(NETWORKDAYS.INTL([@data_factura],[@data_factura],1,tbl_SarbatoriLegale[data])=0,"ZI NELUCRATOARE","")</f>
        <v/>
      </c>
      <c r="U475">
        <f>IF([@motiv_anomalie]="","OK","DE INVESTIGAT")</f>
        <v/>
      </c>
      <c r="V475">
        <f>TEXTJOIN("; ",TRUE,[@flag_oras],[@flag_tva],[@flag_scadenta],[@flag_zi])</f>
        <v/>
      </c>
    </row>
    <row r="476">
      <c r="A476" t="inlineStr">
        <is>
          <t>F-2025-00475</t>
        </is>
      </c>
      <c r="B476" s="12" t="n">
        <v>46266</v>
      </c>
      <c r="C476" t="inlineStr">
        <is>
          <t>SC UNIFOOD DISTRIBUTION SA</t>
        </is>
      </c>
      <c r="D476" t="inlineStr">
        <is>
          <t>Sibiu</t>
        </is>
      </c>
      <c r="E476" t="inlineStr">
        <is>
          <t>PRD-001</t>
        </is>
      </c>
      <c r="F476" t="inlineStr">
        <is>
          <t>Server rack 1U</t>
        </is>
      </c>
      <c r="G476" t="inlineStr">
        <is>
          <t>Hardware IT</t>
        </is>
      </c>
      <c r="H476" t="n">
        <v>3</v>
      </c>
      <c r="I476" t="n">
        <v>2433.38</v>
      </c>
      <c r="J476" t="n">
        <v>7300.14</v>
      </c>
      <c r="K476" s="13" t="n">
        <v>0.19</v>
      </c>
      <c r="L476" t="n">
        <v>1387.03</v>
      </c>
      <c r="M476" t="n">
        <v>8687.17</v>
      </c>
      <c r="N476" t="inlineStr">
        <is>
          <t>RON</t>
        </is>
      </c>
      <c r="O476" t="inlineStr">
        <is>
          <t>Mediaș</t>
        </is>
      </c>
      <c r="P476" s="12" t="n">
        <v>46326</v>
      </c>
      <c r="Q476">
        <f>IF(COUNTIF(tbl_Localitati[oras_oficial],[@oras])=0,"ORAS NEALINIAT",IF(XLOOKUP([@oras],tbl_Localitati[oras_oficial],tbl_Localitati[judet],"?")&lt;&gt;[@judet],"JUDET NECORESPUNZATOR",""))</f>
        <v/>
      </c>
      <c r="R476">
        <f>IF(XLOOKUP([@categorie],tbl_RegulriTVA[categorie],tbl_RegulriTVA[cota_legala],-1)&lt;&gt;[@cota_tva],"TVA GRESIT","")</f>
        <v/>
      </c>
      <c r="S476">
        <f>IF([@data_scadentei]&lt;[@data_factura],"SCADENTA INAINTEA FACTURII","")</f>
        <v/>
      </c>
      <c r="T476">
        <f>IF(NETWORKDAYS.INTL([@data_factura],[@data_factura],1,tbl_SarbatoriLegale[data])=0,"ZI NELUCRATOARE","")</f>
        <v/>
      </c>
      <c r="U476">
        <f>IF([@motiv_anomalie]="","OK","DE INVESTIGAT")</f>
        <v/>
      </c>
      <c r="V476">
        <f>TEXTJOIN("; ",TRUE,[@flag_oras],[@flag_tva],[@flag_scadenta],[@flag_zi])</f>
        <v/>
      </c>
    </row>
    <row r="477">
      <c r="A477" t="inlineStr">
        <is>
          <t>F-2025-00476</t>
        </is>
      </c>
      <c r="B477" s="12" t="n">
        <v>46162</v>
      </c>
      <c r="C477" t="inlineStr">
        <is>
          <t>SC DACTECH SOLUTIONS SRL</t>
        </is>
      </c>
      <c r="D477" t="inlineStr">
        <is>
          <t>Argeș</t>
        </is>
      </c>
      <c r="E477" t="inlineStr">
        <is>
          <t>PRD-001</t>
        </is>
      </c>
      <c r="F477" t="inlineStr">
        <is>
          <t>Videoproiector sala</t>
        </is>
      </c>
      <c r="G477" t="inlineStr">
        <is>
          <t>Echipamente birou</t>
        </is>
      </c>
      <c r="H477" t="n">
        <v>5</v>
      </c>
      <c r="I477" t="n">
        <v>2354</v>
      </c>
      <c r="J477" t="n">
        <v>11770</v>
      </c>
      <c r="K477" s="13" t="n">
        <v>0.19</v>
      </c>
      <c r="L477" t="n">
        <v>2236.3</v>
      </c>
      <c r="M477" t="n">
        <v>14006.3</v>
      </c>
      <c r="N477" t="inlineStr">
        <is>
          <t>RON</t>
        </is>
      </c>
      <c r="O477" t="inlineStr">
        <is>
          <t>Pitești</t>
        </is>
      </c>
      <c r="P477" s="12" t="n">
        <v>46177</v>
      </c>
      <c r="Q477">
        <f>IF(COUNTIF(tbl_Localitati[oras_oficial],[@oras])=0,"ORAS NEALINIAT",IF(XLOOKUP([@oras],tbl_Localitati[oras_oficial],tbl_Localitati[judet],"?")&lt;&gt;[@judet],"JUDET NECORESPUNZATOR",""))</f>
        <v/>
      </c>
      <c r="R477">
        <f>IF(XLOOKUP([@categorie],tbl_RegulriTVA[categorie],tbl_RegulriTVA[cota_legala],-1)&lt;&gt;[@cota_tva],"TVA GRESIT","")</f>
        <v/>
      </c>
      <c r="S477">
        <f>IF([@data_scadentei]&lt;[@data_factura],"SCADENTA INAINTEA FACTURII","")</f>
        <v/>
      </c>
      <c r="T477">
        <f>IF(NETWORKDAYS.INTL([@data_factura],[@data_factura],1,tbl_SarbatoriLegale[data])=0,"ZI NELUCRATOARE","")</f>
        <v/>
      </c>
      <c r="U477">
        <f>IF([@motiv_anomalie]="","OK","DE INVESTIGAT")</f>
        <v/>
      </c>
      <c r="V477">
        <f>TEXTJOIN("; ",TRUE,[@flag_oras],[@flag_tva],[@flag_scadenta],[@flag_zi])</f>
        <v/>
      </c>
    </row>
    <row r="478">
      <c r="A478" t="inlineStr">
        <is>
          <t>F-2025-00477</t>
        </is>
      </c>
      <c r="B478" s="12" t="n">
        <v>46093</v>
      </c>
      <c r="C478" t="inlineStr">
        <is>
          <t>SC DACTECH SOLUTIONS SRL</t>
        </is>
      </c>
      <c r="D478" t="inlineStr">
        <is>
          <t>Argeș</t>
        </is>
      </c>
      <c r="E478" t="inlineStr">
        <is>
          <t>PRD-012</t>
        </is>
      </c>
      <c r="F478" t="inlineStr">
        <is>
          <t>Licenta ERP contabilitate</t>
        </is>
      </c>
      <c r="G478" t="inlineStr">
        <is>
          <t>Licențe software</t>
        </is>
      </c>
      <c r="H478" t="n">
        <v>1</v>
      </c>
      <c r="I478" t="n">
        <v>179.36</v>
      </c>
      <c r="J478" t="n">
        <v>179.36</v>
      </c>
      <c r="K478" s="13" t="n">
        <v>0.19</v>
      </c>
      <c r="L478" t="n">
        <v>34.08</v>
      </c>
      <c r="M478" t="n">
        <v>213.44</v>
      </c>
      <c r="N478" t="inlineStr">
        <is>
          <t>RON</t>
        </is>
      </c>
      <c r="O478" t="inlineStr">
        <is>
          <t>Pitești</t>
        </is>
      </c>
      <c r="P478" s="12" t="n">
        <v>46123</v>
      </c>
      <c r="Q478">
        <f>IF(COUNTIF(tbl_Localitati[oras_oficial],[@oras])=0,"ORAS NEALINIAT",IF(XLOOKUP([@oras],tbl_Localitati[oras_oficial],tbl_Localitati[judet],"?")&lt;&gt;[@judet],"JUDET NECORESPUNZATOR",""))</f>
        <v/>
      </c>
      <c r="R478">
        <f>IF(XLOOKUP([@categorie],tbl_RegulriTVA[categorie],tbl_RegulriTVA[cota_legala],-1)&lt;&gt;[@cota_tva],"TVA GRESIT","")</f>
        <v/>
      </c>
      <c r="S478">
        <f>IF([@data_scadentei]&lt;[@data_factura],"SCADENTA INAINTEA FACTURII","")</f>
        <v/>
      </c>
      <c r="T478">
        <f>IF(NETWORKDAYS.INTL([@data_factura],[@data_factura],1,tbl_SarbatoriLegale[data])=0,"ZI NELUCRATOARE","")</f>
        <v/>
      </c>
      <c r="U478">
        <f>IF([@motiv_anomalie]="","OK","DE INVESTIGAT")</f>
        <v/>
      </c>
      <c r="V478">
        <f>TEXTJOIN("; ",TRUE,[@flag_oras],[@flag_tva],[@flag_scadenta],[@flag_zi])</f>
        <v/>
      </c>
    </row>
    <row r="479">
      <c r="A479" t="inlineStr">
        <is>
          <t>F-2025-00478</t>
        </is>
      </c>
      <c r="B479" s="12" t="n">
        <v>46209</v>
      </c>
      <c r="C479" t="inlineStr">
        <is>
          <t>SC DACTECH SOLUTIONS SRL</t>
        </is>
      </c>
      <c r="D479" t="inlineStr">
        <is>
          <t>Argeș</t>
        </is>
      </c>
      <c r="E479" t="inlineStr">
        <is>
          <t>PRD-006</t>
        </is>
      </c>
      <c r="F479" t="inlineStr">
        <is>
          <t>Carte tehnica IT</t>
        </is>
      </c>
      <c r="G479" t="inlineStr">
        <is>
          <t>Cărți și manuale</t>
        </is>
      </c>
      <c r="H479" t="n">
        <v>1</v>
      </c>
      <c r="I479" t="n">
        <v>762.86</v>
      </c>
      <c r="J479" t="n">
        <v>762.86</v>
      </c>
      <c r="K479" s="13" t="n">
        <v>0.05</v>
      </c>
      <c r="L479" t="n">
        <v>38.14</v>
      </c>
      <c r="M479" t="n">
        <v>801</v>
      </c>
      <c r="N479" t="inlineStr">
        <is>
          <t>RON</t>
        </is>
      </c>
      <c r="O479" t="inlineStr">
        <is>
          <t>Pitești</t>
        </is>
      </c>
      <c r="P479" s="12" t="n">
        <v>46239</v>
      </c>
      <c r="Q479">
        <f>IF(COUNTIF(tbl_Localitati[oras_oficial],[@oras])=0,"ORAS NEALINIAT",IF(XLOOKUP([@oras],tbl_Localitati[oras_oficial],tbl_Localitati[judet],"?")&lt;&gt;[@judet],"JUDET NECORESPUNZATOR",""))</f>
        <v/>
      </c>
      <c r="R479">
        <f>IF(XLOOKUP([@categorie],tbl_RegulriTVA[categorie],tbl_RegulriTVA[cota_legala],-1)&lt;&gt;[@cota_tva],"TVA GRESIT","")</f>
        <v/>
      </c>
      <c r="S479">
        <f>IF([@data_scadentei]&lt;[@data_factura],"SCADENTA INAINTEA FACTURII","")</f>
        <v/>
      </c>
      <c r="T479">
        <f>IF(NETWORKDAYS.INTL([@data_factura],[@data_factura],1,tbl_SarbatoriLegale[data])=0,"ZI NELUCRATOARE","")</f>
        <v/>
      </c>
      <c r="U479">
        <f>IF([@motiv_anomalie]="","OK","DE INVESTIGAT")</f>
        <v/>
      </c>
      <c r="V479">
        <f>TEXTJOIN("; ",TRUE,[@flag_oras],[@flag_tva],[@flag_scadenta],[@flag_zi])</f>
        <v/>
      </c>
    </row>
    <row r="480">
      <c r="A480" t="inlineStr">
        <is>
          <t>F-2025-00479</t>
        </is>
      </c>
      <c r="B480" s="12" t="n">
        <v>46084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 IT</t>
        </is>
      </c>
      <c r="H480" t="n">
        <v>3</v>
      </c>
      <c r="I480" t="n">
        <v>1090.28</v>
      </c>
      <c r="J480" t="n">
        <v>3270.84</v>
      </c>
      <c r="K480" s="13" t="n">
        <v>0.19</v>
      </c>
      <c r="L480" t="n">
        <v>621.46</v>
      </c>
      <c r="M480" t="n">
        <v>3892.3</v>
      </c>
      <c r="N480" t="inlineStr">
        <is>
          <t>RON</t>
        </is>
      </c>
      <c r="O480" t="inlineStr">
        <is>
          <t>Sibiu</t>
        </is>
      </c>
      <c r="P480" s="12" t="n">
        <v>46099</v>
      </c>
      <c r="Q480">
        <f>IF(COUNTIF(tbl_Localitati[oras_oficial],[@oras])=0,"ORAS NEALINIAT",IF(XLOOKUP([@oras],tbl_Localitati[oras_oficial],tbl_Localitati[judet],"?")&lt;&gt;[@judet],"JUDET NECORESPUNZATOR",""))</f>
        <v/>
      </c>
      <c r="R480">
        <f>IF(XLOOKUP([@categorie],tbl_RegulriTVA[categorie],tbl_RegulriTVA[cota_legala],-1)&lt;&gt;[@cota_tva],"TVA GRESIT","")</f>
        <v/>
      </c>
      <c r="S480">
        <f>IF([@data_scadentei]&lt;[@data_factura],"SCADENTA INAINTEA FACTURII","")</f>
        <v/>
      </c>
      <c r="T480">
        <f>IF(NETWORKDAYS.INTL([@data_factura],[@data_factura],1,tbl_SarbatoriLegale[data])=0,"ZI NELUCRATOARE","")</f>
        <v/>
      </c>
      <c r="U480">
        <f>IF([@motiv_anomalie]="","OK","DE INVESTIGAT")</f>
        <v/>
      </c>
      <c r="V480">
        <f>TEXTJOIN("; ",TRUE,[@flag_oras],[@flag_tva],[@flag_scadenta],[@flag_zi])</f>
        <v/>
      </c>
    </row>
    <row r="481">
      <c r="A481" t="inlineStr">
        <is>
          <t>F-2025-00480</t>
        </is>
      </c>
      <c r="B481" s="12" t="n">
        <v>46216</v>
      </c>
      <c r="C481" t="inlineStr">
        <is>
          <t>SC INTEGROMED SA</t>
        </is>
      </c>
      <c r="D481" t="inlineStr">
        <is>
          <t>Cluj</t>
        </is>
      </c>
      <c r="E481" t="inlineStr">
        <is>
          <t>PRD-002</t>
        </is>
      </c>
      <c r="F481" t="inlineStr">
        <is>
          <t>Switch gigabit 24p</t>
        </is>
      </c>
      <c r="G481" t="inlineStr">
        <is>
          <t>Hardware IT</t>
        </is>
      </c>
      <c r="H481" t="n">
        <v>2</v>
      </c>
      <c r="I481" t="n">
        <v>1114.06</v>
      </c>
      <c r="J481" t="n">
        <v>2228.12</v>
      </c>
      <c r="K481" s="13" t="n">
        <v>0.19</v>
      </c>
      <c r="L481" t="n">
        <v>423.34</v>
      </c>
      <c r="M481" t="n">
        <v>2651.46</v>
      </c>
      <c r="N481" t="inlineStr">
        <is>
          <t>RON</t>
        </is>
      </c>
      <c r="O481" t="inlineStr">
        <is>
          <t>Cluj-Napoca</t>
        </is>
      </c>
      <c r="P481" s="12" t="n">
        <v>46261</v>
      </c>
      <c r="Q481">
        <f>IF(COUNTIF(tbl_Localitati[oras_oficial],[@oras])=0,"ORAS NEALINIAT",IF(XLOOKUP([@oras],tbl_Localitati[oras_oficial],tbl_Localitati[judet],"?")&lt;&gt;[@judet],"JUDET NECORESPUNZATOR",""))</f>
        <v/>
      </c>
      <c r="R481">
        <f>IF(XLOOKUP([@categorie],tbl_RegulriTVA[categorie],tbl_RegulriTVA[cota_legala],-1)&lt;&gt;[@cota_tva],"TVA GRESIT","")</f>
        <v/>
      </c>
      <c r="S481">
        <f>IF([@data_scadentei]&lt;[@data_factura],"SCADENTA INAINTEA FACTURII","")</f>
        <v/>
      </c>
      <c r="T481">
        <f>IF(NETWORKDAYS.INTL([@data_factura],[@data_factura],1,tbl_SarbatoriLegale[data])=0,"ZI NELUCRATOARE","")</f>
        <v/>
      </c>
      <c r="U481">
        <f>IF([@motiv_anomalie]="","OK","DE INVESTIGAT")</f>
        <v/>
      </c>
      <c r="V481">
        <f>TEXTJOIN("; ",TRUE,[@flag_oras],[@flag_tva],[@flag_scadenta],[@flag_zi])</f>
        <v/>
      </c>
    </row>
    <row r="482">
      <c r="A482" t="inlineStr">
        <is>
          <t>F-2025-00481</t>
        </is>
      </c>
      <c r="B482" s="12" t="n">
        <v>46272</v>
      </c>
      <c r="C482" t="inlineStr">
        <is>
          <t>SC PROVITA MEDICAL SRL</t>
        </is>
      </c>
      <c r="D482" t="inlineStr">
        <is>
          <t>Mureș</t>
        </is>
      </c>
      <c r="E482" t="inlineStr">
        <is>
          <t>PRD-010</t>
        </is>
      </c>
      <c r="F482" t="inlineStr">
        <is>
          <t>Switch gigabit 24p</t>
        </is>
      </c>
      <c r="G482" t="inlineStr">
        <is>
          <t>Hardware IT</t>
        </is>
      </c>
      <c r="H482" t="n">
        <v>50</v>
      </c>
      <c r="I482" t="n">
        <v>346.42</v>
      </c>
      <c r="J482" t="n">
        <v>17321</v>
      </c>
      <c r="K482" s="13" t="n">
        <v>0.19</v>
      </c>
      <c r="L482" t="n">
        <v>3290.99</v>
      </c>
      <c r="M482" t="n">
        <v>20611.99</v>
      </c>
      <c r="N482" t="inlineStr">
        <is>
          <t>RON</t>
        </is>
      </c>
      <c r="O482" t="inlineStr">
        <is>
          <t>Târgu Mureș</t>
        </is>
      </c>
      <c r="P482" s="12" t="n">
        <v>46302</v>
      </c>
      <c r="Q482">
        <f>IF(COUNTIF(tbl_Localitati[oras_oficial],[@oras])=0,"ORAS NEALINIAT",IF(XLOOKUP([@oras],tbl_Localitati[oras_oficial],tbl_Localitati[judet],"?")&lt;&gt;[@judet],"JUDET NECORESPUNZATOR",""))</f>
        <v/>
      </c>
      <c r="R482">
        <f>IF(XLOOKUP([@categorie],tbl_RegulriTVA[categorie],tbl_RegulriTVA[cota_legala],-1)&lt;&gt;[@cota_tva],"TVA GRESIT","")</f>
        <v/>
      </c>
      <c r="S482">
        <f>IF([@data_scadentei]&lt;[@data_factura],"SCADENTA INAINTEA FACTURII","")</f>
        <v/>
      </c>
      <c r="T482">
        <f>IF(NETWORKDAYS.INTL([@data_factura],[@data_factura],1,tbl_SarbatoriLegale[data])=0,"ZI NELUCRATOARE","")</f>
        <v/>
      </c>
      <c r="U482">
        <f>IF([@motiv_anomalie]="","OK","DE INVESTIGAT")</f>
        <v/>
      </c>
      <c r="V482">
        <f>TEXTJOIN("; ",TRUE,[@flag_oras],[@flag_tva],[@flag_scadenta],[@flag_zi])</f>
        <v/>
      </c>
    </row>
    <row r="483">
      <c r="A483" t="inlineStr">
        <is>
          <t>F-2025-00482</t>
        </is>
      </c>
      <c r="B483" s="12" t="n">
        <v>46247</v>
      </c>
      <c r="C483" t="inlineStr">
        <is>
          <t>SC UNIFOOD DISTRIBUTION SA</t>
        </is>
      </c>
      <c r="D483" t="inlineStr">
        <is>
          <t>Sibiu</t>
        </is>
      </c>
      <c r="E483" t="inlineStr">
        <is>
          <t>PRD-002</t>
        </is>
      </c>
      <c r="F483" t="inlineStr">
        <is>
          <t>Statie de lucru desktop</t>
        </is>
      </c>
      <c r="G483" t="inlineStr">
        <is>
          <t>Hardware IT</t>
        </is>
      </c>
      <c r="H483" t="n">
        <v>2</v>
      </c>
      <c r="I483" t="n">
        <v>1065.75</v>
      </c>
      <c r="J483" t="n">
        <v>2131.5</v>
      </c>
      <c r="K483" s="13" t="n">
        <v>0.19</v>
      </c>
      <c r="L483" t="n">
        <v>404.99</v>
      </c>
      <c r="M483" t="n">
        <v>2536.49</v>
      </c>
      <c r="N483" t="inlineStr">
        <is>
          <t>RON</t>
        </is>
      </c>
      <c r="O483" t="inlineStr">
        <is>
          <t>Mediaș</t>
        </is>
      </c>
      <c r="P483" s="12" t="n">
        <v>46277</v>
      </c>
      <c r="Q483">
        <f>IF(COUNTIF(tbl_Localitati[oras_oficial],[@oras])=0,"ORAS NEALINIAT",IF(XLOOKUP([@oras],tbl_Localitati[oras_oficial],tbl_Localitati[judet],"?")&lt;&gt;[@judet],"JUDET NECORESPUNZATOR",""))</f>
        <v/>
      </c>
      <c r="R483">
        <f>IF(XLOOKUP([@categorie],tbl_RegulriTVA[categorie],tbl_RegulriTVA[cota_legala],-1)&lt;&gt;[@cota_tva],"TVA GRESIT","")</f>
        <v/>
      </c>
      <c r="S483">
        <f>IF([@data_scadentei]&lt;[@data_factura],"SCADENTA INAINTEA FACTURII","")</f>
        <v/>
      </c>
      <c r="T483">
        <f>IF(NETWORKDAYS.INTL([@data_factura],[@data_factura],1,tbl_SarbatoriLegale[data])=0,"ZI NELUCRATOARE","")</f>
        <v/>
      </c>
      <c r="U483">
        <f>IF([@motiv_anomalie]="","OK","DE INVESTIGAT")</f>
        <v/>
      </c>
      <c r="V483">
        <f>TEXTJOIN("; ",TRUE,[@flag_oras],[@flag_tva],[@flag_scadenta],[@flag_zi])</f>
        <v/>
      </c>
    </row>
    <row r="484">
      <c r="A484" t="inlineStr">
        <is>
          <t>F-2025-00483</t>
        </is>
      </c>
      <c r="B484" s="12" t="n">
        <v>46093</v>
      </c>
      <c r="C484" t="inlineStr">
        <is>
          <t>SC RAPID LOGISTIC SA</t>
        </is>
      </c>
      <c r="D484" t="inlineStr">
        <is>
          <t>Prahova</t>
        </is>
      </c>
      <c r="E484" t="inlineStr">
        <is>
          <t>PRD-009</t>
        </is>
      </c>
      <c r="F484" t="inlineStr">
        <is>
          <t>Switch gigabit 24p</t>
        </is>
      </c>
      <c r="G484" t="inlineStr">
        <is>
          <t>Hardware IT</t>
        </is>
      </c>
      <c r="H484" t="n">
        <v>5</v>
      </c>
      <c r="I484" t="n">
        <v>28.58</v>
      </c>
      <c r="J484" t="n">
        <v>142.9</v>
      </c>
      <c r="K484" s="13" t="n">
        <v>0.19</v>
      </c>
      <c r="L484" t="n">
        <v>27.15</v>
      </c>
      <c r="M484" t="n">
        <v>170.05</v>
      </c>
      <c r="N484" t="inlineStr">
        <is>
          <t>RON</t>
        </is>
      </c>
      <c r="O484" t="inlineStr">
        <is>
          <t>Ploiești</t>
        </is>
      </c>
      <c r="P484" s="12" t="n">
        <v>46153</v>
      </c>
      <c r="Q484">
        <f>IF(COUNTIF(tbl_Localitati[oras_oficial],[@oras])=0,"ORAS NEALINIAT",IF(XLOOKUP([@oras],tbl_Localitati[oras_oficial],tbl_Localitati[judet],"?")&lt;&gt;[@judet],"JUDET NECORESPUNZATOR",""))</f>
        <v/>
      </c>
      <c r="R484">
        <f>IF(XLOOKUP([@categorie],tbl_RegulriTVA[categorie],tbl_RegulriTVA[cota_legala],-1)&lt;&gt;[@cota_tva],"TVA GRESIT","")</f>
        <v/>
      </c>
      <c r="S484">
        <f>IF([@data_scadentei]&lt;[@data_factura],"SCADENTA INAINTEA FACTURII","")</f>
        <v/>
      </c>
      <c r="T484">
        <f>IF(NETWORKDAYS.INTL([@data_factura],[@data_factura],1,tbl_SarbatoriLegale[data])=0,"ZI NELUCRATOARE","")</f>
        <v/>
      </c>
      <c r="U484">
        <f>IF([@motiv_anomalie]="","OK","DE INVESTIGAT")</f>
        <v/>
      </c>
      <c r="V484">
        <f>TEXTJOIN("; ",TRUE,[@flag_oras],[@flag_tva],[@flag_scadenta],[@flag_zi])</f>
        <v/>
      </c>
    </row>
    <row r="485">
      <c r="A485" t="inlineStr">
        <is>
          <t>F-2025-00484</t>
        </is>
      </c>
      <c r="B485" s="12" t="n">
        <v>46293</v>
      </c>
      <c r="C485" t="inlineStr">
        <is>
          <t>SC INTEGROMED SA</t>
        </is>
      </c>
      <c r="D485" t="inlineStr">
        <is>
          <t>Cluj</t>
        </is>
      </c>
      <c r="E485" t="inlineStr">
        <is>
          <t>PRD-009</t>
        </is>
      </c>
      <c r="F485" t="inlineStr">
        <is>
          <t>Laptop business 15"</t>
        </is>
      </c>
      <c r="G485" t="inlineStr">
        <is>
          <t>Hardware IT</t>
        </is>
      </c>
      <c r="H485" t="n">
        <v>10</v>
      </c>
      <c r="I485" t="n">
        <v>27.17</v>
      </c>
      <c r="J485" t="n">
        <v>271.7</v>
      </c>
      <c r="K485" s="13" t="n">
        <v>0.19</v>
      </c>
      <c r="L485" t="n">
        <v>51.62</v>
      </c>
      <c r="M485" t="n">
        <v>323.32</v>
      </c>
      <c r="N485" t="inlineStr">
        <is>
          <t>RON</t>
        </is>
      </c>
      <c r="O485" t="inlineStr">
        <is>
          <t>Cluj-Napoca</t>
        </is>
      </c>
      <c r="P485" s="12" t="n">
        <v>46323</v>
      </c>
      <c r="Q485">
        <f>IF(COUNTIF(tbl_Localitati[oras_oficial],[@oras])=0,"ORAS NEALINIAT",IF(XLOOKUP([@oras],tbl_Localitati[oras_oficial],tbl_Localitati[judet],"?")&lt;&gt;[@judet],"JUDET NECORESPUNZATOR",""))</f>
        <v/>
      </c>
      <c r="R485">
        <f>IF(XLOOKUP([@categorie],tbl_RegulriTVA[categorie],tbl_RegulriTVA[cota_legala],-1)&lt;&gt;[@cota_tva],"TVA GRESIT","")</f>
        <v/>
      </c>
      <c r="S485">
        <f>IF([@data_scadentei]&lt;[@data_factura],"SCADENTA INAINTEA FACTURII","")</f>
        <v/>
      </c>
      <c r="T485">
        <f>IF(NETWORKDAYS.INTL([@data_factura],[@data_factura],1,tbl_SarbatoriLegale[data])=0,"ZI NELUCRATOARE","")</f>
        <v/>
      </c>
      <c r="U485">
        <f>IF([@motiv_anomalie]="","OK","DE INVESTIGAT")</f>
        <v/>
      </c>
      <c r="V485">
        <f>TEXTJOIN("; ",TRUE,[@flag_oras],[@flag_tva],[@flag_scadenta],[@flag_zi])</f>
        <v/>
      </c>
    </row>
    <row r="486">
      <c r="A486" t="inlineStr">
        <is>
          <t>F-2025-00485</t>
        </is>
      </c>
      <c r="B486" s="12" t="n">
        <v>46163</v>
      </c>
      <c r="C486" t="inlineStr">
        <is>
          <t>SC DACTECH SOLUTIONS SRL</t>
        </is>
      </c>
      <c r="D486" t="inlineStr">
        <is>
          <t>Argeș</t>
        </is>
      </c>
      <c r="E486" t="inlineStr">
        <is>
          <t>PRD-007</t>
        </is>
      </c>
      <c r="F486" t="inlineStr">
        <is>
          <t>Tocator documente</t>
        </is>
      </c>
      <c r="G486" t="inlineStr">
        <is>
          <t>Echipamente birou</t>
        </is>
      </c>
      <c r="H486" t="n">
        <v>5</v>
      </c>
      <c r="I486" t="n">
        <v>177.68</v>
      </c>
      <c r="J486" t="n">
        <v>888.4</v>
      </c>
      <c r="K486" s="13" t="n">
        <v>0.19</v>
      </c>
      <c r="L486" t="n">
        <v>168.8</v>
      </c>
      <c r="M486" t="n">
        <v>1057.2</v>
      </c>
      <c r="N486" t="inlineStr">
        <is>
          <t>RON</t>
        </is>
      </c>
      <c r="O486" t="inlineStr">
        <is>
          <t>Pitești</t>
        </is>
      </c>
      <c r="P486" s="12" t="n">
        <v>46223</v>
      </c>
      <c r="Q486">
        <f>IF(COUNTIF(tbl_Localitati[oras_oficial],[@oras])=0,"ORAS NEALINIAT",IF(XLOOKUP([@oras],tbl_Localitati[oras_oficial],tbl_Localitati[judet],"?")&lt;&gt;[@judet],"JUDET NECORESPUNZATOR",""))</f>
        <v/>
      </c>
      <c r="R486">
        <f>IF(XLOOKUP([@categorie],tbl_RegulriTVA[categorie],tbl_RegulriTVA[cota_legala],-1)&lt;&gt;[@cota_tva],"TVA GRESIT","")</f>
        <v/>
      </c>
      <c r="S486">
        <f>IF([@data_scadentei]&lt;[@data_factura],"SCADENTA INAINTEA FACTURII","")</f>
        <v/>
      </c>
      <c r="T486">
        <f>IF(NETWORKDAYS.INTL([@data_factura],[@data_factura],1,tbl_SarbatoriLegale[data])=0,"ZI NELUCRATOARE","")</f>
        <v/>
      </c>
      <c r="U486">
        <f>IF([@motiv_anomalie]="","OK","DE INVESTIGAT")</f>
        <v/>
      </c>
      <c r="V486">
        <f>TEXTJOIN("; ",TRUE,[@flag_oras],[@flag_tva],[@flag_scadenta],[@flag_zi])</f>
        <v/>
      </c>
    </row>
    <row r="487">
      <c r="A487" t="inlineStr">
        <is>
          <t>F-2025-00486</t>
        </is>
      </c>
      <c r="B487" s="12" t="n">
        <v>46253</v>
      </c>
      <c r="C487" t="inlineStr">
        <is>
          <t>SC AROMET TRADING SRL</t>
        </is>
      </c>
      <c r="D487" t="inlineStr">
        <is>
          <t>Alba</t>
        </is>
      </c>
      <c r="E487" t="inlineStr">
        <is>
          <t>PRD-008</t>
        </is>
      </c>
      <c r="F487" t="inlineStr">
        <is>
          <t>Telefon IP birou</t>
        </is>
      </c>
      <c r="G487" t="inlineStr">
        <is>
          <t>Echipamente birou</t>
        </is>
      </c>
      <c r="H487" t="n">
        <v>25</v>
      </c>
      <c r="I487" t="n">
        <v>446.13</v>
      </c>
      <c r="J487" t="n">
        <v>11153.25</v>
      </c>
      <c r="K487" s="13" t="n">
        <v>0.19</v>
      </c>
      <c r="L487" t="n">
        <v>2119.12</v>
      </c>
      <c r="M487" t="n">
        <v>13272.37</v>
      </c>
      <c r="N487" t="inlineStr">
        <is>
          <t>RON</t>
        </is>
      </c>
      <c r="O487" t="inlineStr">
        <is>
          <t>Alba Iulia</t>
        </is>
      </c>
      <c r="P487" s="12" t="n">
        <v>46283</v>
      </c>
      <c r="Q487">
        <f>IF(COUNTIF(tbl_Localitati[oras_oficial],[@oras])=0,"ORAS NEALINIAT",IF(XLOOKUP([@oras],tbl_Localitati[oras_oficial],tbl_Localitati[judet],"?")&lt;&gt;[@judet],"JUDET NECORESPUNZATOR",""))</f>
        <v/>
      </c>
      <c r="R487">
        <f>IF(XLOOKUP([@categorie],tbl_RegulriTVA[categorie],tbl_RegulriTVA[cota_legala],-1)&lt;&gt;[@cota_tva],"TVA GRESIT","")</f>
        <v/>
      </c>
      <c r="S487">
        <f>IF([@data_scadentei]&lt;[@data_factura],"SCADENTA INAINTEA FACTURII","")</f>
        <v/>
      </c>
      <c r="T487">
        <f>IF(NETWORKDAYS.INTL([@data_factura],[@data_factura],1,tbl_SarbatoriLegale[data])=0,"ZI NELUCRATOARE","")</f>
        <v/>
      </c>
      <c r="U487">
        <f>IF([@motiv_anomalie]="","OK","DE INVESTIGAT")</f>
        <v/>
      </c>
      <c r="V487">
        <f>TEXTJOIN("; ",TRUE,[@flag_oras],[@flag_tva],[@flag_scadenta],[@flag_zi])</f>
        <v/>
      </c>
    </row>
    <row r="488">
      <c r="A488" t="inlineStr">
        <is>
          <t>F-2025-00487</t>
        </is>
      </c>
      <c r="B488" s="12" t="n">
        <v>46225</v>
      </c>
      <c r="C488" t="inlineStr">
        <is>
          <t>SC AROMET TRADING SRL</t>
        </is>
      </c>
      <c r="D488" t="inlineStr">
        <is>
          <t>Alba</t>
        </is>
      </c>
      <c r="E488" t="inlineStr">
        <is>
          <t>PRD-010</t>
        </is>
      </c>
      <c r="F488" t="inlineStr">
        <is>
          <t>Monitor 27" 4K</t>
        </is>
      </c>
      <c r="G488" t="inlineStr">
        <is>
          <t>Hardware IT</t>
        </is>
      </c>
      <c r="H488" t="n">
        <v>5</v>
      </c>
      <c r="I488" t="n">
        <v>336.55</v>
      </c>
      <c r="J488" t="n">
        <v>1682.75</v>
      </c>
      <c r="K488" s="13" t="n">
        <v>0.19</v>
      </c>
      <c r="L488" t="n">
        <v>319.72</v>
      </c>
      <c r="M488" t="n">
        <v>2002.47</v>
      </c>
      <c r="N488" t="inlineStr">
        <is>
          <t>RON</t>
        </is>
      </c>
      <c r="O488" t="inlineStr">
        <is>
          <t>Alba Iulia</t>
        </is>
      </c>
      <c r="P488" s="12" t="n">
        <v>46255</v>
      </c>
      <c r="Q488">
        <f>IF(COUNTIF(tbl_Localitati[oras_oficial],[@oras])=0,"ORAS NEALINIAT",IF(XLOOKUP([@oras],tbl_Localitati[oras_oficial],tbl_Localitati[judet],"?")&lt;&gt;[@judet],"JUDET NECORESPUNZATOR",""))</f>
        <v/>
      </c>
      <c r="R488">
        <f>IF(XLOOKUP([@categorie],tbl_RegulriTVA[categorie],tbl_RegulriTVA[cota_legala],-1)&lt;&gt;[@cota_tva],"TVA GRESIT","")</f>
        <v/>
      </c>
      <c r="S488">
        <f>IF([@data_scadentei]&lt;[@data_factura],"SCADENTA INAINTEA FACTURII","")</f>
        <v/>
      </c>
      <c r="T488">
        <f>IF(NETWORKDAYS.INTL([@data_factura],[@data_factura],1,tbl_SarbatoriLegale[data])=0,"ZI NELUCRATOARE","")</f>
        <v/>
      </c>
      <c r="U488">
        <f>IF([@motiv_anomalie]="","OK","DE INVESTIGAT")</f>
        <v/>
      </c>
      <c r="V488">
        <f>TEXTJOIN("; ",TRUE,[@flag_oras],[@flag_tva],[@flag_scadenta],[@flag_zi])</f>
        <v/>
      </c>
    </row>
    <row r="489">
      <c r="A489" t="inlineStr">
        <is>
          <t>F-2025-00488</t>
        </is>
      </c>
      <c r="B489" s="12" t="n">
        <v>46360</v>
      </c>
      <c r="C489" t="inlineStr">
        <is>
          <t>SC METALPLAST INVEST SA</t>
        </is>
      </c>
      <c r="D489" t="inlineStr">
        <is>
          <t>Cluj</t>
        </is>
      </c>
      <c r="E489" t="inlineStr">
        <is>
          <t>PRD-007</t>
        </is>
      </c>
      <c r="F489" t="inlineStr">
        <is>
          <t>Videoproiector sala</t>
        </is>
      </c>
      <c r="G489" t="inlineStr">
        <is>
          <t>Echipamente birou</t>
        </is>
      </c>
      <c r="H489" t="n">
        <v>10</v>
      </c>
      <c r="I489" t="n">
        <v>178.54</v>
      </c>
      <c r="J489" t="n">
        <v>1785.4</v>
      </c>
      <c r="K489" s="13" t="n">
        <v>0.19</v>
      </c>
      <c r="L489" t="n">
        <v>339.23</v>
      </c>
      <c r="M489" t="n">
        <v>2124.63</v>
      </c>
      <c r="N489" t="inlineStr">
        <is>
          <t>RON</t>
        </is>
      </c>
      <c r="O489" t="inlineStr">
        <is>
          <t>Turda</t>
        </is>
      </c>
      <c r="P489" s="12" t="n">
        <v>46390</v>
      </c>
      <c r="Q489">
        <f>IF(COUNTIF(tbl_Localitati[oras_oficial],[@oras])=0,"ORAS NEALINIAT",IF(XLOOKUP([@oras],tbl_Localitati[oras_oficial],tbl_Localitati[judet],"?")&lt;&gt;[@judet],"JUDET NECORESPUNZATOR",""))</f>
        <v/>
      </c>
      <c r="R489">
        <f>IF(XLOOKUP([@categorie],tbl_RegulriTVA[categorie],tbl_RegulriTVA[cota_legala],-1)&lt;&gt;[@cota_tva],"TVA GRESIT","")</f>
        <v/>
      </c>
      <c r="S489">
        <f>IF([@data_scadentei]&lt;[@data_factura],"SCADENTA INAINTEA FACTURII","")</f>
        <v/>
      </c>
      <c r="T489">
        <f>IF(NETWORKDAYS.INTL([@data_factura],[@data_factura],1,tbl_SarbatoriLegale[data])=0,"ZI NELUCRATOARE","")</f>
        <v/>
      </c>
      <c r="U489">
        <f>IF([@motiv_anomalie]="","OK","DE INVESTIGAT")</f>
        <v/>
      </c>
      <c r="V489">
        <f>TEXTJOIN("; ",TRUE,[@flag_oras],[@flag_tva],[@flag_scadenta],[@flag_zi])</f>
        <v/>
      </c>
    </row>
    <row r="490">
      <c r="A490" t="inlineStr">
        <is>
          <t>F-2025-00489</t>
        </is>
      </c>
      <c r="B490" s="12" t="n">
        <v>46377</v>
      </c>
      <c r="C490" t="inlineStr">
        <is>
          <t>SC NORDIS DISTRIBUTIE SRL</t>
        </is>
      </c>
      <c r="D490" t="inlineStr">
        <is>
          <t>Constanța</t>
        </is>
      </c>
      <c r="E490" t="inlineStr">
        <is>
          <t>PRD-011</t>
        </is>
      </c>
      <c r="F490" t="inlineStr">
        <is>
          <t>Ceai cutie 100buc</t>
        </is>
      </c>
      <c r="G490" t="inlineStr">
        <is>
          <t>Alimente</t>
        </is>
      </c>
      <c r="H490" t="n">
        <v>50</v>
      </c>
      <c r="I490" t="n">
        <v>43.09</v>
      </c>
      <c r="J490" t="n">
        <v>2154.5</v>
      </c>
      <c r="K490" s="13" t="n">
        <v>0.09</v>
      </c>
      <c r="L490" t="n">
        <v>193.91</v>
      </c>
      <c r="M490" t="n">
        <v>2348.41</v>
      </c>
      <c r="N490" t="inlineStr">
        <is>
          <t>RON</t>
        </is>
      </c>
      <c r="O490" t="inlineStr">
        <is>
          <t>Mangalia</t>
        </is>
      </c>
      <c r="P490" s="12" t="n">
        <v>46422</v>
      </c>
      <c r="Q490">
        <f>IF(COUNTIF(tbl_Localitati[oras_oficial],[@oras])=0,"ORAS NEALINIAT",IF(XLOOKUP([@oras],tbl_Localitati[oras_oficial],tbl_Localitati[judet],"?")&lt;&gt;[@judet],"JUDET NECORESPUNZATOR",""))</f>
        <v/>
      </c>
      <c r="R490">
        <f>IF(XLOOKUP([@categorie],tbl_RegulriTVA[categorie],tbl_RegulriTVA[cota_legala],-1)&lt;&gt;[@cota_tva],"TVA GRESIT","")</f>
        <v/>
      </c>
      <c r="S490">
        <f>IF([@data_scadentei]&lt;[@data_factura],"SCADENTA INAINTEA FACTURII","")</f>
        <v/>
      </c>
      <c r="T490">
        <f>IF(NETWORKDAYS.INTL([@data_factura],[@data_factura],1,tbl_SarbatoriLegale[data])=0,"ZI NELUCRATOARE","")</f>
        <v/>
      </c>
      <c r="U490">
        <f>IF([@motiv_anomalie]="","OK","DE INVESTIGAT")</f>
        <v/>
      </c>
      <c r="V490">
        <f>TEXTJOIN("; ",TRUE,[@flag_oras],[@flag_tva],[@flag_scadenta],[@flag_zi])</f>
        <v/>
      </c>
    </row>
    <row r="491">
      <c r="A491" t="inlineStr">
        <is>
          <t>F-2025-00490</t>
        </is>
      </c>
      <c r="B491" s="12" t="n">
        <v>46309</v>
      </c>
      <c r="C491" t="inlineStr">
        <is>
          <t>SC UNIFOOD DISTRIBUTION SA</t>
        </is>
      </c>
      <c r="D491" t="inlineStr">
        <is>
          <t>Sibiu</t>
        </is>
      </c>
      <c r="E491" t="inlineStr">
        <is>
          <t>PRD-009</t>
        </is>
      </c>
      <c r="F491" t="inlineStr">
        <is>
          <t>Telefon IP birou</t>
        </is>
      </c>
      <c r="G491" t="inlineStr">
        <is>
          <t>Echipamente birou</t>
        </is>
      </c>
      <c r="H491" t="n">
        <v>50</v>
      </c>
      <c r="I491" t="n">
        <v>27.95</v>
      </c>
      <c r="J491" t="n">
        <v>1397.5</v>
      </c>
      <c r="K491" s="13" t="n">
        <v>0.19</v>
      </c>
      <c r="L491" t="n">
        <v>265.52</v>
      </c>
      <c r="M491" t="n">
        <v>1663.02</v>
      </c>
      <c r="N491" t="inlineStr">
        <is>
          <t>RON</t>
        </is>
      </c>
      <c r="O491" t="inlineStr">
        <is>
          <t>Mediaș</t>
        </is>
      </c>
      <c r="P491" s="12" t="n">
        <v>46339</v>
      </c>
      <c r="Q491">
        <f>IF(COUNTIF(tbl_Localitati[oras_oficial],[@oras])=0,"ORAS NEALINIAT",IF(XLOOKUP([@oras],tbl_Localitati[oras_oficial],tbl_Localitati[judet],"?")&lt;&gt;[@judet],"JUDET NECORESPUNZATOR",""))</f>
        <v/>
      </c>
      <c r="R491">
        <f>IF(XLOOKUP([@categorie],tbl_RegulriTVA[categorie],tbl_RegulriTVA[cota_legala],-1)&lt;&gt;[@cota_tva],"TVA GRESIT","")</f>
        <v/>
      </c>
      <c r="S491">
        <f>IF([@data_scadentei]&lt;[@data_factura],"SCADENTA INAINTEA FACTURII","")</f>
        <v/>
      </c>
      <c r="T491">
        <f>IF(NETWORKDAYS.INTL([@data_factura],[@data_factura],1,tbl_SarbatoriLegale[data])=0,"ZI NELUCRATOARE","")</f>
        <v/>
      </c>
      <c r="U491">
        <f>IF([@motiv_anomalie]="","OK","DE INVESTIGAT")</f>
        <v/>
      </c>
      <c r="V491">
        <f>TEXTJOIN("; ",TRUE,[@flag_oras],[@flag_tva],[@flag_scadenta],[@flag_zi])</f>
        <v/>
      </c>
    </row>
    <row r="492">
      <c r="A492" t="inlineStr">
        <is>
          <t>F-2025-00491</t>
        </is>
      </c>
      <c r="B492" s="12" t="n">
        <v>46224</v>
      </c>
      <c r="C492" t="inlineStr">
        <is>
          <t>SC AROMET TRADING SRL</t>
        </is>
      </c>
      <c r="D492" t="inlineStr">
        <is>
          <t>Alba</t>
        </is>
      </c>
      <c r="E492" t="inlineStr">
        <is>
          <t>PRD-005</t>
        </is>
      </c>
      <c r="F492" t="inlineStr">
        <is>
          <t>Tocator documente</t>
        </is>
      </c>
      <c r="G492" t="inlineStr">
        <is>
          <t>Echipamente birou</t>
        </is>
      </c>
      <c r="H492" t="n">
        <v>2</v>
      </c>
      <c r="I492" t="n">
        <v>251.87</v>
      </c>
      <c r="J492" t="n">
        <v>503.74</v>
      </c>
      <c r="K492" s="13" t="n">
        <v>0.19</v>
      </c>
      <c r="L492" t="n">
        <v>95.70999999999999</v>
      </c>
      <c r="M492" t="n">
        <v>599.45</v>
      </c>
      <c r="N492" t="inlineStr">
        <is>
          <t>RON</t>
        </is>
      </c>
      <c r="O492" t="inlineStr">
        <is>
          <t>Alba Iulia</t>
        </is>
      </c>
      <c r="P492" s="12" t="n">
        <v>46221</v>
      </c>
      <c r="Q492">
        <f>IF(COUNTIF(tbl_Localitati[oras_oficial],[@oras])=0,"ORAS NEALINIAT",IF(XLOOKUP([@oras],tbl_Localitati[oras_oficial],tbl_Localitati[judet],"?")&lt;&gt;[@judet],"JUDET NECORESPUNZATOR",""))</f>
        <v/>
      </c>
      <c r="R492">
        <f>IF(XLOOKUP([@categorie],tbl_RegulriTVA[categorie],tbl_RegulriTVA[cota_legala],-1)&lt;&gt;[@cota_tva],"TVA GRESIT","")</f>
        <v/>
      </c>
      <c r="S492">
        <f>IF([@data_scadentei]&lt;[@data_factura],"SCADENTA INAINTEA FACTURII","")</f>
        <v/>
      </c>
      <c r="T492">
        <f>IF(NETWORKDAYS.INTL([@data_factura],[@data_factura],1,tbl_SarbatoriLegale[data])=0,"ZI NELUCRATOARE","")</f>
        <v/>
      </c>
      <c r="U492">
        <f>IF([@motiv_anomalie]="","OK","DE INVESTIGAT")</f>
        <v/>
      </c>
      <c r="V492">
        <f>TEXTJOIN("; ",TRUE,[@flag_oras],[@flag_tva],[@flag_scadenta],[@flag_zi])</f>
        <v/>
      </c>
    </row>
    <row r="493">
      <c r="A493" t="inlineStr">
        <is>
          <t>F-2025-00492</t>
        </is>
      </c>
      <c r="B493" s="12" t="n">
        <v>46322</v>
      </c>
      <c r="C493" t="inlineStr">
        <is>
          <t>SC METALPLAST INVEST SA</t>
        </is>
      </c>
      <c r="D493" t="inlineStr">
        <is>
          <t>Cluj</t>
        </is>
      </c>
      <c r="E493" t="inlineStr">
        <is>
          <t>PRD-005</t>
        </is>
      </c>
      <c r="F493" t="inlineStr">
        <is>
          <t>Statie de lucru desktop</t>
        </is>
      </c>
      <c r="G493" t="inlineStr">
        <is>
          <t>Hardware IT</t>
        </is>
      </c>
      <c r="H493" t="n">
        <v>3</v>
      </c>
      <c r="I493" t="n">
        <v>239.56</v>
      </c>
      <c r="J493" t="n">
        <v>718.6799999999999</v>
      </c>
      <c r="K493" s="13" t="n">
        <v>0.19</v>
      </c>
      <c r="L493" t="n">
        <v>136.55</v>
      </c>
      <c r="M493" t="n">
        <v>855.23</v>
      </c>
      <c r="N493" t="inlineStr">
        <is>
          <t>RON</t>
        </is>
      </c>
      <c r="O493" t="inlineStr">
        <is>
          <t>Turda</t>
        </is>
      </c>
      <c r="P493" s="12" t="n">
        <v>46367</v>
      </c>
      <c r="Q493">
        <f>IF(COUNTIF(tbl_Localitati[oras_oficial],[@oras])=0,"ORAS NEALINIAT",IF(XLOOKUP([@oras],tbl_Localitati[oras_oficial],tbl_Localitati[judet],"?")&lt;&gt;[@judet],"JUDET NECORESPUNZATOR",""))</f>
        <v/>
      </c>
      <c r="R493">
        <f>IF(XLOOKUP([@categorie],tbl_RegulriTVA[categorie],tbl_RegulriTVA[cota_legala],-1)&lt;&gt;[@cota_tva],"TVA GRESIT","")</f>
        <v/>
      </c>
      <c r="S493">
        <f>IF([@data_scadentei]&lt;[@data_factura],"SCADENTA INAINTEA FACTURII","")</f>
        <v/>
      </c>
      <c r="T493">
        <f>IF(NETWORKDAYS.INTL([@data_factura],[@data_factura],1,tbl_SarbatoriLegale[data])=0,"ZI NELUCRATOARE","")</f>
        <v/>
      </c>
      <c r="U493">
        <f>IF([@motiv_anomalie]="","OK","DE INVESTIGAT")</f>
        <v/>
      </c>
      <c r="V493">
        <f>TEXTJOIN("; ",TRUE,[@flag_oras],[@flag_tva],[@flag_scadenta],[@flag_zi])</f>
        <v/>
      </c>
    </row>
    <row r="494">
      <c r="A494" t="inlineStr">
        <is>
          <t>F-2025-00493</t>
        </is>
      </c>
      <c r="B494" s="12" t="n">
        <v>46048</v>
      </c>
      <c r="C494" t="inlineStr">
        <is>
          <t>SC INTEGROMED SA</t>
        </is>
      </c>
      <c r="D494" t="inlineStr">
        <is>
          <t>Cluj</t>
        </is>
      </c>
      <c r="E494" t="inlineStr">
        <is>
          <t>PRD-006</t>
        </is>
      </c>
      <c r="F494" t="inlineStr">
        <is>
          <t>Abonament suita cloud</t>
        </is>
      </c>
      <c r="G494" t="inlineStr">
        <is>
          <t>Licențe software</t>
        </is>
      </c>
      <c r="H494" t="n">
        <v>5</v>
      </c>
      <c r="I494" t="n">
        <v>780.95</v>
      </c>
      <c r="J494" t="n">
        <v>3904.75</v>
      </c>
      <c r="K494" s="13" t="n">
        <v>0.19</v>
      </c>
      <c r="L494" t="n">
        <v>741.9</v>
      </c>
      <c r="M494" t="n">
        <v>4646.65</v>
      </c>
      <c r="N494" t="inlineStr">
        <is>
          <t>RON</t>
        </is>
      </c>
      <c r="O494" t="inlineStr">
        <is>
          <t>Cluj-Napoca</t>
        </is>
      </c>
      <c r="P494" s="12" t="n">
        <v>46108</v>
      </c>
      <c r="Q494">
        <f>IF(COUNTIF(tbl_Localitati[oras_oficial],[@oras])=0,"ORAS NEALINIAT",IF(XLOOKUP([@oras],tbl_Localitati[oras_oficial],tbl_Localitati[judet],"?")&lt;&gt;[@judet],"JUDET NECORESPUNZATOR",""))</f>
        <v/>
      </c>
      <c r="R494">
        <f>IF(XLOOKUP([@categorie],tbl_RegulriTVA[categorie],tbl_RegulriTVA[cota_legala],-1)&lt;&gt;[@cota_tva],"TVA GRESIT","")</f>
        <v/>
      </c>
      <c r="S494">
        <f>IF([@data_scadentei]&lt;[@data_factura],"SCADENTA INAINTEA FACTURII","")</f>
        <v/>
      </c>
      <c r="T494">
        <f>IF(NETWORKDAYS.INTL([@data_factura],[@data_factura],1,tbl_SarbatoriLegale[data])=0,"ZI NELUCRATOARE","")</f>
        <v/>
      </c>
      <c r="U494">
        <f>IF([@motiv_anomalie]="","OK","DE INVESTIGAT")</f>
        <v/>
      </c>
      <c r="V494">
        <f>TEXTJOIN("; ",TRUE,[@flag_oras],[@flag_tva],[@flag_scadenta],[@flag_zi])</f>
        <v/>
      </c>
    </row>
    <row r="495">
      <c r="A495" t="inlineStr">
        <is>
          <t>F-2025-00494</t>
        </is>
      </c>
      <c r="B495" s="12" t="n">
        <v>46232</v>
      </c>
      <c r="C495" t="inlineStr">
        <is>
          <t>SC UNIFOOD DISTRIBUTION SA</t>
        </is>
      </c>
      <c r="D495" t="inlineStr">
        <is>
          <t>Sibiu</t>
        </is>
      </c>
      <c r="E495" t="inlineStr">
        <is>
          <t>PRD-007</t>
        </is>
      </c>
      <c r="F495" t="inlineStr">
        <is>
          <t>Licenta Office 365 anuala</t>
        </is>
      </c>
      <c r="G495" t="inlineStr">
        <is>
          <t>Licențe software</t>
        </is>
      </c>
      <c r="H495" t="n">
        <v>5</v>
      </c>
      <c r="I495" t="n">
        <v>182.98</v>
      </c>
      <c r="J495" t="n">
        <v>914.9</v>
      </c>
      <c r="K495" s="13" t="n">
        <v>0.19</v>
      </c>
      <c r="L495" t="n">
        <v>173.83</v>
      </c>
      <c r="M495" t="n">
        <v>1088.73</v>
      </c>
      <c r="N495" t="inlineStr">
        <is>
          <t>RON</t>
        </is>
      </c>
      <c r="O495" t="inlineStr">
        <is>
          <t>Mediaș</t>
        </is>
      </c>
      <c r="P495" s="12" t="n">
        <v>46247</v>
      </c>
      <c r="Q495">
        <f>IF(COUNTIF(tbl_Localitati[oras_oficial],[@oras])=0,"ORAS NEALINIAT",IF(XLOOKUP([@oras],tbl_Localitati[oras_oficial],tbl_Localitati[judet],"?")&lt;&gt;[@judet],"JUDET NECORESPUNZATOR",""))</f>
        <v/>
      </c>
      <c r="R495">
        <f>IF(XLOOKUP([@categorie],tbl_RegulriTVA[categorie],tbl_RegulriTVA[cota_legala],-1)&lt;&gt;[@cota_tva],"TVA GRESIT","")</f>
        <v/>
      </c>
      <c r="S495">
        <f>IF([@data_scadentei]&lt;[@data_factura],"SCADENTA INAINTEA FACTURII","")</f>
        <v/>
      </c>
      <c r="T495">
        <f>IF(NETWORKDAYS.INTL([@data_factura],[@data_factura],1,tbl_SarbatoriLegale[data])=0,"ZI NELUCRATOARE","")</f>
        <v/>
      </c>
      <c r="U495">
        <f>IF([@motiv_anomalie]="","OK","DE INVESTIGAT")</f>
        <v/>
      </c>
      <c r="V495">
        <f>TEXTJOIN("; ",TRUE,[@flag_oras],[@flag_tva],[@flag_scadenta],[@flag_zi])</f>
        <v/>
      </c>
    </row>
    <row r="496">
      <c r="A496" t="inlineStr">
        <is>
          <t>F-2025-00495</t>
        </is>
      </c>
      <c r="B496" s="12" t="n">
        <v>46058</v>
      </c>
      <c r="C496" t="inlineStr">
        <is>
          <t>SC OMEGA SOFT SRL</t>
        </is>
      </c>
      <c r="D496" t="inlineStr">
        <is>
          <t>Dolj</t>
        </is>
      </c>
      <c r="E496" t="inlineStr">
        <is>
          <t>PRD-006</t>
        </is>
      </c>
      <c r="F496" t="inlineStr">
        <is>
          <t>Licenta ERP contabilitate</t>
        </is>
      </c>
      <c r="G496" t="inlineStr">
        <is>
          <t>Licențe software</t>
        </is>
      </c>
      <c r="H496" t="n">
        <v>5</v>
      </c>
      <c r="I496" t="n">
        <v>743.58</v>
      </c>
      <c r="J496" t="n">
        <v>3717.9</v>
      </c>
      <c r="K496" s="13" t="n">
        <v>0.19</v>
      </c>
      <c r="L496" t="n">
        <v>706.4</v>
      </c>
      <c r="M496" t="n">
        <v>4424.3</v>
      </c>
      <c r="N496" t="inlineStr">
        <is>
          <t>RON</t>
        </is>
      </c>
      <c r="O496" t="inlineStr">
        <is>
          <t>Craiova</t>
        </is>
      </c>
      <c r="P496" s="12" t="n">
        <v>46088</v>
      </c>
      <c r="Q496">
        <f>IF(COUNTIF(tbl_Localitati[oras_oficial],[@oras])=0,"ORAS NEALINIAT",IF(XLOOKUP([@oras],tbl_Localitati[oras_oficial],tbl_Localitati[judet],"?")&lt;&gt;[@judet],"JUDET NECORESPUNZATOR",""))</f>
        <v/>
      </c>
      <c r="R496">
        <f>IF(XLOOKUP([@categorie],tbl_RegulriTVA[categorie],tbl_RegulriTVA[cota_legala],-1)&lt;&gt;[@cota_tva],"TVA GRESIT","")</f>
        <v/>
      </c>
      <c r="S496">
        <f>IF([@data_scadentei]&lt;[@data_factura],"SCADENTA INAINTEA FACTURII","")</f>
        <v/>
      </c>
      <c r="T496">
        <f>IF(NETWORKDAYS.INTL([@data_factura],[@data_factura],1,tbl_SarbatoriLegale[data])=0,"ZI NELUCRATOARE","")</f>
        <v/>
      </c>
      <c r="U496">
        <f>IF([@motiv_anomalie]="","OK","DE INVESTIGAT")</f>
        <v/>
      </c>
      <c r="V496">
        <f>TEXTJOIN("; ",TRUE,[@flag_oras],[@flag_tva],[@flag_scadenta],[@flag_zi])</f>
        <v/>
      </c>
    </row>
    <row r="497">
      <c r="A497" t="inlineStr">
        <is>
          <t>F-2025-00496</t>
        </is>
      </c>
      <c r="B497" s="12" t="n">
        <v>46360</v>
      </c>
      <c r="C497" t="inlineStr">
        <is>
          <t>SC DACTECH SOLUTIONS SRL</t>
        </is>
      </c>
      <c r="D497" t="inlineStr">
        <is>
          <t>Argeș</t>
        </is>
      </c>
      <c r="E497" t="inlineStr">
        <is>
          <t>PRD-009</t>
        </is>
      </c>
      <c r="F497" t="inlineStr">
        <is>
          <t>Tocator documente</t>
        </is>
      </c>
      <c r="G497" t="inlineStr">
        <is>
          <t>Echipamente birou</t>
        </is>
      </c>
      <c r="H497" t="n">
        <v>50</v>
      </c>
      <c r="I497" t="n">
        <v>29.11</v>
      </c>
      <c r="J497" t="n">
        <v>1455.5</v>
      </c>
      <c r="K497" s="13" t="n">
        <v>0.19</v>
      </c>
      <c r="L497" t="n">
        <v>276.55</v>
      </c>
      <c r="M497" t="n">
        <v>1732.05</v>
      </c>
      <c r="N497" t="inlineStr">
        <is>
          <t>RON</t>
        </is>
      </c>
      <c r="O497" t="inlineStr">
        <is>
          <t>Pitești</t>
        </is>
      </c>
      <c r="P497" s="12" t="n">
        <v>46405</v>
      </c>
      <c r="Q497">
        <f>IF(COUNTIF(tbl_Localitati[oras_oficial],[@oras])=0,"ORAS NEALINIAT",IF(XLOOKUP([@oras],tbl_Localitati[oras_oficial],tbl_Localitati[judet],"?")&lt;&gt;[@judet],"JUDET NECORESPUNZATOR",""))</f>
        <v/>
      </c>
      <c r="R497">
        <f>IF(XLOOKUP([@categorie],tbl_RegulriTVA[categorie],tbl_RegulriTVA[cota_legala],-1)&lt;&gt;[@cota_tva],"TVA GRESIT","")</f>
        <v/>
      </c>
      <c r="S497">
        <f>IF([@data_scadentei]&lt;[@data_factura],"SCADENTA INAINTEA FACTURII","")</f>
        <v/>
      </c>
      <c r="T497">
        <f>IF(NETWORKDAYS.INTL([@data_factura],[@data_factura],1,tbl_SarbatoriLegale[data])=0,"ZI NELUCRATOARE","")</f>
        <v/>
      </c>
      <c r="U497">
        <f>IF([@motiv_anomalie]="","OK","DE INVESTIGAT")</f>
        <v/>
      </c>
      <c r="V497">
        <f>TEXTJOIN("; ",TRUE,[@flag_oras],[@flag_tva],[@flag_scadenta],[@flag_zi])</f>
        <v/>
      </c>
    </row>
    <row r="498">
      <c r="A498" t="inlineStr">
        <is>
          <t>F-2025-00497</t>
        </is>
      </c>
      <c r="B498" s="12" t="n">
        <v>46062</v>
      </c>
      <c r="C498" t="inlineStr">
        <is>
          <t>SC ELECTROBUILD SRL</t>
        </is>
      </c>
      <c r="D498" t="inlineStr">
        <is>
          <t>Bacău</t>
        </is>
      </c>
      <c r="E498" t="inlineStr">
        <is>
          <t>PRD-007</t>
        </is>
      </c>
      <c r="F498" t="inlineStr">
        <is>
          <t>Telefon IP birou</t>
        </is>
      </c>
      <c r="G498" t="inlineStr">
        <is>
          <t>Echipamente birou</t>
        </is>
      </c>
      <c r="H498" t="n">
        <v>5</v>
      </c>
      <c r="I498" t="n">
        <v>177.78</v>
      </c>
      <c r="J498" t="n">
        <v>888.9</v>
      </c>
      <c r="K498" s="13" t="n">
        <v>0.19</v>
      </c>
      <c r="L498" t="n">
        <v>168.89</v>
      </c>
      <c r="M498" t="n">
        <v>1057.79</v>
      </c>
      <c r="N498" t="inlineStr">
        <is>
          <t>RON</t>
        </is>
      </c>
      <c r="O498" t="inlineStr">
        <is>
          <t>Ploiesti Centru</t>
        </is>
      </c>
      <c r="P498" s="12" t="n">
        <v>46092</v>
      </c>
      <c r="Q498">
        <f>IF(COUNTIF(tbl_Localitati[oras_oficial],[@oras])=0,"ORAS NEALINIAT",IF(XLOOKUP([@oras],tbl_Localitati[oras_oficial],tbl_Localitati[judet],"?")&lt;&gt;[@judet],"JUDET NECORESPUNZATOR",""))</f>
        <v/>
      </c>
      <c r="R498">
        <f>IF(XLOOKUP([@categorie],tbl_RegulriTVA[categorie],tbl_RegulriTVA[cota_legala],-1)&lt;&gt;[@cota_tva],"TVA GRESIT","")</f>
        <v/>
      </c>
      <c r="S498">
        <f>IF([@data_scadentei]&lt;[@data_factura],"SCADENTA INAINTEA FACTURII","")</f>
        <v/>
      </c>
      <c r="T498">
        <f>IF(NETWORKDAYS.INTL([@data_factura],[@data_factura],1,tbl_SarbatoriLegale[data])=0,"ZI NELUCRATOARE","")</f>
        <v/>
      </c>
      <c r="U498">
        <f>IF([@motiv_anomalie]="","OK","DE INVESTIGAT")</f>
        <v/>
      </c>
      <c r="V498">
        <f>TEXTJOIN("; ",TRUE,[@flag_oras],[@flag_tva],[@flag_scadenta],[@flag_zi])</f>
        <v/>
      </c>
    </row>
    <row r="499">
      <c r="A499" t="inlineStr">
        <is>
          <t>F-2025-00498</t>
        </is>
      </c>
      <c r="B499" s="12" t="n">
        <v>46371</v>
      </c>
      <c r="C499" t="inlineStr">
        <is>
          <t>SC DACTECH SOLUTIONS SRL</t>
        </is>
      </c>
      <c r="D499" t="inlineStr">
        <is>
          <t>Argeș</t>
        </is>
      </c>
      <c r="E499" t="inlineStr">
        <is>
          <t>PRD-006</t>
        </is>
      </c>
      <c r="F499" t="inlineStr">
        <is>
          <t>Abonament suita cloud</t>
        </is>
      </c>
      <c r="G499" t="inlineStr">
        <is>
          <t>Licențe software</t>
        </is>
      </c>
      <c r="H499" t="n">
        <v>10</v>
      </c>
      <c r="I499" t="n">
        <v>780.49</v>
      </c>
      <c r="J499" t="n">
        <v>7804.9</v>
      </c>
      <c r="K499" s="13" t="n">
        <v>0.19</v>
      </c>
      <c r="L499" t="n">
        <v>1482.93</v>
      </c>
      <c r="M499" t="n">
        <v>9287.83</v>
      </c>
      <c r="N499" t="inlineStr">
        <is>
          <t>RON</t>
        </is>
      </c>
      <c r="O499" t="inlineStr">
        <is>
          <t>Pitești</t>
        </is>
      </c>
      <c r="P499" s="12" t="n">
        <v>46386</v>
      </c>
      <c r="Q499">
        <f>IF(COUNTIF(tbl_Localitati[oras_oficial],[@oras])=0,"ORAS NEALINIAT",IF(XLOOKUP([@oras],tbl_Localitati[oras_oficial],tbl_Localitati[judet],"?")&lt;&gt;[@judet],"JUDET NECORESPUNZATOR",""))</f>
        <v/>
      </c>
      <c r="R499">
        <f>IF(XLOOKUP([@categorie],tbl_RegulriTVA[categorie],tbl_RegulriTVA[cota_legala],-1)&lt;&gt;[@cota_tva],"TVA GRESIT","")</f>
        <v/>
      </c>
      <c r="S499">
        <f>IF([@data_scadentei]&lt;[@data_factura],"SCADENTA INAINTEA FACTURII","")</f>
        <v/>
      </c>
      <c r="T499">
        <f>IF(NETWORKDAYS.INTL([@data_factura],[@data_factura],1,tbl_SarbatoriLegale[data])=0,"ZI NELUCRATOARE","")</f>
        <v/>
      </c>
      <c r="U499">
        <f>IF([@motiv_anomalie]="","OK","DE INVESTIGAT")</f>
        <v/>
      </c>
      <c r="V499">
        <f>TEXTJOIN("; ",TRUE,[@flag_oras],[@flag_tva],[@flag_scadenta],[@flag_zi])</f>
        <v/>
      </c>
    </row>
    <row r="500">
      <c r="A500" t="inlineStr">
        <is>
          <t>F-2025-00499</t>
        </is>
      </c>
      <c r="B500" s="12" t="n">
        <v>46176</v>
      </c>
      <c r="C500" t="inlineStr">
        <is>
          <t>SC ZENITH AUTO SRL</t>
        </is>
      </c>
      <c r="D500" t="inlineStr">
        <is>
          <t>București</t>
        </is>
      </c>
      <c r="E500" t="inlineStr">
        <is>
          <t>PRD-004</t>
        </is>
      </c>
      <c r="F500" t="inlineStr">
        <is>
          <t>Monitor 27" 4K</t>
        </is>
      </c>
      <c r="G500" t="inlineStr">
        <is>
          <t>Hardware IT</t>
        </is>
      </c>
      <c r="H500" t="n">
        <v>1</v>
      </c>
      <c r="I500" t="n">
        <v>915.45</v>
      </c>
      <c r="J500" t="n">
        <v>915.45</v>
      </c>
      <c r="K500" s="13" t="n">
        <v>0.19</v>
      </c>
      <c r="L500" t="n">
        <v>173.94</v>
      </c>
      <c r="M500" t="n">
        <v>1089.39</v>
      </c>
      <c r="N500" t="inlineStr">
        <is>
          <t>RON</t>
        </is>
      </c>
      <c r="O500" t="inlineStr">
        <is>
          <t>București</t>
        </is>
      </c>
      <c r="P500" s="12" t="n">
        <v>46221</v>
      </c>
      <c r="Q500">
        <f>IF(COUNTIF(tbl_Localitati[oras_oficial],[@oras])=0,"ORAS NEALINIAT",IF(XLOOKUP([@oras],tbl_Localitati[oras_oficial],tbl_Localitati[judet],"?")&lt;&gt;[@judet],"JUDET NECORESPUNZATOR",""))</f>
        <v/>
      </c>
      <c r="R500">
        <f>IF(XLOOKUP([@categorie],tbl_RegulriTVA[categorie],tbl_RegulriTVA[cota_legala],-1)&lt;&gt;[@cota_tva],"TVA GRESIT","")</f>
        <v/>
      </c>
      <c r="S500">
        <f>IF([@data_scadentei]&lt;[@data_factura],"SCADENTA INAINTEA FACTURII","")</f>
        <v/>
      </c>
      <c r="T500">
        <f>IF(NETWORKDAYS.INTL([@data_factura],[@data_factura],1,tbl_SarbatoriLegale[data])=0,"ZI NELUCRATOARE","")</f>
        <v/>
      </c>
      <c r="U500">
        <f>IF([@motiv_anomalie]="","OK","DE INVESTIGAT")</f>
        <v/>
      </c>
      <c r="V500">
        <f>TEXTJOIN("; ",TRUE,[@flag_oras],[@flag_tva],[@flag_scadenta],[@flag_zi])</f>
        <v/>
      </c>
    </row>
    <row r="501">
      <c r="A501" t="inlineStr">
        <is>
          <t>F-2025-00500</t>
        </is>
      </c>
      <c r="B501" s="12" t="n">
        <v>46170</v>
      </c>
      <c r="C501" t="inlineStr">
        <is>
          <t>SC METALPLAST INVEST SA</t>
        </is>
      </c>
      <c r="D501" t="inlineStr">
        <is>
          <t>Cluj</t>
        </is>
      </c>
      <c r="E501" t="inlineStr">
        <is>
          <t>PRD-001</t>
        </is>
      </c>
      <c r="F501" t="inlineStr">
        <is>
          <t>Licenta ERP contabilitate</t>
        </is>
      </c>
      <c r="G501" t="inlineStr">
        <is>
          <t>Licențe software</t>
        </is>
      </c>
      <c r="H501" t="n">
        <v>5</v>
      </c>
      <c r="I501" t="n">
        <v>2338.69</v>
      </c>
      <c r="J501" t="n">
        <v>11693.45</v>
      </c>
      <c r="K501" s="13" t="n">
        <v>0.19</v>
      </c>
      <c r="L501" t="n">
        <v>2221.76</v>
      </c>
      <c r="M501" t="n">
        <v>13915.21</v>
      </c>
      <c r="N501" t="inlineStr">
        <is>
          <t>RON</t>
        </is>
      </c>
      <c r="O501" t="inlineStr">
        <is>
          <t>Turda</t>
        </is>
      </c>
      <c r="P501" s="12" t="n">
        <v>46185</v>
      </c>
      <c r="Q501">
        <f>IF(COUNTIF(tbl_Localitati[oras_oficial],[@oras])=0,"ORAS NEALINIAT",IF(XLOOKUP([@oras],tbl_Localitati[oras_oficial],tbl_Localitati[judet],"?")&lt;&gt;[@judet],"JUDET NECORESPUNZATOR",""))</f>
        <v/>
      </c>
      <c r="R501">
        <f>IF(XLOOKUP([@categorie],tbl_RegulriTVA[categorie],tbl_RegulriTVA[cota_legala],-1)&lt;&gt;[@cota_tva],"TVA GRESIT","")</f>
        <v/>
      </c>
      <c r="S501">
        <f>IF([@data_scadentei]&lt;[@data_factura],"SCADENTA INAINTEA FACTURII","")</f>
        <v/>
      </c>
      <c r="T501">
        <f>IF(NETWORKDAYS.INTL([@data_factura],[@data_factura],1,tbl_SarbatoriLegale[data])=0,"ZI NELUCRATOARE","")</f>
        <v/>
      </c>
      <c r="U501">
        <f>IF([@motiv_anomalie]="","OK","DE INVESTIGAT")</f>
        <v/>
      </c>
      <c r="V501">
        <f>TEXTJOIN("; ",TRUE,[@flag_oras],[@flag_tva],[@flag_scadenta],[@flag_zi])</f>
        <v/>
      </c>
    </row>
    <row r="502">
      <c r="A502" t="inlineStr">
        <is>
          <t>F-2025-00501</t>
        </is>
      </c>
      <c r="B502" s="12" t="n">
        <v>46038</v>
      </c>
      <c r="C502" t="inlineStr">
        <is>
          <t>SC PROVITA MEDICAL SRL</t>
        </is>
      </c>
      <c r="D502" t="inlineStr">
        <is>
          <t>Mureș</t>
        </is>
      </c>
      <c r="E502" t="inlineStr">
        <is>
          <t>PRD-011</t>
        </is>
      </c>
      <c r="F502" t="inlineStr">
        <is>
          <t>Laptop business 15"</t>
        </is>
      </c>
      <c r="G502" t="inlineStr">
        <is>
          <t>Hardware IT</t>
        </is>
      </c>
      <c r="H502" t="n">
        <v>5</v>
      </c>
      <c r="I502" t="n">
        <v>45.9</v>
      </c>
      <c r="J502" t="n">
        <v>229.5</v>
      </c>
      <c r="K502" s="13" t="n">
        <v>0.19</v>
      </c>
      <c r="L502" t="n">
        <v>43.61</v>
      </c>
      <c r="M502" t="n">
        <v>273.11</v>
      </c>
      <c r="N502" t="inlineStr">
        <is>
          <t>RON</t>
        </is>
      </c>
      <c r="O502" t="inlineStr">
        <is>
          <t>Târgu Mureș</t>
        </is>
      </c>
      <c r="P502" s="12" t="n">
        <v>46068</v>
      </c>
      <c r="Q502">
        <f>IF(COUNTIF(tbl_Localitati[oras_oficial],[@oras])=0,"ORAS NEALINIAT",IF(XLOOKUP([@oras],tbl_Localitati[oras_oficial],tbl_Localitati[judet],"?")&lt;&gt;[@judet],"JUDET NECORESPUNZATOR",""))</f>
        <v/>
      </c>
      <c r="R502">
        <f>IF(XLOOKUP([@categorie],tbl_RegulriTVA[categorie],tbl_RegulriTVA[cota_legala],-1)&lt;&gt;[@cota_tva],"TVA GRESIT","")</f>
        <v/>
      </c>
      <c r="S502">
        <f>IF([@data_scadentei]&lt;[@data_factura],"SCADENTA INAINTEA FACTURII","")</f>
        <v/>
      </c>
      <c r="T502">
        <f>IF(NETWORKDAYS.INTL([@data_factura],[@data_factura],1,tbl_SarbatoriLegale[data])=0,"ZI NELUCRATOARE","")</f>
        <v/>
      </c>
      <c r="U502">
        <f>IF([@motiv_anomalie]="","OK","DE INVESTIGAT")</f>
        <v/>
      </c>
      <c r="V502">
        <f>TEXTJOIN("; ",TRUE,[@flag_oras],[@flag_tva],[@flag_scadenta],[@flag_zi])</f>
        <v/>
      </c>
    </row>
    <row r="503">
      <c r="A503" t="inlineStr">
        <is>
          <t>F-2025-00502</t>
        </is>
      </c>
      <c r="B503" s="12" t="n">
        <v>46267</v>
      </c>
      <c r="C503" t="inlineStr">
        <is>
          <t>SC ZENITH AUTO SRL</t>
        </is>
      </c>
      <c r="D503" t="inlineStr">
        <is>
          <t>București</t>
        </is>
      </c>
      <c r="E503" t="inlineStr">
        <is>
          <t>PRD-009</t>
        </is>
      </c>
      <c r="F503" t="inlineStr">
        <is>
          <t>Dezinfectant maini 5L</t>
        </is>
      </c>
      <c r="G503" t="inlineStr">
        <is>
          <t>Produse farmaceutice</t>
        </is>
      </c>
      <c r="H503" t="n">
        <v>100</v>
      </c>
      <c r="I503" t="n">
        <v>28.42</v>
      </c>
      <c r="J503" t="n">
        <v>2842</v>
      </c>
      <c r="K503" s="13" t="n">
        <v>0.09</v>
      </c>
      <c r="L503" t="n">
        <v>255.78</v>
      </c>
      <c r="M503" t="n">
        <v>3097.78</v>
      </c>
      <c r="N503" t="inlineStr">
        <is>
          <t>EUR</t>
        </is>
      </c>
      <c r="O503" t="inlineStr">
        <is>
          <t>București</t>
        </is>
      </c>
      <c r="P503" s="12" t="n">
        <v>46297</v>
      </c>
      <c r="Q503">
        <f>IF(COUNTIF(tbl_Localitati[oras_oficial],[@oras])=0,"ORAS NEALINIAT",IF(XLOOKUP([@oras],tbl_Localitati[oras_oficial],tbl_Localitati[judet],"?")&lt;&gt;[@judet],"JUDET NECORESPUNZATOR",""))</f>
        <v/>
      </c>
      <c r="R503">
        <f>IF(XLOOKUP([@categorie],tbl_RegulriTVA[categorie],tbl_RegulriTVA[cota_legala],-1)&lt;&gt;[@cota_tva],"TVA GRESIT","")</f>
        <v/>
      </c>
      <c r="S503">
        <f>IF([@data_scadentei]&lt;[@data_factura],"SCADENTA INAINTEA FACTURII","")</f>
        <v/>
      </c>
      <c r="T503">
        <f>IF(NETWORKDAYS.INTL([@data_factura],[@data_factura],1,tbl_SarbatoriLegale[data])=0,"ZI NELUCRATOARE","")</f>
        <v/>
      </c>
      <c r="U503">
        <f>IF([@motiv_anomalie]="","OK","DE INVESTIGAT")</f>
        <v/>
      </c>
      <c r="V503">
        <f>TEXTJOIN("; ",TRUE,[@flag_oras],[@flag_tva],[@flag_scadenta],[@flag_zi])</f>
        <v/>
      </c>
    </row>
    <row r="504">
      <c r="A504" t="inlineStr">
        <is>
          <t>F-2025-00503</t>
        </is>
      </c>
      <c r="B504" s="12" t="n">
        <v>46042</v>
      </c>
      <c r="C504" t="inlineStr">
        <is>
          <t>SC PROVITA MEDICAL SRL</t>
        </is>
      </c>
      <c r="D504" t="inlineStr">
        <is>
          <t>Mureș</t>
        </is>
      </c>
      <c r="E504" t="inlineStr">
        <is>
          <t>PRD-002</t>
        </is>
      </c>
      <c r="F504" t="inlineStr">
        <is>
          <t>Server rack 1U</t>
        </is>
      </c>
      <c r="G504" t="inlineStr">
        <is>
          <t>Hardware IT</t>
        </is>
      </c>
      <c r="H504" t="n">
        <v>3</v>
      </c>
      <c r="I504" t="n">
        <v>1149.37</v>
      </c>
      <c r="J504" t="n">
        <v>3448.11</v>
      </c>
      <c r="K504" s="13" t="n">
        <v>0.19</v>
      </c>
      <c r="L504" t="n">
        <v>655.14</v>
      </c>
      <c r="M504" t="n">
        <v>4103.25</v>
      </c>
      <c r="N504" t="inlineStr">
        <is>
          <t>RON</t>
        </is>
      </c>
      <c r="O504" t="inlineStr">
        <is>
          <t>Târgu Mureș</t>
        </is>
      </c>
      <c r="P504" s="12" t="n">
        <v>46072</v>
      </c>
      <c r="Q504">
        <f>IF(COUNTIF(tbl_Localitati[oras_oficial],[@oras])=0,"ORAS NEALINIAT",IF(XLOOKUP([@oras],tbl_Localitati[oras_oficial],tbl_Localitati[judet],"?")&lt;&gt;[@judet],"JUDET NECORESPUNZATOR",""))</f>
        <v/>
      </c>
      <c r="R504">
        <f>IF(XLOOKUP([@categorie],tbl_RegulriTVA[categorie],tbl_RegulriTVA[cota_legala],-1)&lt;&gt;[@cota_tva],"TVA GRESIT","")</f>
        <v/>
      </c>
      <c r="S504">
        <f>IF([@data_scadentei]&lt;[@data_factura],"SCADENTA INAINTEA FACTURII","")</f>
        <v/>
      </c>
      <c r="T504">
        <f>IF(NETWORKDAYS.INTL([@data_factura],[@data_factura],1,tbl_SarbatoriLegale[data])=0,"ZI NELUCRATOARE","")</f>
        <v/>
      </c>
      <c r="U504">
        <f>IF([@motiv_anomalie]="","OK","DE INVESTIGAT")</f>
        <v/>
      </c>
      <c r="V504">
        <f>TEXTJOIN("; ",TRUE,[@flag_oras],[@flag_tva],[@flag_scadenta],[@flag_zi])</f>
        <v/>
      </c>
    </row>
    <row r="505">
      <c r="A505" t="inlineStr">
        <is>
          <t>F-2025-00504</t>
        </is>
      </c>
      <c r="B505" s="12" t="n">
        <v>46331</v>
      </c>
      <c r="C505" t="inlineStr">
        <is>
          <t>SC SOLARIS ENERGY SRL</t>
        </is>
      </c>
      <c r="D505" t="inlineStr">
        <is>
          <t>Prahova</t>
        </is>
      </c>
      <c r="E505" t="inlineStr">
        <is>
          <t>PRD-009</t>
        </is>
      </c>
      <c r="F505" t="inlineStr">
        <is>
          <t>Termometru digital</t>
        </is>
      </c>
      <c r="G505" t="inlineStr">
        <is>
          <t>Produse farmaceutice</t>
        </is>
      </c>
      <c r="H505" t="n">
        <v>5</v>
      </c>
      <c r="I505" t="n">
        <v>28.5</v>
      </c>
      <c r="J505" t="n">
        <v>142.5</v>
      </c>
      <c r="K505" s="13" t="n">
        <v>0.09</v>
      </c>
      <c r="L505" t="n">
        <v>12.82</v>
      </c>
      <c r="M505" t="n">
        <v>155.32</v>
      </c>
      <c r="N505" t="inlineStr">
        <is>
          <t>RON</t>
        </is>
      </c>
      <c r="O505" t="inlineStr">
        <is>
          <t>Câmpina</t>
        </is>
      </c>
      <c r="P505" s="12" t="n">
        <v>46361</v>
      </c>
      <c r="Q505">
        <f>IF(COUNTIF(tbl_Localitati[oras_oficial],[@oras])=0,"ORAS NEALINIAT",IF(XLOOKUP([@oras],tbl_Localitati[oras_oficial],tbl_Localitati[judet],"?")&lt;&gt;[@judet],"JUDET NECORESPUNZATOR",""))</f>
        <v/>
      </c>
      <c r="R505">
        <f>IF(XLOOKUP([@categorie],tbl_RegulriTVA[categorie],tbl_RegulriTVA[cota_legala],-1)&lt;&gt;[@cota_tva],"TVA GRESIT","")</f>
        <v/>
      </c>
      <c r="S505">
        <f>IF([@data_scadentei]&lt;[@data_factura],"SCADENTA INAINTEA FACTURII","")</f>
        <v/>
      </c>
      <c r="T505">
        <f>IF(NETWORKDAYS.INTL([@data_factura],[@data_factura],1,tbl_SarbatoriLegale[data])=0,"ZI NELUCRATOARE","")</f>
        <v/>
      </c>
      <c r="U505">
        <f>IF([@motiv_anomalie]="","OK","DE INVESTIGAT")</f>
        <v/>
      </c>
      <c r="V505">
        <f>TEXTJOIN("; ",TRUE,[@flag_oras],[@flag_tva],[@flag_scadenta],[@flag_zi])</f>
        <v/>
      </c>
    </row>
    <row r="506">
      <c r="A506" t="inlineStr">
        <is>
          <t>F-2025-00505</t>
        </is>
      </c>
      <c r="B506" s="12" t="n">
        <v>46254</v>
      </c>
      <c r="C506" t="inlineStr">
        <is>
          <t>SC METALPLAST INVEST SA</t>
        </is>
      </c>
      <c r="D506" t="inlineStr">
        <is>
          <t>Cluj</t>
        </is>
      </c>
      <c r="E506" t="inlineStr">
        <is>
          <t>PRD-006</t>
        </is>
      </c>
      <c r="F506" t="inlineStr">
        <is>
          <t>Multifunctionala laser</t>
        </is>
      </c>
      <c r="G506" t="inlineStr">
        <is>
          <t>Echipamente birou</t>
        </is>
      </c>
      <c r="H506" t="n">
        <v>5</v>
      </c>
      <c r="I506" t="n">
        <v>764.01</v>
      </c>
      <c r="J506" t="n">
        <v>3820.05</v>
      </c>
      <c r="K506" s="13" t="n">
        <v>0.19</v>
      </c>
      <c r="L506" t="n">
        <v>725.8099999999999</v>
      </c>
      <c r="M506" t="n">
        <v>4545.86</v>
      </c>
      <c r="N506" t="inlineStr">
        <is>
          <t>USD</t>
        </is>
      </c>
      <c r="O506" t="inlineStr">
        <is>
          <t>Turda</t>
        </is>
      </c>
      <c r="P506" s="12" t="n">
        <v>46269</v>
      </c>
      <c r="Q506">
        <f>IF(COUNTIF(tbl_Localitati[oras_oficial],[@oras])=0,"ORAS NEALINIAT",IF(XLOOKUP([@oras],tbl_Localitati[oras_oficial],tbl_Localitati[judet],"?")&lt;&gt;[@judet],"JUDET NECORESPUNZATOR",""))</f>
        <v/>
      </c>
      <c r="R506">
        <f>IF(XLOOKUP([@categorie],tbl_RegulriTVA[categorie],tbl_RegulriTVA[cota_legala],-1)&lt;&gt;[@cota_tva],"TVA GRESIT","")</f>
        <v/>
      </c>
      <c r="S506">
        <f>IF([@data_scadentei]&lt;[@data_factura],"SCADENTA INAINTEA FACTURII","")</f>
        <v/>
      </c>
      <c r="T506">
        <f>IF(NETWORKDAYS.INTL([@data_factura],[@data_factura],1,tbl_SarbatoriLegale[data])=0,"ZI NELUCRATOARE","")</f>
        <v/>
      </c>
      <c r="U506">
        <f>IF([@motiv_anomalie]="","OK","DE INVESTIGAT")</f>
        <v/>
      </c>
      <c r="V506">
        <f>TEXTJOIN("; ",TRUE,[@flag_oras],[@flag_tva],[@flag_scadenta],[@flag_zi])</f>
        <v/>
      </c>
    </row>
    <row r="507">
      <c r="A507" t="inlineStr">
        <is>
          <t>F-2025-00506</t>
        </is>
      </c>
      <c r="B507" s="12" t="n">
        <v>46120</v>
      </c>
      <c r="C507" t="inlineStr">
        <is>
          <t>SC FARMAVITAL DISTRIBUTIE SA</t>
        </is>
      </c>
      <c r="D507" t="inlineStr">
        <is>
          <t>Bihor</t>
        </is>
      </c>
      <c r="E507" t="inlineStr">
        <is>
          <t>PRD-002</t>
        </is>
      </c>
      <c r="F507" t="inlineStr">
        <is>
          <t>Statie de lucru desktop</t>
        </is>
      </c>
      <c r="G507" t="inlineStr">
        <is>
          <t>Hardware IT</t>
        </is>
      </c>
      <c r="H507" t="n">
        <v>1</v>
      </c>
      <c r="I507" t="n">
        <v>1100.51</v>
      </c>
      <c r="J507" t="n">
        <v>1100.51</v>
      </c>
      <c r="K507" s="13" t="n">
        <v>0.19</v>
      </c>
      <c r="L507" t="n">
        <v>209.1</v>
      </c>
      <c r="M507" t="n">
        <v>1309.61</v>
      </c>
      <c r="N507" t="inlineStr">
        <is>
          <t>RON</t>
        </is>
      </c>
      <c r="O507" t="inlineStr">
        <is>
          <t>Oradea</t>
        </is>
      </c>
      <c r="P507" s="12" t="n">
        <v>46150</v>
      </c>
      <c r="Q507">
        <f>IF(COUNTIF(tbl_Localitati[oras_oficial],[@oras])=0,"ORAS NEALINIAT",IF(XLOOKUP([@oras],tbl_Localitati[oras_oficial],tbl_Localitati[judet],"?")&lt;&gt;[@judet],"JUDET NECORESPUNZATOR",""))</f>
        <v/>
      </c>
      <c r="R507">
        <f>IF(XLOOKUP([@categorie],tbl_RegulriTVA[categorie],tbl_RegulriTVA[cota_legala],-1)&lt;&gt;[@cota_tva],"TVA GRESIT","")</f>
        <v/>
      </c>
      <c r="S507">
        <f>IF([@data_scadentei]&lt;[@data_factura],"SCADENTA INAINTEA FACTURII","")</f>
        <v/>
      </c>
      <c r="T507">
        <f>IF(NETWORKDAYS.INTL([@data_factura],[@data_factura],1,tbl_SarbatoriLegale[data])=0,"ZI NELUCRATOARE","")</f>
        <v/>
      </c>
      <c r="U507">
        <f>IF([@motiv_anomalie]="","OK","DE INVESTIGAT")</f>
        <v/>
      </c>
      <c r="V507">
        <f>TEXTJOIN("; ",TRUE,[@flag_oras],[@flag_tva],[@flag_scadenta],[@flag_zi])</f>
        <v/>
      </c>
    </row>
    <row r="508">
      <c r="A508" t="inlineStr">
        <is>
          <t>F-2025-00507</t>
        </is>
      </c>
      <c r="B508" s="12" t="n">
        <v>46373</v>
      </c>
      <c r="C508" t="inlineStr">
        <is>
          <t>SC SOLARIS ENERGY SRL</t>
        </is>
      </c>
      <c r="D508" t="inlineStr">
        <is>
          <t>Prahova</t>
        </is>
      </c>
      <c r="E508" t="inlineStr">
        <is>
          <t>PRD-009</t>
        </is>
      </c>
      <c r="F508" t="inlineStr">
        <is>
          <t>Training utilizatori</t>
        </is>
      </c>
      <c r="G508" t="inlineStr">
        <is>
          <t>Servicii consultanță</t>
        </is>
      </c>
      <c r="H508" t="n">
        <v>20</v>
      </c>
      <c r="I508" t="n">
        <v>28.83</v>
      </c>
      <c r="J508" t="n">
        <v>576.6</v>
      </c>
      <c r="K508" s="13" t="n">
        <v>0.19</v>
      </c>
      <c r="L508" t="n">
        <v>109.55</v>
      </c>
      <c r="M508" t="n">
        <v>686.15</v>
      </c>
      <c r="N508" t="inlineStr">
        <is>
          <t>RON</t>
        </is>
      </c>
      <c r="O508" t="inlineStr">
        <is>
          <t>Câmpina</t>
        </is>
      </c>
      <c r="P508" s="12" t="n">
        <v>46433</v>
      </c>
      <c r="Q508">
        <f>IF(COUNTIF(tbl_Localitati[oras_oficial],[@oras])=0,"ORAS NEALINIAT",IF(XLOOKUP([@oras],tbl_Localitati[oras_oficial],tbl_Localitati[judet],"?")&lt;&gt;[@judet],"JUDET NECORESPUNZATOR",""))</f>
        <v/>
      </c>
      <c r="R508">
        <f>IF(XLOOKUP([@categorie],tbl_RegulriTVA[categorie],tbl_RegulriTVA[cota_legala],-1)&lt;&gt;[@cota_tva],"TVA GRESIT","")</f>
        <v/>
      </c>
      <c r="S508">
        <f>IF([@data_scadentei]&lt;[@data_factura],"SCADENTA INAINTEA FACTURII","")</f>
        <v/>
      </c>
      <c r="T508">
        <f>IF(NETWORKDAYS.INTL([@data_factura],[@data_factura],1,tbl_SarbatoriLegale[data])=0,"ZI NELUCRATOARE","")</f>
        <v/>
      </c>
      <c r="U508">
        <f>IF([@motiv_anomalie]="","OK","DE INVESTIGAT")</f>
        <v/>
      </c>
      <c r="V508">
        <f>TEXTJOIN("; ",TRUE,[@flag_oras],[@flag_tva],[@flag_scadenta],[@flag_zi])</f>
        <v/>
      </c>
    </row>
    <row r="509">
      <c r="A509" t="inlineStr">
        <is>
          <t>F-2025-00508</t>
        </is>
      </c>
      <c r="B509" s="12" t="n">
        <v>46311</v>
      </c>
      <c r="C509" t="inlineStr">
        <is>
          <t>SC ELECTROBUILD SRL</t>
        </is>
      </c>
      <c r="D509" t="inlineStr">
        <is>
          <t>Bacău</t>
        </is>
      </c>
      <c r="E509" t="inlineStr">
        <is>
          <t>PRD-001</t>
        </is>
      </c>
      <c r="F509" t="inlineStr">
        <is>
          <t>Statie de lucru desktop</t>
        </is>
      </c>
      <c r="G509" t="inlineStr">
        <is>
          <t>Hardware IT</t>
        </is>
      </c>
      <c r="H509" t="n">
        <v>2</v>
      </c>
      <c r="I509" t="n">
        <v>2501.05</v>
      </c>
      <c r="J509" t="n">
        <v>5002.1</v>
      </c>
      <c r="K509" s="13" t="n">
        <v>0.19</v>
      </c>
      <c r="L509" t="n">
        <v>950.4</v>
      </c>
      <c r="M509" t="n">
        <v>5952.5</v>
      </c>
      <c r="N509" t="inlineStr">
        <is>
          <t>RON</t>
        </is>
      </c>
      <c r="O509" t="inlineStr">
        <is>
          <t>Bacău</t>
        </is>
      </c>
      <c r="P509" s="12" t="n">
        <v>46341</v>
      </c>
      <c r="Q509">
        <f>IF(COUNTIF(tbl_Localitati[oras_oficial],[@oras])=0,"ORAS NEALINIAT",IF(XLOOKUP([@oras],tbl_Localitati[oras_oficial],tbl_Localitati[judet],"?")&lt;&gt;[@judet],"JUDET NECORESPUNZATOR",""))</f>
        <v/>
      </c>
      <c r="R509">
        <f>IF(XLOOKUP([@categorie],tbl_RegulriTVA[categorie],tbl_RegulriTVA[cota_legala],-1)&lt;&gt;[@cota_tva],"TVA GRESIT","")</f>
        <v/>
      </c>
      <c r="S509">
        <f>IF([@data_scadentei]&lt;[@data_factura],"SCADENTA INAINTEA FACTURII","")</f>
        <v/>
      </c>
      <c r="T509">
        <f>IF(NETWORKDAYS.INTL([@data_factura],[@data_factura],1,tbl_SarbatoriLegale[data])=0,"ZI NELUCRATOARE","")</f>
        <v/>
      </c>
      <c r="U509">
        <f>IF([@motiv_anomalie]="","OK","DE INVESTIGAT")</f>
        <v/>
      </c>
      <c r="V509">
        <f>TEXTJOIN("; ",TRUE,[@flag_oras],[@flag_tva],[@flag_scadenta],[@flag_zi])</f>
        <v/>
      </c>
    </row>
    <row r="510">
      <c r="A510" t="inlineStr">
        <is>
          <t>F-2025-00509</t>
        </is>
      </c>
      <c r="B510" s="12" t="n">
        <v>46072</v>
      </c>
      <c r="C510" t="inlineStr">
        <is>
          <t>SC ELECTROBUILD SRL</t>
        </is>
      </c>
      <c r="D510" t="inlineStr">
        <is>
          <t>Bacău</t>
        </is>
      </c>
      <c r="E510" t="inlineStr">
        <is>
          <t>PRD-001</t>
        </is>
      </c>
      <c r="F510" t="inlineStr">
        <is>
          <t>Licenta antivirus enterprise</t>
        </is>
      </c>
      <c r="G510" t="inlineStr">
        <is>
          <t>Licențe software</t>
        </is>
      </c>
      <c r="H510" t="n">
        <v>1</v>
      </c>
      <c r="I510" t="n">
        <v>2467.09</v>
      </c>
      <c r="J510" t="n">
        <v>2467.09</v>
      </c>
      <c r="K510" s="13" t="n">
        <v>0.19</v>
      </c>
      <c r="L510" t="n">
        <v>468.75</v>
      </c>
      <c r="M510" t="n">
        <v>2935.84</v>
      </c>
      <c r="N510" t="inlineStr">
        <is>
          <t>RON</t>
        </is>
      </c>
      <c r="O510" t="inlineStr">
        <is>
          <t>Bacău</t>
        </is>
      </c>
      <c r="P510" s="12" t="n">
        <v>46087</v>
      </c>
      <c r="Q510">
        <f>IF(COUNTIF(tbl_Localitati[oras_oficial],[@oras])=0,"ORAS NEALINIAT",IF(XLOOKUP([@oras],tbl_Localitati[oras_oficial],tbl_Localitati[judet],"?")&lt;&gt;[@judet],"JUDET NECORESPUNZATOR",""))</f>
        <v/>
      </c>
      <c r="R510">
        <f>IF(XLOOKUP([@categorie],tbl_RegulriTVA[categorie],tbl_RegulriTVA[cota_legala],-1)&lt;&gt;[@cota_tva],"TVA GRESIT","")</f>
        <v/>
      </c>
      <c r="S510">
        <f>IF([@data_scadentei]&lt;[@data_factura],"SCADENTA INAINTEA FACTURII","")</f>
        <v/>
      </c>
      <c r="T510">
        <f>IF(NETWORKDAYS.INTL([@data_factura],[@data_factura],1,tbl_SarbatoriLegale[data])=0,"ZI NELUCRATOARE","")</f>
        <v/>
      </c>
      <c r="U510">
        <f>IF([@motiv_anomalie]="","OK","DE INVESTIGAT")</f>
        <v/>
      </c>
      <c r="V510">
        <f>TEXTJOIN("; ",TRUE,[@flag_oras],[@flag_tva],[@flag_scadenta],[@flag_zi])</f>
        <v/>
      </c>
    </row>
    <row r="511">
      <c r="A511" t="inlineStr">
        <is>
          <t>F-2025-00510</t>
        </is>
      </c>
      <c r="B511" s="12" t="n">
        <v>46262</v>
      </c>
      <c r="C511" t="inlineStr">
        <is>
          <t>SC SOLARIS ENERGY SRL</t>
        </is>
      </c>
      <c r="D511" t="inlineStr">
        <is>
          <t>Prahova</t>
        </is>
      </c>
      <c r="E511" t="inlineStr">
        <is>
          <t>PRD-002</t>
        </is>
      </c>
      <c r="F511" t="inlineStr">
        <is>
          <t>Telefon IP birou</t>
        </is>
      </c>
      <c r="G511" t="inlineStr">
        <is>
          <t>Echipamente birou</t>
        </is>
      </c>
      <c r="H511" t="n">
        <v>2</v>
      </c>
      <c r="I511" t="n">
        <v>1092.24</v>
      </c>
      <c r="J511" t="n">
        <v>2184.48</v>
      </c>
      <c r="K511" s="13" t="n">
        <v>0.19</v>
      </c>
      <c r="L511" t="n">
        <v>415.05</v>
      </c>
      <c r="M511" t="n">
        <v>2599.53</v>
      </c>
      <c r="N511" t="inlineStr">
        <is>
          <t>RON</t>
        </is>
      </c>
      <c r="O511" t="inlineStr">
        <is>
          <t>Câmpina</t>
        </is>
      </c>
      <c r="P511" s="12" t="n">
        <v>46307</v>
      </c>
      <c r="Q511">
        <f>IF(COUNTIF(tbl_Localitati[oras_oficial],[@oras])=0,"ORAS NEALINIAT",IF(XLOOKUP([@oras],tbl_Localitati[oras_oficial],tbl_Localitati[judet],"?")&lt;&gt;[@judet],"JUDET NECORESPUNZATOR",""))</f>
        <v/>
      </c>
      <c r="R511">
        <f>IF(XLOOKUP([@categorie],tbl_RegulriTVA[categorie],tbl_RegulriTVA[cota_legala],-1)&lt;&gt;[@cota_tva],"TVA GRESIT","")</f>
        <v/>
      </c>
      <c r="S511">
        <f>IF([@data_scadentei]&lt;[@data_factura],"SCADENTA INAINTEA FACTURII","")</f>
        <v/>
      </c>
      <c r="T511">
        <f>IF(NETWORKDAYS.INTL([@data_factura],[@data_factura],1,tbl_SarbatoriLegale[data])=0,"ZI NELUCRATOARE","")</f>
        <v/>
      </c>
      <c r="U511">
        <f>IF([@motiv_anomalie]="","OK","DE INVESTIGAT")</f>
        <v/>
      </c>
      <c r="V511">
        <f>TEXTJOIN("; ",TRUE,[@flag_oras],[@flag_tva],[@flag_scadenta],[@flag_zi])</f>
        <v/>
      </c>
    </row>
    <row r="512">
      <c r="A512" t="inlineStr">
        <is>
          <t>F-2025-00511</t>
        </is>
      </c>
      <c r="B512" s="12" t="n">
        <v>46069</v>
      </c>
      <c r="C512" t="inlineStr">
        <is>
          <t>SC SOLARIS ENERGY SRL</t>
        </is>
      </c>
      <c r="D512" t="inlineStr">
        <is>
          <t>Prahova</t>
        </is>
      </c>
      <c r="E512" t="inlineStr">
        <is>
          <t>PRD-007</t>
        </is>
      </c>
      <c r="F512" t="inlineStr">
        <is>
          <t>Switch gigabit 24p</t>
        </is>
      </c>
      <c r="G512" t="inlineStr">
        <is>
          <t>Hardware IT</t>
        </is>
      </c>
      <c r="H512" t="n">
        <v>10</v>
      </c>
      <c r="I512" t="n">
        <v>180.66</v>
      </c>
      <c r="J512" t="n">
        <v>1806.6</v>
      </c>
      <c r="K512" s="13" t="n">
        <v>0.19</v>
      </c>
      <c r="L512" t="n">
        <v>343.25</v>
      </c>
      <c r="M512" t="n">
        <v>2149.85</v>
      </c>
      <c r="N512" t="inlineStr">
        <is>
          <t>RON</t>
        </is>
      </c>
      <c r="O512" t="inlineStr">
        <is>
          <t>Bv</t>
        </is>
      </c>
      <c r="P512" s="12" t="n">
        <v>46099</v>
      </c>
      <c r="Q512">
        <f>IF(COUNTIF(tbl_Localitati[oras_oficial],[@oras])=0,"ORAS NEALINIAT",IF(XLOOKUP([@oras],tbl_Localitati[oras_oficial],tbl_Localitati[judet],"?")&lt;&gt;[@judet],"JUDET NECORESPUNZATOR",""))</f>
        <v/>
      </c>
      <c r="R512">
        <f>IF(XLOOKUP([@categorie],tbl_RegulriTVA[categorie],tbl_RegulriTVA[cota_legala],-1)&lt;&gt;[@cota_tva],"TVA GRESIT","")</f>
        <v/>
      </c>
      <c r="S512">
        <f>IF([@data_scadentei]&lt;[@data_factura],"SCADENTA INAINTEA FACTURII","")</f>
        <v/>
      </c>
      <c r="T512">
        <f>IF(NETWORKDAYS.INTL([@data_factura],[@data_factura],1,tbl_SarbatoriLegale[data])=0,"ZI NELUCRATOARE","")</f>
        <v/>
      </c>
      <c r="U512">
        <f>IF([@motiv_anomalie]="","OK","DE INVESTIGAT")</f>
        <v/>
      </c>
      <c r="V512">
        <f>TEXTJOIN("; ",TRUE,[@flag_oras],[@flag_tva],[@flag_scadenta],[@flag_zi])</f>
        <v/>
      </c>
    </row>
    <row r="513">
      <c r="A513" t="inlineStr">
        <is>
          <t>F-2025-00512</t>
        </is>
      </c>
      <c r="B513" s="12" t="n">
        <v>46035</v>
      </c>
      <c r="C513" t="inlineStr">
        <is>
          <t>SC UNIFOOD DISTRIBUTION SA</t>
        </is>
      </c>
      <c r="D513" t="inlineStr">
        <is>
          <t>Sibiu</t>
        </is>
      </c>
      <c r="E513" t="inlineStr">
        <is>
          <t>PRD-001</t>
        </is>
      </c>
      <c r="F513" t="inlineStr">
        <is>
          <t>Audit infrastructura</t>
        </is>
      </c>
      <c r="G513" t="inlineStr">
        <is>
          <t>Servicii consultanță</t>
        </is>
      </c>
      <c r="H513" t="n">
        <v>2</v>
      </c>
      <c r="I513" t="n">
        <v>2346.77</v>
      </c>
      <c r="J513" t="n">
        <v>4693.54</v>
      </c>
      <c r="K513" s="13" t="n">
        <v>0.19</v>
      </c>
      <c r="L513" t="n">
        <v>891.77</v>
      </c>
      <c r="M513" t="n">
        <v>5585.31</v>
      </c>
      <c r="N513" t="inlineStr">
        <is>
          <t>RON</t>
        </is>
      </c>
      <c r="O513" t="inlineStr">
        <is>
          <t>Mediaș</t>
        </is>
      </c>
      <c r="P513" s="12" t="n">
        <v>46095</v>
      </c>
      <c r="Q513">
        <f>IF(COUNTIF(tbl_Localitati[oras_oficial],[@oras])=0,"ORAS NEALINIAT",IF(XLOOKUP([@oras],tbl_Localitati[oras_oficial],tbl_Localitati[judet],"?")&lt;&gt;[@judet],"JUDET NECORESPUNZATOR",""))</f>
        <v/>
      </c>
      <c r="R513">
        <f>IF(XLOOKUP([@categorie],tbl_RegulriTVA[categorie],tbl_RegulriTVA[cota_legala],-1)&lt;&gt;[@cota_tva],"TVA GRESIT","")</f>
        <v/>
      </c>
      <c r="S513">
        <f>IF([@data_scadentei]&lt;[@data_factura],"SCADENTA INAINTEA FACTURII","")</f>
        <v/>
      </c>
      <c r="T513">
        <f>IF(NETWORKDAYS.INTL([@data_factura],[@data_factura],1,tbl_SarbatoriLegale[data])=0,"ZI NELUCRATOARE","")</f>
        <v/>
      </c>
      <c r="U513">
        <f>IF([@motiv_anomalie]="","OK","DE INVESTIGAT")</f>
        <v/>
      </c>
      <c r="V513">
        <f>TEXTJOIN("; ",TRUE,[@flag_oras],[@flag_tva],[@flag_scadenta],[@flag_zi])</f>
        <v/>
      </c>
    </row>
    <row r="514">
      <c r="A514" t="inlineStr">
        <is>
          <t>F-2025-00513</t>
        </is>
      </c>
      <c r="B514" s="12" t="n">
        <v>46079</v>
      </c>
      <c r="C514" t="inlineStr">
        <is>
          <t>SC VECTOR CONSULT SRL</t>
        </is>
      </c>
      <c r="D514" t="inlineStr">
        <is>
          <t>Timiș</t>
        </is>
      </c>
      <c r="E514" t="inlineStr">
        <is>
          <t>PRD-011</t>
        </is>
      </c>
      <c r="F514" t="inlineStr">
        <is>
          <t>Termometru digital</t>
        </is>
      </c>
      <c r="G514" t="inlineStr">
        <is>
          <t>Produse farmaceutice</t>
        </is>
      </c>
      <c r="H514" t="n">
        <v>10</v>
      </c>
      <c r="I514" t="n">
        <v>43.26</v>
      </c>
      <c r="J514" t="n">
        <v>432.6</v>
      </c>
      <c r="K514" s="13" t="n">
        <v>0.09</v>
      </c>
      <c r="L514" t="n">
        <v>38.93</v>
      </c>
      <c r="M514" t="n">
        <v>471.53</v>
      </c>
      <c r="N514" t="inlineStr">
        <is>
          <t>RON</t>
        </is>
      </c>
      <c r="O514" t="inlineStr">
        <is>
          <t>Timișoara</t>
        </is>
      </c>
      <c r="P514" s="12" t="n">
        <v>46109</v>
      </c>
      <c r="Q514">
        <f>IF(COUNTIF(tbl_Localitati[oras_oficial],[@oras])=0,"ORAS NEALINIAT",IF(XLOOKUP([@oras],tbl_Localitati[oras_oficial],tbl_Localitati[judet],"?")&lt;&gt;[@judet],"JUDET NECORESPUNZATOR",""))</f>
        <v/>
      </c>
      <c r="R514">
        <f>IF(XLOOKUP([@categorie],tbl_RegulriTVA[categorie],tbl_RegulriTVA[cota_legala],-1)&lt;&gt;[@cota_tva],"TVA GRESIT","")</f>
        <v/>
      </c>
      <c r="S514">
        <f>IF([@data_scadentei]&lt;[@data_factura],"SCADENTA INAINTEA FACTURII","")</f>
        <v/>
      </c>
      <c r="T514">
        <f>IF(NETWORKDAYS.INTL([@data_factura],[@data_factura],1,tbl_SarbatoriLegale[data])=0,"ZI NELUCRATOARE","")</f>
        <v/>
      </c>
      <c r="U514">
        <f>IF([@motiv_anomalie]="","OK","DE INVESTIGAT")</f>
        <v/>
      </c>
      <c r="V514">
        <f>TEXTJOIN("; ",TRUE,[@flag_oras],[@flag_tva],[@flag_scadenta],[@flag_zi])</f>
        <v/>
      </c>
    </row>
    <row r="515">
      <c r="A515" t="inlineStr">
        <is>
          <t>F-2025-00514</t>
        </is>
      </c>
      <c r="B515" s="12" t="n">
        <v>46254</v>
      </c>
      <c r="C515" t="inlineStr">
        <is>
          <t>SC INTEGROMED SA</t>
        </is>
      </c>
      <c r="D515" t="inlineStr">
        <is>
          <t>Cluj</t>
        </is>
      </c>
      <c r="E515" t="inlineStr">
        <is>
          <t>PRD-011</t>
        </is>
      </c>
      <c r="F515" t="inlineStr">
        <is>
          <t>Statie de lucru desktop</t>
        </is>
      </c>
      <c r="G515" t="inlineStr">
        <is>
          <t>Hardware IT</t>
        </is>
      </c>
      <c r="H515" t="n">
        <v>100</v>
      </c>
      <c r="I515" t="n">
        <v>43.53</v>
      </c>
      <c r="J515" t="n">
        <v>4353</v>
      </c>
      <c r="K515" s="13" t="n">
        <v>0.19</v>
      </c>
      <c r="L515" t="n">
        <v>827.0700000000001</v>
      </c>
      <c r="M515" t="n">
        <v>5180.07</v>
      </c>
      <c r="N515" t="inlineStr">
        <is>
          <t>RON</t>
        </is>
      </c>
      <c r="O515" t="inlineStr">
        <is>
          <t>Cluj-Napoca</t>
        </is>
      </c>
      <c r="P515" s="12" t="n">
        <v>46284</v>
      </c>
      <c r="Q515">
        <f>IF(COUNTIF(tbl_Localitati[oras_oficial],[@oras])=0,"ORAS NEALINIAT",IF(XLOOKUP([@oras],tbl_Localitati[oras_oficial],tbl_Localitati[judet],"?")&lt;&gt;[@judet],"JUDET NECORESPUNZATOR",""))</f>
        <v/>
      </c>
      <c r="R515">
        <f>IF(XLOOKUP([@categorie],tbl_RegulriTVA[categorie],tbl_RegulriTVA[cota_legala],-1)&lt;&gt;[@cota_tva],"TVA GRESIT","")</f>
        <v/>
      </c>
      <c r="S515">
        <f>IF([@data_scadentei]&lt;[@data_factura],"SCADENTA INAINTEA FACTURII","")</f>
        <v/>
      </c>
      <c r="T515">
        <f>IF(NETWORKDAYS.INTL([@data_factura],[@data_factura],1,tbl_SarbatoriLegale[data])=0,"ZI NELUCRATOARE","")</f>
        <v/>
      </c>
      <c r="U515">
        <f>IF([@motiv_anomalie]="","OK","DE INVESTIGAT")</f>
        <v/>
      </c>
      <c r="V515">
        <f>TEXTJOIN("; ",TRUE,[@flag_oras],[@flag_tva],[@flag_scadenta],[@flag_zi])</f>
        <v/>
      </c>
    </row>
    <row r="516">
      <c r="A516" t="inlineStr">
        <is>
          <t>F-2025-00515</t>
        </is>
      </c>
      <c r="B516" s="12" t="n">
        <v>46183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Consultanta implementare IT</t>
        </is>
      </c>
      <c r="G516" t="inlineStr">
        <is>
          <t>Servicii consultanță</t>
        </is>
      </c>
      <c r="H516" t="n">
        <v>1</v>
      </c>
      <c r="I516" t="n">
        <v>940.65</v>
      </c>
      <c r="J516" t="n">
        <v>940.65</v>
      </c>
      <c r="K516" s="13" t="n">
        <v>0.19</v>
      </c>
      <c r="L516" t="n">
        <v>178.72</v>
      </c>
      <c r="M516" t="n">
        <v>1119.37</v>
      </c>
      <c r="N516" t="inlineStr">
        <is>
          <t>RON</t>
        </is>
      </c>
      <c r="O516" t="inlineStr">
        <is>
          <t>Sibiu</t>
        </is>
      </c>
      <c r="P516" s="12" t="n">
        <v>46213</v>
      </c>
      <c r="Q516">
        <f>IF(COUNTIF(tbl_Localitati[oras_oficial],[@oras])=0,"ORAS NEALINIAT",IF(XLOOKUP([@oras],tbl_Localitati[oras_oficial],tbl_Localitati[judet],"?")&lt;&gt;[@judet],"JUDET NECORESPUNZATOR",""))</f>
        <v/>
      </c>
      <c r="R516">
        <f>IF(XLOOKUP([@categorie],tbl_RegulriTVA[categorie],tbl_RegulriTVA[cota_legala],-1)&lt;&gt;[@cota_tva],"TVA GRESIT","")</f>
        <v/>
      </c>
      <c r="S516">
        <f>IF([@data_scadentei]&lt;[@data_factura],"SCADENTA INAINTEA FACTURII","")</f>
        <v/>
      </c>
      <c r="T516">
        <f>IF(NETWORKDAYS.INTL([@data_factura],[@data_factura],1,tbl_SarbatoriLegale[data])=0,"ZI NELUCRATOARE","")</f>
        <v/>
      </c>
      <c r="U516">
        <f>IF([@motiv_anomalie]="","OK","DE INVESTIGAT")</f>
        <v/>
      </c>
      <c r="V516">
        <f>TEXTJOIN("; ",TRUE,[@flag_oras],[@flag_tva],[@flag_scadenta],[@flag_zi])</f>
        <v/>
      </c>
    </row>
    <row r="517">
      <c r="A517" t="inlineStr">
        <is>
          <t>F-2025-00516</t>
        </is>
      </c>
      <c r="B517" s="12" t="n">
        <v>46387</v>
      </c>
      <c r="C517" t="inlineStr">
        <is>
          <t>SC AROMET TRADING SRL</t>
        </is>
      </c>
      <c r="D517" t="inlineStr">
        <is>
          <t>Alba</t>
        </is>
      </c>
      <c r="E517" t="inlineStr">
        <is>
          <t>PRD-010</t>
        </is>
      </c>
      <c r="F517" t="inlineStr">
        <is>
          <t>Consultanta implementare IT</t>
        </is>
      </c>
      <c r="G517" t="inlineStr">
        <is>
          <t>Servicii consultanță</t>
        </is>
      </c>
      <c r="H517" t="n">
        <v>10</v>
      </c>
      <c r="I517" t="n">
        <v>351.22</v>
      </c>
      <c r="J517" t="n">
        <v>3512.2</v>
      </c>
      <c r="K517" s="13" t="n">
        <v>0.19</v>
      </c>
      <c r="L517" t="n">
        <v>667.3200000000001</v>
      </c>
      <c r="M517" t="n">
        <v>4179.52</v>
      </c>
      <c r="N517" t="inlineStr">
        <is>
          <t>USD</t>
        </is>
      </c>
      <c r="O517" t="inlineStr">
        <is>
          <t>Alba Iulia</t>
        </is>
      </c>
      <c r="P517" s="12" t="n">
        <v>46417</v>
      </c>
      <c r="Q517">
        <f>IF(COUNTIF(tbl_Localitati[oras_oficial],[@oras])=0,"ORAS NEALINIAT",IF(XLOOKUP([@oras],tbl_Localitati[oras_oficial],tbl_Localitati[judet],"?")&lt;&gt;[@judet],"JUDET NECORESPUNZATOR",""))</f>
        <v/>
      </c>
      <c r="R517">
        <f>IF(XLOOKUP([@categorie],tbl_RegulriTVA[categorie],tbl_RegulriTVA[cota_legala],-1)&lt;&gt;[@cota_tva],"TVA GRESIT","")</f>
        <v/>
      </c>
      <c r="S517">
        <f>IF([@data_scadentei]&lt;[@data_factura],"SCADENTA INAINTEA FACTURII","")</f>
        <v/>
      </c>
      <c r="T517">
        <f>IF(NETWORKDAYS.INTL([@data_factura],[@data_factura],1,tbl_SarbatoriLegale[data])=0,"ZI NELUCRATOARE","")</f>
        <v/>
      </c>
      <c r="U517">
        <f>IF([@motiv_anomalie]="","OK","DE INVESTIGAT")</f>
        <v/>
      </c>
      <c r="V517">
        <f>TEXTJOIN("; ",TRUE,[@flag_oras],[@flag_tva],[@flag_scadenta],[@flag_zi])</f>
        <v/>
      </c>
    </row>
    <row r="518">
      <c r="A518" t="inlineStr">
        <is>
          <t>F-2025-00517</t>
        </is>
      </c>
      <c r="B518" s="12" t="n">
        <v>46230</v>
      </c>
      <c r="C518" t="inlineStr">
        <is>
          <t>SC INTEGROMED SA</t>
        </is>
      </c>
      <c r="D518" t="inlineStr">
        <is>
          <t>Cluj</t>
        </is>
      </c>
      <c r="E518" t="inlineStr">
        <is>
          <t>PRD-007</t>
        </is>
      </c>
      <c r="F518" t="inlineStr">
        <is>
          <t>Consultanta implementare IT</t>
        </is>
      </c>
      <c r="G518" t="inlineStr">
        <is>
          <t>Servicii consultanță</t>
        </is>
      </c>
      <c r="H518" t="n">
        <v>1</v>
      </c>
      <c r="I518" t="n">
        <v>182.92</v>
      </c>
      <c r="J518" t="n">
        <v>182.92</v>
      </c>
      <c r="K518" s="13" t="n">
        <v>0.19</v>
      </c>
      <c r="L518" t="n">
        <v>34.75</v>
      </c>
      <c r="M518" t="n">
        <v>217.67</v>
      </c>
      <c r="N518" t="inlineStr">
        <is>
          <t>RON</t>
        </is>
      </c>
      <c r="O518" t="inlineStr">
        <is>
          <t>Cluj-Napoca</t>
        </is>
      </c>
      <c r="P518" s="12" t="n">
        <v>46275</v>
      </c>
      <c r="Q518">
        <f>IF(COUNTIF(tbl_Localitati[oras_oficial],[@oras])=0,"ORAS NEALINIAT",IF(XLOOKUP([@oras],tbl_Localitati[oras_oficial],tbl_Localitati[judet],"?")&lt;&gt;[@judet],"JUDET NECORESPUNZATOR",""))</f>
        <v/>
      </c>
      <c r="R518">
        <f>IF(XLOOKUP([@categorie],tbl_RegulriTVA[categorie],tbl_RegulriTVA[cota_legala],-1)&lt;&gt;[@cota_tva],"TVA GRESIT","")</f>
        <v/>
      </c>
      <c r="S518">
        <f>IF([@data_scadentei]&lt;[@data_factura],"SCADENTA INAINTEA FACTURII","")</f>
        <v/>
      </c>
      <c r="T518">
        <f>IF(NETWORKDAYS.INTL([@data_factura],[@data_factura],1,tbl_SarbatoriLegale[data])=0,"ZI NELUCRATOARE","")</f>
        <v/>
      </c>
      <c r="U518">
        <f>IF([@motiv_anomalie]="","OK","DE INVESTIGAT")</f>
        <v/>
      </c>
      <c r="V518">
        <f>TEXTJOIN("; ",TRUE,[@flag_oras],[@flag_tva],[@flag_scadenta],[@flag_zi])</f>
        <v/>
      </c>
    </row>
    <row r="519">
      <c r="A519" t="inlineStr">
        <is>
          <t>F-2025-00518</t>
        </is>
      </c>
      <c r="B519" s="12" t="n">
        <v>46346</v>
      </c>
      <c r="C519" t="inlineStr">
        <is>
          <t>SC OMEGA SOFT SRL</t>
        </is>
      </c>
      <c r="D519" t="inlineStr">
        <is>
          <t>Dolj</t>
        </is>
      </c>
      <c r="E519" t="inlineStr">
        <is>
          <t>PRD-010</t>
        </is>
      </c>
      <c r="F519" t="inlineStr">
        <is>
          <t>Multifunctionala laser</t>
        </is>
      </c>
      <c r="G519" t="inlineStr">
        <is>
          <t>Echipamente birou</t>
        </is>
      </c>
      <c r="H519" t="n">
        <v>10</v>
      </c>
      <c r="I519" t="n">
        <v>364.38</v>
      </c>
      <c r="J519" t="n">
        <v>3643.8</v>
      </c>
      <c r="K519" s="13" t="n">
        <v>0.19</v>
      </c>
      <c r="L519" t="n">
        <v>692.3200000000001</v>
      </c>
      <c r="M519" t="n">
        <v>4336.12</v>
      </c>
      <c r="N519" t="inlineStr">
        <is>
          <t>RON</t>
        </is>
      </c>
      <c r="O519" t="inlineStr">
        <is>
          <t>Craiova</t>
        </is>
      </c>
      <c r="P519" s="12" t="n">
        <v>46376</v>
      </c>
      <c r="Q519">
        <f>IF(COUNTIF(tbl_Localitati[oras_oficial],[@oras])=0,"ORAS NEALINIAT",IF(XLOOKUP([@oras],tbl_Localitati[oras_oficial],tbl_Localitati[judet],"?")&lt;&gt;[@judet],"JUDET NECORESPUNZATOR",""))</f>
        <v/>
      </c>
      <c r="R519">
        <f>IF(XLOOKUP([@categorie],tbl_RegulriTVA[categorie],tbl_RegulriTVA[cota_legala],-1)&lt;&gt;[@cota_tva],"TVA GRESIT","")</f>
        <v/>
      </c>
      <c r="S519">
        <f>IF([@data_scadentei]&lt;[@data_factura],"SCADENTA INAINTEA FACTURII","")</f>
        <v/>
      </c>
      <c r="T519">
        <f>IF(NETWORKDAYS.INTL([@data_factura],[@data_factura],1,tbl_SarbatoriLegale[data])=0,"ZI NELUCRATOARE","")</f>
        <v/>
      </c>
      <c r="U519">
        <f>IF([@motiv_anomalie]="","OK","DE INVESTIGAT")</f>
        <v/>
      </c>
      <c r="V519">
        <f>TEXTJOIN("; ",TRUE,[@flag_oras],[@flag_tva],[@flag_scadenta],[@flag_zi])</f>
        <v/>
      </c>
    </row>
    <row r="520">
      <c r="A520" t="inlineStr">
        <is>
          <t>F-2025-00519</t>
        </is>
      </c>
      <c r="B520" s="12" t="n">
        <v>46171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Pachet protocol sedinte</t>
        </is>
      </c>
      <c r="G520" t="inlineStr">
        <is>
          <t>Alimente</t>
        </is>
      </c>
      <c r="H520" t="n">
        <v>10</v>
      </c>
      <c r="I520" t="n">
        <v>733.7</v>
      </c>
      <c r="J520" t="n">
        <v>7337</v>
      </c>
      <c r="K520" s="13" t="n">
        <v>0.09</v>
      </c>
      <c r="L520" t="n">
        <v>660.33</v>
      </c>
      <c r="M520" t="n">
        <v>7997.33</v>
      </c>
      <c r="N520" t="inlineStr">
        <is>
          <t>RON</t>
        </is>
      </c>
      <c r="O520" t="inlineStr">
        <is>
          <t>Sibiu</t>
        </is>
      </c>
      <c r="P520" s="12" t="n">
        <v>46201</v>
      </c>
      <c r="Q520">
        <f>IF(COUNTIF(tbl_Localitati[oras_oficial],[@oras])=0,"ORAS NEALINIAT",IF(XLOOKUP([@oras],tbl_Localitati[oras_oficial],tbl_Localitati[judet],"?")&lt;&gt;[@judet],"JUDET NECORESPUNZATOR",""))</f>
        <v/>
      </c>
      <c r="R520">
        <f>IF(XLOOKUP([@categorie],tbl_RegulriTVA[categorie],tbl_RegulriTVA[cota_legala],-1)&lt;&gt;[@cota_tva],"TVA GRESIT","")</f>
        <v/>
      </c>
      <c r="S520">
        <f>IF([@data_scadentei]&lt;[@data_factura],"SCADENTA INAINTEA FACTURII","")</f>
        <v/>
      </c>
      <c r="T520">
        <f>IF(NETWORKDAYS.INTL([@data_factura],[@data_factura],1,tbl_SarbatoriLegale[data])=0,"ZI NELUCRATOARE","")</f>
        <v/>
      </c>
      <c r="U520">
        <f>IF([@motiv_anomalie]="","OK","DE INVESTIGAT")</f>
        <v/>
      </c>
      <c r="V520">
        <f>TEXTJOIN("; ",TRUE,[@flag_oras],[@flag_tva],[@flag_scadenta],[@flag_zi])</f>
        <v/>
      </c>
    </row>
    <row r="521">
      <c r="A521" t="inlineStr">
        <is>
          <t>F-2025-00520</t>
        </is>
      </c>
      <c r="B521" s="12" t="n">
        <v>46035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Manual proceduri interne</t>
        </is>
      </c>
      <c r="G521" t="inlineStr">
        <is>
          <t>Cărți și manuale</t>
        </is>
      </c>
      <c r="H521" t="n">
        <v>20</v>
      </c>
      <c r="I521" t="n">
        <v>332.91</v>
      </c>
      <c r="J521" t="n">
        <v>6658.2</v>
      </c>
      <c r="K521" s="13" t="n">
        <v>0.05</v>
      </c>
      <c r="L521" t="n">
        <v>332.91</v>
      </c>
      <c r="M521" t="n">
        <v>6991.11</v>
      </c>
      <c r="N521" t="inlineStr">
        <is>
          <t>RON</t>
        </is>
      </c>
      <c r="O521" t="inlineStr">
        <is>
          <t>Sibiu</t>
        </is>
      </c>
      <c r="P521" s="12" t="n">
        <v>46065</v>
      </c>
      <c r="Q521">
        <f>IF(COUNTIF(tbl_Localitati[oras_oficial],[@oras])=0,"ORAS NEALINIAT",IF(XLOOKUP([@oras],tbl_Localitati[oras_oficial],tbl_Localitati[judet],"?")&lt;&gt;[@judet],"JUDET NECORESPUNZATOR",""))</f>
        <v/>
      </c>
      <c r="R521">
        <f>IF(XLOOKUP([@categorie],tbl_RegulriTVA[categorie],tbl_RegulriTVA[cota_legala],-1)&lt;&gt;[@cota_tva],"TVA GRESIT","")</f>
        <v/>
      </c>
      <c r="S521">
        <f>IF([@data_scadentei]&lt;[@data_factura],"SCADENTA INAINTEA FACTURII","")</f>
        <v/>
      </c>
      <c r="T521">
        <f>IF(NETWORKDAYS.INTL([@data_factura],[@data_factura],1,tbl_SarbatoriLegale[data])=0,"ZI NELUCRATOARE","")</f>
        <v/>
      </c>
      <c r="U521">
        <f>IF([@motiv_anomalie]="","OK","DE INVESTIGAT")</f>
        <v/>
      </c>
      <c r="V521">
        <f>TEXTJOIN("; ",TRUE,[@flag_oras],[@flag_tva],[@flag_scadenta],[@flag_zi])</f>
        <v/>
      </c>
    </row>
    <row r="522">
      <c r="A522" t="inlineStr">
        <is>
          <t>F-2025-00521</t>
        </is>
      </c>
      <c r="B522" s="12" t="n">
        <v>46114</v>
      </c>
      <c r="C522" t="inlineStr">
        <is>
          <t>SC DACTECH SOLUTIONS SRL</t>
        </is>
      </c>
      <c r="D522" t="inlineStr">
        <is>
          <t>Argeș</t>
        </is>
      </c>
      <c r="E522" t="inlineStr">
        <is>
          <t>PRD-003</t>
        </is>
      </c>
      <c r="F522" t="inlineStr">
        <is>
          <t>Licenta Office 365 anuala</t>
        </is>
      </c>
      <c r="G522" t="inlineStr">
        <is>
          <t>Licențe software</t>
        </is>
      </c>
      <c r="H522" t="n">
        <v>5</v>
      </c>
      <c r="I522" t="n">
        <v>4038.71</v>
      </c>
      <c r="J522" t="n">
        <v>20193.55</v>
      </c>
      <c r="K522" s="13" t="n">
        <v>0.19</v>
      </c>
      <c r="L522" t="n">
        <v>3836.77</v>
      </c>
      <c r="M522" t="n">
        <v>24030.32</v>
      </c>
      <c r="N522" t="inlineStr">
        <is>
          <t>RON</t>
        </is>
      </c>
      <c r="O522" t="inlineStr">
        <is>
          <t>Pitești</t>
        </is>
      </c>
      <c r="P522" s="12" t="n">
        <v>46174</v>
      </c>
      <c r="Q522">
        <f>IF(COUNTIF(tbl_Localitati[oras_oficial],[@oras])=0,"ORAS NEALINIAT",IF(XLOOKUP([@oras],tbl_Localitati[oras_oficial],tbl_Localitati[judet],"?")&lt;&gt;[@judet],"JUDET NECORESPUNZATOR",""))</f>
        <v/>
      </c>
      <c r="R522">
        <f>IF(XLOOKUP([@categorie],tbl_RegulriTVA[categorie],tbl_RegulriTVA[cota_legala],-1)&lt;&gt;[@cota_tva],"TVA GRESIT","")</f>
        <v/>
      </c>
      <c r="S522">
        <f>IF([@data_scadentei]&lt;[@data_factura],"SCADENTA INAINTEA FACTURII","")</f>
        <v/>
      </c>
      <c r="T522">
        <f>IF(NETWORKDAYS.INTL([@data_factura],[@data_factura],1,tbl_SarbatoriLegale[data])=0,"ZI NELUCRATOARE","")</f>
        <v/>
      </c>
      <c r="U522">
        <f>IF([@motiv_anomalie]="","OK","DE INVESTIGAT")</f>
        <v/>
      </c>
      <c r="V522">
        <f>TEXTJOIN("; ",TRUE,[@flag_oras],[@flag_tva],[@flag_scadenta],[@flag_zi])</f>
        <v/>
      </c>
    </row>
    <row r="523">
      <c r="A523" t="inlineStr">
        <is>
          <t>F-2025-00522</t>
        </is>
      </c>
      <c r="B523" s="12" t="n">
        <v>46241</v>
      </c>
      <c r="C523" t="inlineStr">
        <is>
          <t>SC DACTECH SOLUTIONS SRL</t>
        </is>
      </c>
      <c r="D523" t="inlineStr">
        <is>
          <t>Argeș</t>
        </is>
      </c>
      <c r="E523" t="inlineStr">
        <is>
          <t>PRD-009</t>
        </is>
      </c>
      <c r="F523" t="inlineStr">
        <is>
          <t>Ghid legislatie GDPR</t>
        </is>
      </c>
      <c r="G523" t="inlineStr">
        <is>
          <t>Cărți și manuale</t>
        </is>
      </c>
      <c r="H523" t="n">
        <v>20</v>
      </c>
      <c r="I523" t="n">
        <v>28.66</v>
      </c>
      <c r="J523" t="n">
        <v>573.2</v>
      </c>
      <c r="K523" s="13" t="n">
        <v>0.05</v>
      </c>
      <c r="L523" t="n">
        <v>28.66</v>
      </c>
      <c r="M523" t="n">
        <v>601.86</v>
      </c>
      <c r="N523" t="inlineStr">
        <is>
          <t>RON</t>
        </is>
      </c>
      <c r="O523" t="inlineStr">
        <is>
          <t>Pitești</t>
        </is>
      </c>
      <c r="P523" s="12" t="n">
        <v>46301</v>
      </c>
      <c r="Q523">
        <f>IF(COUNTIF(tbl_Localitati[oras_oficial],[@oras])=0,"ORAS NEALINIAT",IF(XLOOKUP([@oras],tbl_Localitati[oras_oficial],tbl_Localitati[judet],"?")&lt;&gt;[@judet],"JUDET NECORESPUNZATOR",""))</f>
        <v/>
      </c>
      <c r="R523">
        <f>IF(XLOOKUP([@categorie],tbl_RegulriTVA[categorie],tbl_RegulriTVA[cota_legala],-1)&lt;&gt;[@cota_tva],"TVA GRESIT","")</f>
        <v/>
      </c>
      <c r="S523">
        <f>IF([@data_scadentei]&lt;[@data_factura],"SCADENTA INAINTEA FACTURII","")</f>
        <v/>
      </c>
      <c r="T523">
        <f>IF(NETWORKDAYS.INTL([@data_factura],[@data_factura],1,tbl_SarbatoriLegale[data])=0,"ZI NELUCRATOARE","")</f>
        <v/>
      </c>
      <c r="U523">
        <f>IF([@motiv_anomalie]="","OK","DE INVESTIGAT")</f>
        <v/>
      </c>
      <c r="V523">
        <f>TEXTJOIN("; ",TRUE,[@flag_oras],[@flag_tva],[@flag_scadenta],[@flag_zi])</f>
        <v/>
      </c>
    </row>
    <row r="524">
      <c r="A524" t="inlineStr">
        <is>
          <t>F-2025-00523</t>
        </is>
      </c>
      <c r="B524" s="12" t="n">
        <v>46044</v>
      </c>
      <c r="C524" t="inlineStr">
        <is>
          <t>SC INTEGROMED SA</t>
        </is>
      </c>
      <c r="D524" t="inlineStr">
        <is>
          <t>Alba</t>
        </is>
      </c>
      <c r="E524" t="inlineStr">
        <is>
          <t>PRD-001</t>
        </is>
      </c>
      <c r="F524" t="inlineStr">
        <is>
          <t>Switch gigabit 24p</t>
        </is>
      </c>
      <c r="G524" t="inlineStr">
        <is>
          <t>Hardware IT</t>
        </is>
      </c>
      <c r="H524" t="n">
        <v>1</v>
      </c>
      <c r="I524" t="n">
        <v>2365.38</v>
      </c>
      <c r="J524" t="n">
        <v>2365.38</v>
      </c>
      <c r="K524" s="13" t="n">
        <v>0.09</v>
      </c>
      <c r="L524" t="n">
        <v>212.88</v>
      </c>
      <c r="M524" t="n">
        <v>2578.26</v>
      </c>
      <c r="N524" t="inlineStr">
        <is>
          <t>RON</t>
        </is>
      </c>
      <c r="O524" t="inlineStr">
        <is>
          <t>Cluj-Napoca</t>
        </is>
      </c>
      <c r="P524" s="12" t="n">
        <v>46074</v>
      </c>
      <c r="Q524">
        <f>IF(COUNTIF(tbl_Localitati[oras_oficial],[@oras])=0,"ORAS NEALINIAT",IF(XLOOKUP([@oras],tbl_Localitati[oras_oficial],tbl_Localitati[judet],"?")&lt;&gt;[@judet],"JUDET NECORESPUNZATOR",""))</f>
        <v/>
      </c>
      <c r="R524">
        <f>IF(XLOOKUP([@categorie],tbl_RegulriTVA[categorie],tbl_RegulriTVA[cota_legala],-1)&lt;&gt;[@cota_tva],"TVA GRESIT","")</f>
        <v/>
      </c>
      <c r="S524">
        <f>IF([@data_scadentei]&lt;[@data_factura],"SCADENTA INAINTEA FACTURII","")</f>
        <v/>
      </c>
      <c r="T524">
        <f>IF(NETWORKDAYS.INTL([@data_factura],[@data_factura],1,tbl_SarbatoriLegale[data])=0,"ZI NELUCRATOARE","")</f>
        <v/>
      </c>
      <c r="U524">
        <f>IF([@motiv_anomalie]="","OK","DE INVESTIGAT")</f>
        <v/>
      </c>
      <c r="V524">
        <f>TEXTJOIN("; ",TRUE,[@flag_oras],[@flag_tva],[@flag_scadenta],[@flag_zi])</f>
        <v/>
      </c>
    </row>
    <row r="525">
      <c r="A525" t="inlineStr">
        <is>
          <t>F-2025-00524</t>
        </is>
      </c>
      <c r="B525" s="12" t="n">
        <v>46325</v>
      </c>
      <c r="C525" t="inlineStr">
        <is>
          <t>SC AROMET TRADING SRL</t>
        </is>
      </c>
      <c r="D525" t="inlineStr">
        <is>
          <t>Alba</t>
        </is>
      </c>
      <c r="E525" t="inlineStr">
        <is>
          <t>PRD-008</t>
        </is>
      </c>
      <c r="F525" t="inlineStr">
        <is>
          <t>Licenta antivirus enterprise</t>
        </is>
      </c>
      <c r="G525" t="inlineStr">
        <is>
          <t>Licențe software</t>
        </is>
      </c>
      <c r="H525" t="n">
        <v>10</v>
      </c>
      <c r="I525" t="n">
        <v>440.72</v>
      </c>
      <c r="J525" t="n">
        <v>4407.2</v>
      </c>
      <c r="K525" s="13" t="n">
        <v>0.19</v>
      </c>
      <c r="L525" t="n">
        <v>837.37</v>
      </c>
      <c r="M525" t="n">
        <v>5244.57</v>
      </c>
      <c r="N525" t="inlineStr">
        <is>
          <t>RON</t>
        </is>
      </c>
      <c r="O525" t="inlineStr">
        <is>
          <t>Alba Iulia</t>
        </is>
      </c>
      <c r="P525" s="12" t="n">
        <v>46385</v>
      </c>
      <c r="Q525">
        <f>IF(COUNTIF(tbl_Localitati[oras_oficial],[@oras])=0,"ORAS NEALINIAT",IF(XLOOKUP([@oras],tbl_Localitati[oras_oficial],tbl_Localitati[judet],"?")&lt;&gt;[@judet],"JUDET NECORESPUNZATOR",""))</f>
        <v/>
      </c>
      <c r="R525">
        <f>IF(XLOOKUP([@categorie],tbl_RegulriTVA[categorie],tbl_RegulriTVA[cota_legala],-1)&lt;&gt;[@cota_tva],"TVA GRESIT","")</f>
        <v/>
      </c>
      <c r="S525">
        <f>IF([@data_scadentei]&lt;[@data_factura],"SCADENTA INAINTEA FACTURII","")</f>
        <v/>
      </c>
      <c r="T525">
        <f>IF(NETWORKDAYS.INTL([@data_factura],[@data_factura],1,tbl_SarbatoriLegale[data])=0,"ZI NELUCRATOARE","")</f>
        <v/>
      </c>
      <c r="U525">
        <f>IF([@motiv_anomalie]="","OK","DE INVESTIGAT")</f>
        <v/>
      </c>
      <c r="V525">
        <f>TEXTJOIN("; ",TRUE,[@flag_oras],[@flag_tva],[@flag_scadenta],[@flag_zi])</f>
        <v/>
      </c>
    </row>
    <row r="526">
      <c r="A526" t="inlineStr">
        <is>
          <t>F-2025-00525</t>
        </is>
      </c>
      <c r="B526" s="12" t="n">
        <v>46075</v>
      </c>
      <c r="C526" t="inlineStr">
        <is>
          <t>SC DACTECH SOLUTIONS SRL</t>
        </is>
      </c>
      <c r="D526" t="inlineStr">
        <is>
          <t>Argeș</t>
        </is>
      </c>
      <c r="E526" t="inlineStr">
        <is>
          <t>PRD-007</t>
        </is>
      </c>
      <c r="F526" t="inlineStr">
        <is>
          <t>Set carti formare</t>
        </is>
      </c>
      <c r="G526" t="inlineStr">
        <is>
          <t>Cărți și manuale</t>
        </is>
      </c>
      <c r="H526" t="n">
        <v>5</v>
      </c>
      <c r="I526" t="n">
        <v>183.69</v>
      </c>
      <c r="J526" t="n">
        <v>918.45</v>
      </c>
      <c r="K526" s="13" t="n">
        <v>0.05</v>
      </c>
      <c r="L526" t="n">
        <v>45.92</v>
      </c>
      <c r="M526" t="n">
        <v>964.37</v>
      </c>
      <c r="N526" t="inlineStr">
        <is>
          <t>RON</t>
        </is>
      </c>
      <c r="O526" t="inlineStr">
        <is>
          <t>Pitești</t>
        </is>
      </c>
      <c r="P526" s="12" t="n">
        <v>46105</v>
      </c>
      <c r="Q526">
        <f>IF(COUNTIF(tbl_Localitati[oras_oficial],[@oras])=0,"ORAS NEALINIAT",IF(XLOOKUP([@oras],tbl_Localitati[oras_oficial],tbl_Localitati[judet],"?")&lt;&gt;[@judet],"JUDET NECORESPUNZATOR",""))</f>
        <v/>
      </c>
      <c r="R526">
        <f>IF(XLOOKUP([@categorie],tbl_RegulriTVA[categorie],tbl_RegulriTVA[cota_legala],-1)&lt;&gt;[@cota_tva],"TVA GRESIT","")</f>
        <v/>
      </c>
      <c r="S526">
        <f>IF([@data_scadentei]&lt;[@data_factura],"SCADENTA INAINTEA FACTURII","")</f>
        <v/>
      </c>
      <c r="T526">
        <f>IF(NETWORKDAYS.INTL([@data_factura],[@data_factura],1,tbl_SarbatoriLegale[data])=0,"ZI NELUCRATOARE","")</f>
        <v/>
      </c>
      <c r="U526">
        <f>IF([@motiv_anomalie]="","OK","DE INVESTIGAT")</f>
        <v/>
      </c>
      <c r="V526">
        <f>TEXTJOIN("; ",TRUE,[@flag_oras],[@flag_tva],[@flag_scadenta],[@flag_zi])</f>
        <v/>
      </c>
    </row>
    <row r="527">
      <c r="A527" t="inlineStr">
        <is>
          <t>F-2025-00526</t>
        </is>
      </c>
      <c r="B527" s="12" t="n">
        <v>46093</v>
      </c>
      <c r="C527" t="inlineStr">
        <is>
          <t>SC NORDIS DISTRIBUTIE SRL</t>
        </is>
      </c>
      <c r="D527" t="inlineStr">
        <is>
          <t>Constanța</t>
        </is>
      </c>
      <c r="E527" t="inlineStr">
        <is>
          <t>PRD-004</t>
        </is>
      </c>
      <c r="F527" t="inlineStr">
        <is>
          <t>Cafea boabe 1kg</t>
        </is>
      </c>
      <c r="G527" t="inlineStr">
        <is>
          <t>Alimente</t>
        </is>
      </c>
      <c r="H527" t="n">
        <v>5</v>
      </c>
      <c r="I527" t="n">
        <v>884.46</v>
      </c>
      <c r="J527" t="n">
        <v>4422.3</v>
      </c>
      <c r="K527" s="13" t="n">
        <v>0.09</v>
      </c>
      <c r="L527" t="n">
        <v>398.01</v>
      </c>
      <c r="M527" t="n">
        <v>4820.31</v>
      </c>
      <c r="N527" t="inlineStr">
        <is>
          <t>RON</t>
        </is>
      </c>
      <c r="O527" t="inlineStr">
        <is>
          <t>Mangalia</t>
        </is>
      </c>
      <c r="P527" s="12" t="n">
        <v>46123</v>
      </c>
      <c r="Q527">
        <f>IF(COUNTIF(tbl_Localitati[oras_oficial],[@oras])=0,"ORAS NEALINIAT",IF(XLOOKUP([@oras],tbl_Localitati[oras_oficial],tbl_Localitati[judet],"?")&lt;&gt;[@judet],"JUDET NECORESPUNZATOR",""))</f>
        <v/>
      </c>
      <c r="R527">
        <f>IF(XLOOKUP([@categorie],tbl_RegulriTVA[categorie],tbl_RegulriTVA[cota_legala],-1)&lt;&gt;[@cota_tva],"TVA GRESIT","")</f>
        <v/>
      </c>
      <c r="S527">
        <f>IF([@data_scadentei]&lt;[@data_factura],"SCADENTA INAINTEA FACTURII","")</f>
        <v/>
      </c>
      <c r="T527">
        <f>IF(NETWORKDAYS.INTL([@data_factura],[@data_factura],1,tbl_SarbatoriLegale[data])=0,"ZI NELUCRATOARE","")</f>
        <v/>
      </c>
      <c r="U527">
        <f>IF([@motiv_anomalie]="","OK","DE INVESTIGAT")</f>
        <v/>
      </c>
      <c r="V527">
        <f>TEXTJOIN("; ",TRUE,[@flag_oras],[@flag_tva],[@flag_scadenta],[@flag_zi])</f>
        <v/>
      </c>
    </row>
    <row r="528">
      <c r="A528" t="inlineStr">
        <is>
          <t>F-2025-00527</t>
        </is>
      </c>
      <c r="B528" s="12" t="n">
        <v>46311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Trusa prim ajutor</t>
        </is>
      </c>
      <c r="G528" t="inlineStr">
        <is>
          <t>Produse farmaceutice</t>
        </is>
      </c>
      <c r="H528" t="n">
        <v>5</v>
      </c>
      <c r="I528" t="n">
        <v>29.24</v>
      </c>
      <c r="J528" t="n">
        <v>146.2</v>
      </c>
      <c r="K528" s="13" t="n">
        <v>0.19</v>
      </c>
      <c r="L528" t="n">
        <v>27.78</v>
      </c>
      <c r="M528" t="n">
        <v>173.98</v>
      </c>
      <c r="N528" t="inlineStr">
        <is>
          <t>RON</t>
        </is>
      </c>
      <c r="O528" t="inlineStr">
        <is>
          <t>Ploiesti Centru</t>
        </is>
      </c>
      <c r="P528" s="12" t="n">
        <v>46341</v>
      </c>
      <c r="Q528">
        <f>IF(COUNTIF(tbl_Localitati[oras_oficial],[@oras])=0,"ORAS NEALINIAT",IF(XLOOKUP([@oras],tbl_Localitati[oras_oficial],tbl_Localitati[judet],"?")&lt;&gt;[@judet],"JUDET NECORESPUNZATOR",""))</f>
        <v/>
      </c>
      <c r="R528">
        <f>IF(XLOOKUP([@categorie],tbl_RegulriTVA[categorie],tbl_RegulriTVA[cota_legala],-1)&lt;&gt;[@cota_tva],"TVA GRESIT","")</f>
        <v/>
      </c>
      <c r="S528">
        <f>IF([@data_scadentei]&lt;[@data_factura],"SCADENTA INAINTEA FACTURII","")</f>
        <v/>
      </c>
      <c r="T528">
        <f>IF(NETWORKDAYS.INTL([@data_factura],[@data_factura],1,tbl_SarbatoriLegale[data])=0,"ZI NELUCRATOARE","")</f>
        <v/>
      </c>
      <c r="U528">
        <f>IF([@motiv_anomalie]="","OK","DE INVESTIGAT")</f>
        <v/>
      </c>
      <c r="V528">
        <f>TEXTJOIN("; ",TRUE,[@flag_oras],[@flag_tva],[@flag_scadenta],[@flag_zi])</f>
        <v/>
      </c>
    </row>
    <row r="529">
      <c r="A529" t="inlineStr">
        <is>
          <t>F-2025-00528</t>
        </is>
      </c>
      <c r="B529" s="12" t="n">
        <v>46100</v>
      </c>
      <c r="C529" t="inlineStr">
        <is>
          <t>SC SOLARIS ENERGY SRL</t>
        </is>
      </c>
      <c r="D529" t="inlineStr">
        <is>
          <t>Prahova</t>
        </is>
      </c>
      <c r="E529" t="inlineStr">
        <is>
          <t>PRD-003</t>
        </is>
      </c>
      <c r="F529" t="inlineStr">
        <is>
          <t>Licenta antivirus enterprise</t>
        </is>
      </c>
      <c r="G529" t="inlineStr">
        <is>
          <t>Licențe software</t>
        </is>
      </c>
      <c r="H529" t="n">
        <v>10</v>
      </c>
      <c r="I529" t="n">
        <v>4218.34</v>
      </c>
      <c r="J529" t="n">
        <v>42183.4</v>
      </c>
      <c r="K529" s="13" t="n">
        <v>0.19</v>
      </c>
      <c r="L529" t="n">
        <v>8014.85</v>
      </c>
      <c r="M529" t="n">
        <v>50198.25</v>
      </c>
      <c r="N529" t="inlineStr">
        <is>
          <t>RON</t>
        </is>
      </c>
      <c r="O529" t="inlineStr">
        <is>
          <t>Câmpina</t>
        </is>
      </c>
      <c r="P529" s="12" t="n">
        <v>46115</v>
      </c>
      <c r="Q529">
        <f>IF(COUNTIF(tbl_Localitati[oras_oficial],[@oras])=0,"ORAS NEALINIAT",IF(XLOOKUP([@oras],tbl_Localitati[oras_oficial],tbl_Localitati[judet],"?")&lt;&gt;[@judet],"JUDET NECORESPUNZATOR",""))</f>
        <v/>
      </c>
      <c r="R529">
        <f>IF(XLOOKUP([@categorie],tbl_RegulriTVA[categorie],tbl_RegulriTVA[cota_legala],-1)&lt;&gt;[@cota_tva],"TVA GRESIT","")</f>
        <v/>
      </c>
      <c r="S529">
        <f>IF([@data_scadentei]&lt;[@data_factura],"SCADENTA INAINTEA FACTURII","")</f>
        <v/>
      </c>
      <c r="T529">
        <f>IF(NETWORKDAYS.INTL([@data_factura],[@data_factura],1,tbl_SarbatoriLegale[data])=0,"ZI NELUCRATOARE","")</f>
        <v/>
      </c>
      <c r="U529">
        <f>IF([@motiv_anomalie]="","OK","DE INVESTIGAT")</f>
        <v/>
      </c>
      <c r="V529">
        <f>TEXTJOIN("; ",TRUE,[@flag_oras],[@flag_tva],[@flag_scadenta],[@flag_zi])</f>
        <v/>
      </c>
    </row>
    <row r="530">
      <c r="A530" t="inlineStr">
        <is>
          <t>F-2025-00529</t>
        </is>
      </c>
      <c r="B530" s="12" t="n">
        <v>46146</v>
      </c>
      <c r="C530" t="inlineStr">
        <is>
          <t>SC NORDIS DISTRIBUTIE SRL</t>
        </is>
      </c>
      <c r="D530" t="inlineStr">
        <is>
          <t>Constanța</t>
        </is>
      </c>
      <c r="E530" t="inlineStr">
        <is>
          <t>PRD-001</t>
        </is>
      </c>
      <c r="F530" t="inlineStr">
        <is>
          <t>Switch gigabit 24p</t>
        </is>
      </c>
      <c r="G530" t="inlineStr">
        <is>
          <t>Hardware IT</t>
        </is>
      </c>
      <c r="H530" t="n">
        <v>5</v>
      </c>
      <c r="I530" t="n">
        <v>2319.6</v>
      </c>
      <c r="J530" t="n">
        <v>11598</v>
      </c>
      <c r="K530" s="13" t="n">
        <v>0.19</v>
      </c>
      <c r="L530" t="n">
        <v>2203.62</v>
      </c>
      <c r="M530" t="n">
        <v>13801.62</v>
      </c>
      <c r="N530" t="inlineStr">
        <is>
          <t>RON</t>
        </is>
      </c>
      <c r="O530" t="inlineStr">
        <is>
          <t>Mangalia</t>
        </is>
      </c>
      <c r="P530" s="12" t="n">
        <v>46176</v>
      </c>
      <c r="Q530">
        <f>IF(COUNTIF(tbl_Localitati[oras_oficial],[@oras])=0,"ORAS NEALINIAT",IF(XLOOKUP([@oras],tbl_Localitati[oras_oficial],tbl_Localitati[judet],"?")&lt;&gt;[@judet],"JUDET NECORESPUNZATOR",""))</f>
        <v/>
      </c>
      <c r="R530">
        <f>IF(XLOOKUP([@categorie],tbl_RegulriTVA[categorie],tbl_RegulriTVA[cota_legala],-1)&lt;&gt;[@cota_tva],"TVA GRESIT","")</f>
        <v/>
      </c>
      <c r="S530">
        <f>IF([@data_scadentei]&lt;[@data_factura],"SCADENTA INAINTEA FACTURII","")</f>
        <v/>
      </c>
      <c r="T530">
        <f>IF(NETWORKDAYS.INTL([@data_factura],[@data_factura],1,tbl_SarbatoriLegale[data])=0,"ZI NELUCRATOARE","")</f>
        <v/>
      </c>
      <c r="U530">
        <f>IF([@motiv_anomalie]="","OK","DE INVESTIGAT")</f>
        <v/>
      </c>
      <c r="V530">
        <f>TEXTJOIN("; ",TRUE,[@flag_oras],[@flag_tva],[@flag_scadenta],[@flag_zi])</f>
        <v/>
      </c>
    </row>
    <row r="531">
      <c r="A531" t="inlineStr">
        <is>
          <t>F-2025-00530</t>
        </is>
      </c>
      <c r="B531" s="12" t="n">
        <v>46325</v>
      </c>
      <c r="C531" t="inlineStr">
        <is>
          <t>SC DACTECH SOLUTIONS SRL</t>
        </is>
      </c>
      <c r="D531" t="inlineStr">
        <is>
          <t>Argeș</t>
        </is>
      </c>
      <c r="E531" t="inlineStr">
        <is>
          <t>PRD-004</t>
        </is>
      </c>
      <c r="F531" t="inlineStr">
        <is>
          <t>Telefon IP birou</t>
        </is>
      </c>
      <c r="G531" t="inlineStr">
        <is>
          <t>Echipamente birou</t>
        </is>
      </c>
      <c r="H531" t="n">
        <v>1</v>
      </c>
      <c r="I531" t="n">
        <v>931.85</v>
      </c>
      <c r="J531" t="n">
        <v>931.85</v>
      </c>
      <c r="K531" s="13" t="n">
        <v>0.09</v>
      </c>
      <c r="L531" t="n">
        <v>83.87</v>
      </c>
      <c r="M531" t="n">
        <v>1015.72</v>
      </c>
      <c r="N531" t="inlineStr">
        <is>
          <t>RON</t>
        </is>
      </c>
      <c r="O531" t="inlineStr">
        <is>
          <t>Sibiu Oras</t>
        </is>
      </c>
      <c r="P531" s="12" t="n">
        <v>46370</v>
      </c>
      <c r="Q531">
        <f>IF(COUNTIF(tbl_Localitati[oras_oficial],[@oras])=0,"ORAS NEALINIAT",IF(XLOOKUP([@oras],tbl_Localitati[oras_oficial],tbl_Localitati[judet],"?")&lt;&gt;[@judet],"JUDET NECORESPUNZATOR",""))</f>
        <v/>
      </c>
      <c r="R531">
        <f>IF(XLOOKUP([@categorie],tbl_RegulriTVA[categorie],tbl_RegulriTVA[cota_legala],-1)&lt;&gt;[@cota_tva],"TVA GRESIT","")</f>
        <v/>
      </c>
      <c r="S531">
        <f>IF([@data_scadentei]&lt;[@data_factura],"SCADENTA INAINTEA FACTURII","")</f>
        <v/>
      </c>
      <c r="T531">
        <f>IF(NETWORKDAYS.INTL([@data_factura],[@data_factura],1,tbl_SarbatoriLegale[data])=0,"ZI NELUCRATOARE","")</f>
        <v/>
      </c>
      <c r="U531">
        <f>IF([@motiv_anomalie]="","OK","DE INVESTIGAT")</f>
        <v/>
      </c>
      <c r="V531">
        <f>TEXTJOIN("; ",TRUE,[@flag_oras],[@flag_tva],[@flag_scadenta],[@flag_zi])</f>
        <v/>
      </c>
    </row>
    <row r="532">
      <c r="A532" t="inlineStr">
        <is>
          <t>F-2025-00531</t>
        </is>
      </c>
      <c r="B532" s="12" t="n">
        <v>46042</v>
      </c>
      <c r="C532" t="inlineStr">
        <is>
          <t>SC INTEGROMED SA</t>
        </is>
      </c>
      <c r="D532" t="inlineStr">
        <is>
          <t>Cluj</t>
        </is>
      </c>
      <c r="E532" t="inlineStr">
        <is>
          <t>PRD-005</t>
        </is>
      </c>
      <c r="F532" t="inlineStr">
        <is>
          <t>Licenta antivirus enterprise</t>
        </is>
      </c>
      <c r="G532" t="inlineStr">
        <is>
          <t>Licențe software</t>
        </is>
      </c>
      <c r="H532" t="n">
        <v>1</v>
      </c>
      <c r="I532" t="n">
        <v>249.64</v>
      </c>
      <c r="J532" t="n">
        <v>249.64</v>
      </c>
      <c r="K532" s="13" t="n">
        <v>0.09</v>
      </c>
      <c r="L532" t="n">
        <v>22.47</v>
      </c>
      <c r="M532" t="n">
        <v>272.11</v>
      </c>
      <c r="N532" t="inlineStr">
        <is>
          <t>RON</t>
        </is>
      </c>
      <c r="O532" t="inlineStr">
        <is>
          <t>CJ</t>
        </is>
      </c>
      <c r="P532" s="12" t="n">
        <v>46102</v>
      </c>
      <c r="Q532">
        <f>IF(COUNTIF(tbl_Localitati[oras_oficial],[@oras])=0,"ORAS NEALINIAT",IF(XLOOKUP([@oras],tbl_Localitati[oras_oficial],tbl_Localitati[judet],"?")&lt;&gt;[@judet],"JUDET NECORESPUNZATOR",""))</f>
        <v/>
      </c>
      <c r="R532">
        <f>IF(XLOOKUP([@categorie],tbl_RegulriTVA[categorie],tbl_RegulriTVA[cota_legala],-1)&lt;&gt;[@cota_tva],"TVA GRESIT","")</f>
        <v/>
      </c>
      <c r="S532">
        <f>IF([@data_scadentei]&lt;[@data_factura],"SCADENTA INAINTEA FACTURII","")</f>
        <v/>
      </c>
      <c r="T532">
        <f>IF(NETWORKDAYS.INTL([@data_factura],[@data_factura],1,tbl_SarbatoriLegale[data])=0,"ZI NELUCRATOARE","")</f>
        <v/>
      </c>
      <c r="U532">
        <f>IF([@motiv_anomalie]="","OK","DE INVESTIGAT")</f>
        <v/>
      </c>
      <c r="V532">
        <f>TEXTJOIN("; ",TRUE,[@flag_oras],[@flag_tva],[@flag_scadenta],[@flag_zi])</f>
        <v/>
      </c>
    </row>
    <row r="533">
      <c r="A533" t="inlineStr">
        <is>
          <t>F-2025-00532</t>
        </is>
      </c>
      <c r="B533" s="12" t="n">
        <v>46161</v>
      </c>
      <c r="C533" t="inlineStr">
        <is>
          <t>SC METALPLAST INVEST SA</t>
        </is>
      </c>
      <c r="D533" t="inlineStr">
        <is>
          <t>Cluj</t>
        </is>
      </c>
      <c r="E533" t="inlineStr">
        <is>
          <t>PRD-002</t>
        </is>
      </c>
      <c r="F533" t="inlineStr">
        <is>
          <t>Licenta ERP contabilitate</t>
        </is>
      </c>
      <c r="G533" t="inlineStr">
        <is>
          <t>Licențe software</t>
        </is>
      </c>
      <c r="H533" t="n">
        <v>5</v>
      </c>
      <c r="I533" t="n">
        <v>1067.08</v>
      </c>
      <c r="J533" t="n">
        <v>5335.4</v>
      </c>
      <c r="K533" s="13" t="n">
        <v>0.19</v>
      </c>
      <c r="L533" t="n">
        <v>1013.73</v>
      </c>
      <c r="M533" t="n">
        <v>6349.13</v>
      </c>
      <c r="N533" t="inlineStr">
        <is>
          <t>RON</t>
        </is>
      </c>
      <c r="O533" t="inlineStr">
        <is>
          <t>Turda</t>
        </is>
      </c>
      <c r="P533" s="12" t="n">
        <v>46176</v>
      </c>
      <c r="Q533">
        <f>IF(COUNTIF(tbl_Localitati[oras_oficial],[@oras])=0,"ORAS NEALINIAT",IF(XLOOKUP([@oras],tbl_Localitati[oras_oficial],tbl_Localitati[judet],"?")&lt;&gt;[@judet],"JUDET NECORESPUNZATOR",""))</f>
        <v/>
      </c>
      <c r="R533">
        <f>IF(XLOOKUP([@categorie],tbl_RegulriTVA[categorie],tbl_RegulriTVA[cota_legala],-1)&lt;&gt;[@cota_tva],"TVA GRESIT","")</f>
        <v/>
      </c>
      <c r="S533">
        <f>IF([@data_scadentei]&lt;[@data_factura],"SCADENTA INAINTEA FACTURII","")</f>
        <v/>
      </c>
      <c r="T533">
        <f>IF(NETWORKDAYS.INTL([@data_factura],[@data_factura],1,tbl_SarbatoriLegale[data])=0,"ZI NELUCRATOARE","")</f>
        <v/>
      </c>
      <c r="U533">
        <f>IF([@motiv_anomalie]="","OK","DE INVESTIGAT")</f>
        <v/>
      </c>
      <c r="V533">
        <f>TEXTJOIN("; ",TRUE,[@flag_oras],[@flag_tva],[@flag_scadenta],[@flag_zi])</f>
        <v/>
      </c>
    </row>
    <row r="534">
      <c r="A534" t="inlineStr">
        <is>
          <t>F-2025-00533</t>
        </is>
      </c>
      <c r="B534" s="12" t="n">
        <v>46072</v>
      </c>
      <c r="C534" t="inlineStr">
        <is>
          <t>SC DACTECH SOLUTIONS SRL</t>
        </is>
      </c>
      <c r="D534" t="inlineStr">
        <is>
          <t>Argeș</t>
        </is>
      </c>
      <c r="E534" t="inlineStr">
        <is>
          <t>PRD-002</t>
        </is>
      </c>
      <c r="F534" t="inlineStr">
        <is>
          <t>Abonament suita cloud</t>
        </is>
      </c>
      <c r="G534" t="inlineStr">
        <is>
          <t>Licențe software</t>
        </is>
      </c>
      <c r="H534" t="n">
        <v>3</v>
      </c>
      <c r="I534" t="n">
        <v>1103.28</v>
      </c>
      <c r="J534" t="n">
        <v>3309.84</v>
      </c>
      <c r="K534" s="13" t="n">
        <v>0.19</v>
      </c>
      <c r="L534" t="n">
        <v>628.87</v>
      </c>
      <c r="M534" t="n">
        <v>3938.71</v>
      </c>
      <c r="N534" t="inlineStr">
        <is>
          <t>RON</t>
        </is>
      </c>
      <c r="O534" t="inlineStr">
        <is>
          <t>Pitești</t>
        </is>
      </c>
      <c r="P534" s="12" t="n">
        <v>46102</v>
      </c>
      <c r="Q534">
        <f>IF(COUNTIF(tbl_Localitati[oras_oficial],[@oras])=0,"ORAS NEALINIAT",IF(XLOOKUP([@oras],tbl_Localitati[oras_oficial],tbl_Localitati[judet],"?")&lt;&gt;[@judet],"JUDET NECORESPUNZATOR",""))</f>
        <v/>
      </c>
      <c r="R534">
        <f>IF(XLOOKUP([@categorie],tbl_RegulriTVA[categorie],tbl_RegulriTVA[cota_legala],-1)&lt;&gt;[@cota_tva],"TVA GRESIT","")</f>
        <v/>
      </c>
      <c r="S534">
        <f>IF([@data_scadentei]&lt;[@data_factura],"SCADENTA INAINTEA FACTURII","")</f>
        <v/>
      </c>
      <c r="T534">
        <f>IF(NETWORKDAYS.INTL([@data_factura],[@data_factura],1,tbl_SarbatoriLegale[data])=0,"ZI NELUCRATOARE","")</f>
        <v/>
      </c>
      <c r="U534">
        <f>IF([@motiv_anomalie]="","OK","DE INVESTIGAT")</f>
        <v/>
      </c>
      <c r="V534">
        <f>TEXTJOIN("; ",TRUE,[@flag_oras],[@flag_tva],[@flag_scadenta],[@flag_zi])</f>
        <v/>
      </c>
    </row>
    <row r="535">
      <c r="A535" t="inlineStr">
        <is>
          <t>F-2025-00534</t>
        </is>
      </c>
      <c r="B535" s="12" t="n">
        <v>46301</v>
      </c>
      <c r="C535" t="inlineStr">
        <is>
          <t>SC AROMET TRADING SRL</t>
        </is>
      </c>
      <c r="D535" t="inlineStr">
        <is>
          <t>Alba</t>
        </is>
      </c>
      <c r="E535" t="inlineStr">
        <is>
          <t>PRD-010</t>
        </is>
      </c>
      <c r="F535" t="inlineStr">
        <is>
          <t>Telefon IP birou</t>
        </is>
      </c>
      <c r="G535" t="inlineStr">
        <is>
          <t>Echipamente birou</t>
        </is>
      </c>
      <c r="H535" t="n">
        <v>20</v>
      </c>
      <c r="I535" t="n">
        <v>338.47</v>
      </c>
      <c r="J535" t="n">
        <v>6769.4</v>
      </c>
      <c r="K535" s="13" t="n">
        <v>0.19</v>
      </c>
      <c r="L535" t="n">
        <v>1286.19</v>
      </c>
      <c r="M535" t="n">
        <v>8055.59</v>
      </c>
      <c r="N535" t="inlineStr">
        <is>
          <t>RON</t>
        </is>
      </c>
      <c r="O535" t="inlineStr">
        <is>
          <t>Alba Iulia</t>
        </is>
      </c>
      <c r="P535" s="12" t="n">
        <v>46331</v>
      </c>
      <c r="Q535">
        <f>IF(COUNTIF(tbl_Localitati[oras_oficial],[@oras])=0,"ORAS NEALINIAT",IF(XLOOKUP([@oras],tbl_Localitati[oras_oficial],tbl_Localitati[judet],"?")&lt;&gt;[@judet],"JUDET NECORESPUNZATOR",""))</f>
        <v/>
      </c>
      <c r="R535">
        <f>IF(XLOOKUP([@categorie],tbl_RegulriTVA[categorie],tbl_RegulriTVA[cota_legala],-1)&lt;&gt;[@cota_tva],"TVA GRESIT","")</f>
        <v/>
      </c>
      <c r="S535">
        <f>IF([@data_scadentei]&lt;[@data_factura],"SCADENTA INAINTEA FACTURII","")</f>
        <v/>
      </c>
      <c r="T535">
        <f>IF(NETWORKDAYS.INTL([@data_factura],[@data_factura],1,tbl_SarbatoriLegale[data])=0,"ZI NELUCRATOARE","")</f>
        <v/>
      </c>
      <c r="U535">
        <f>IF([@motiv_anomalie]="","OK","DE INVESTIGAT")</f>
        <v/>
      </c>
      <c r="V535">
        <f>TEXTJOIN("; ",TRUE,[@flag_oras],[@flag_tva],[@flag_scadenta],[@flag_zi])</f>
        <v/>
      </c>
    </row>
    <row r="536">
      <c r="A536" t="inlineStr">
        <is>
          <t>F-2025-00535</t>
        </is>
      </c>
      <c r="B536" s="12" t="n">
        <v>46387</v>
      </c>
      <c r="C536" t="inlineStr">
        <is>
          <t>SC FARMAVITAL DISTRIBUTIE SA</t>
        </is>
      </c>
      <c r="D536" t="inlineStr">
        <is>
          <t>Bihor</t>
        </is>
      </c>
      <c r="E536" t="inlineStr">
        <is>
          <t>PRD-003</t>
        </is>
      </c>
      <c r="F536" t="inlineStr">
        <is>
          <t>Abonament suita cloud</t>
        </is>
      </c>
      <c r="G536" t="inlineStr">
        <is>
          <t>Licențe software</t>
        </is>
      </c>
      <c r="H536" t="n">
        <v>1</v>
      </c>
      <c r="I536" t="n">
        <v>4057.26</v>
      </c>
      <c r="J536" t="n">
        <v>4057.26</v>
      </c>
      <c r="K536" s="13" t="n">
        <v>0.19</v>
      </c>
      <c r="L536" t="n">
        <v>770.88</v>
      </c>
      <c r="M536" t="n">
        <v>4828.14</v>
      </c>
      <c r="N536" t="inlineStr">
        <is>
          <t>EUR</t>
        </is>
      </c>
      <c r="O536" t="inlineStr">
        <is>
          <t>Oradea</t>
        </is>
      </c>
      <c r="P536" s="12" t="n">
        <v>46417</v>
      </c>
      <c r="Q536">
        <f>IF(COUNTIF(tbl_Localitati[oras_oficial],[@oras])=0,"ORAS NEALINIAT",IF(XLOOKUP([@oras],tbl_Localitati[oras_oficial],tbl_Localitati[judet],"?")&lt;&gt;[@judet],"JUDET NECORESPUNZATOR",""))</f>
        <v/>
      </c>
      <c r="R536">
        <f>IF(XLOOKUP([@categorie],tbl_RegulriTVA[categorie],tbl_RegulriTVA[cota_legala],-1)&lt;&gt;[@cota_tva],"TVA GRESIT","")</f>
        <v/>
      </c>
      <c r="S536">
        <f>IF([@data_scadentei]&lt;[@data_factura],"SCADENTA INAINTEA FACTURII","")</f>
        <v/>
      </c>
      <c r="T536">
        <f>IF(NETWORKDAYS.INTL([@data_factura],[@data_factura],1,tbl_SarbatoriLegale[data])=0,"ZI NELUCRATOARE","")</f>
        <v/>
      </c>
      <c r="U536">
        <f>IF([@motiv_anomalie]="","OK","DE INVESTIGAT")</f>
        <v/>
      </c>
      <c r="V536">
        <f>TEXTJOIN("; ",TRUE,[@flag_oras],[@flag_tva],[@flag_scadenta],[@flag_zi])</f>
        <v/>
      </c>
    </row>
    <row r="537">
      <c r="A537" t="inlineStr">
        <is>
          <t>F-2025-00536</t>
        </is>
      </c>
      <c r="B537" s="12" t="n">
        <v>46212</v>
      </c>
      <c r="C537" t="inlineStr">
        <is>
          <t>SC OMEGA SOFT SRL</t>
        </is>
      </c>
      <c r="D537" t="inlineStr">
        <is>
          <t>Dolj</t>
        </is>
      </c>
      <c r="E537" t="inlineStr">
        <is>
          <t>PRD-001</t>
        </is>
      </c>
      <c r="F537" t="inlineStr">
        <is>
          <t>Masti protectie cutie</t>
        </is>
      </c>
      <c r="G537" t="inlineStr">
        <is>
          <t>Produse farmaceutice</t>
        </is>
      </c>
      <c r="H537" t="n">
        <v>1</v>
      </c>
      <c r="I537" t="n">
        <v>2308.29</v>
      </c>
      <c r="J537" t="n">
        <v>2308.29</v>
      </c>
      <c r="K537" s="13" t="n">
        <v>0.09</v>
      </c>
      <c r="L537" t="n">
        <v>207.75</v>
      </c>
      <c r="M537" t="n">
        <v>2516.04</v>
      </c>
      <c r="N537" t="inlineStr">
        <is>
          <t>RON</t>
        </is>
      </c>
      <c r="O537" t="inlineStr">
        <is>
          <t>Craiova</t>
        </is>
      </c>
      <c r="P537" s="12" t="n">
        <v>46242</v>
      </c>
      <c r="Q537">
        <f>IF(COUNTIF(tbl_Localitati[oras_oficial],[@oras])=0,"ORAS NEALINIAT",IF(XLOOKUP([@oras],tbl_Localitati[oras_oficial],tbl_Localitati[judet],"?")&lt;&gt;[@judet],"JUDET NECORESPUNZATOR",""))</f>
        <v/>
      </c>
      <c r="R537">
        <f>IF(XLOOKUP([@categorie],tbl_RegulriTVA[categorie],tbl_RegulriTVA[cota_legala],-1)&lt;&gt;[@cota_tva],"TVA GRESIT","")</f>
        <v/>
      </c>
      <c r="S537">
        <f>IF([@data_scadentei]&lt;[@data_factura],"SCADENTA INAINTEA FACTURII","")</f>
        <v/>
      </c>
      <c r="T537">
        <f>IF(NETWORKDAYS.INTL([@data_factura],[@data_factura],1,tbl_SarbatoriLegale[data])=0,"ZI NELUCRATOARE","")</f>
        <v/>
      </c>
      <c r="U537">
        <f>IF([@motiv_anomalie]="","OK","DE INVESTIGAT")</f>
        <v/>
      </c>
      <c r="V537">
        <f>TEXTJOIN("; ",TRUE,[@flag_oras],[@flag_tva],[@flag_scadenta],[@flag_zi])</f>
        <v/>
      </c>
    </row>
    <row r="538">
      <c r="A538" t="inlineStr">
        <is>
          <t>F-2025-00537</t>
        </is>
      </c>
      <c r="B538" s="12" t="n">
        <v>46295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Laptop business 15"</t>
        </is>
      </c>
      <c r="G538" t="inlineStr">
        <is>
          <t>Hardware IT</t>
        </is>
      </c>
      <c r="H538" t="n">
        <v>1</v>
      </c>
      <c r="I538" t="n">
        <v>261.45</v>
      </c>
      <c r="J538" t="n">
        <v>261.45</v>
      </c>
      <c r="K538" s="13" t="n">
        <v>0.19</v>
      </c>
      <c r="L538" t="n">
        <v>49.68</v>
      </c>
      <c r="M538" t="n">
        <v>311.13</v>
      </c>
      <c r="N538" t="inlineStr">
        <is>
          <t>RON</t>
        </is>
      </c>
      <c r="O538" t="inlineStr">
        <is>
          <t>Sibiu</t>
        </is>
      </c>
      <c r="P538" s="12" t="n">
        <v>46325</v>
      </c>
      <c r="Q538">
        <f>IF(COUNTIF(tbl_Localitati[oras_oficial],[@oras])=0,"ORAS NEALINIAT",IF(XLOOKUP([@oras],tbl_Localitati[oras_oficial],tbl_Localitati[judet],"?")&lt;&gt;[@judet],"JUDET NECORESPUNZATOR",""))</f>
        <v/>
      </c>
      <c r="R538">
        <f>IF(XLOOKUP([@categorie],tbl_RegulriTVA[categorie],tbl_RegulriTVA[cota_legala],-1)&lt;&gt;[@cota_tva],"TVA GRESIT","")</f>
        <v/>
      </c>
      <c r="S538">
        <f>IF([@data_scadentei]&lt;[@data_factura],"SCADENTA INAINTEA FACTURII","")</f>
        <v/>
      </c>
      <c r="T538">
        <f>IF(NETWORKDAYS.INTL([@data_factura],[@data_factura],1,tbl_SarbatoriLegale[data])=0,"ZI NELUCRATOARE","")</f>
        <v/>
      </c>
      <c r="U538">
        <f>IF([@motiv_anomalie]="","OK","DE INVESTIGAT")</f>
        <v/>
      </c>
      <c r="V538">
        <f>TEXTJOIN("; ",TRUE,[@flag_oras],[@flag_tva],[@flag_scadenta],[@flag_zi])</f>
        <v/>
      </c>
    </row>
    <row r="539">
      <c r="A539" t="inlineStr">
        <is>
          <t>F-2025-00538</t>
        </is>
      </c>
      <c r="B539" s="12" t="n">
        <v>46251</v>
      </c>
      <c r="C539" t="inlineStr">
        <is>
          <t>SC INTEGROMED SA</t>
        </is>
      </c>
      <c r="D539" t="inlineStr">
        <is>
          <t>Cluj</t>
        </is>
      </c>
      <c r="E539" t="inlineStr">
        <is>
          <t>PRD-008</t>
        </is>
      </c>
      <c r="F539" t="inlineStr">
        <is>
          <t>Videoproiector sala</t>
        </is>
      </c>
      <c r="G539" t="inlineStr">
        <is>
          <t>Echipamente birou</t>
        </is>
      </c>
      <c r="H539" t="n">
        <v>25</v>
      </c>
      <c r="I539" t="n">
        <v>431.4</v>
      </c>
      <c r="J539" t="n">
        <v>10785</v>
      </c>
      <c r="K539" s="13" t="n">
        <v>0.19</v>
      </c>
      <c r="L539" t="n">
        <v>2049.15</v>
      </c>
      <c r="M539" t="n">
        <v>12834.15</v>
      </c>
      <c r="N539" t="inlineStr">
        <is>
          <t>RON</t>
        </is>
      </c>
      <c r="O539" t="inlineStr">
        <is>
          <t>Cluj-Napoca</t>
        </is>
      </c>
      <c r="P539" s="12" t="n">
        <v>46281</v>
      </c>
      <c r="Q539">
        <f>IF(COUNTIF(tbl_Localitati[oras_oficial],[@oras])=0,"ORAS NEALINIAT",IF(XLOOKUP([@oras],tbl_Localitati[oras_oficial],tbl_Localitati[judet],"?")&lt;&gt;[@judet],"JUDET NECORESPUNZATOR",""))</f>
        <v/>
      </c>
      <c r="R539">
        <f>IF(XLOOKUP([@categorie],tbl_RegulriTVA[categorie],tbl_RegulriTVA[cota_legala],-1)&lt;&gt;[@cota_tva],"TVA GRESIT","")</f>
        <v/>
      </c>
      <c r="S539">
        <f>IF([@data_scadentei]&lt;[@data_factura],"SCADENTA INAINTEA FACTURII","")</f>
        <v/>
      </c>
      <c r="T539">
        <f>IF(NETWORKDAYS.INTL([@data_factura],[@data_factura],1,tbl_SarbatoriLegale[data])=0,"ZI NELUCRATOARE","")</f>
        <v/>
      </c>
      <c r="U539">
        <f>IF([@motiv_anomalie]="","OK","DE INVESTIGAT")</f>
        <v/>
      </c>
      <c r="V539">
        <f>TEXTJOIN("; ",TRUE,[@flag_oras],[@flag_tva],[@flag_scadenta],[@flag_zi])</f>
        <v/>
      </c>
    </row>
    <row r="540">
      <c r="A540" t="inlineStr">
        <is>
          <t>F-2025-00539</t>
        </is>
      </c>
      <c r="B540" s="12" t="n">
        <v>46065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Licenta ERP contabilitate</t>
        </is>
      </c>
      <c r="G540" t="inlineStr">
        <is>
          <t>Licențe software</t>
        </is>
      </c>
      <c r="H540" t="n">
        <v>1</v>
      </c>
      <c r="I540" t="n">
        <v>2496.6</v>
      </c>
      <c r="J540" t="n">
        <v>2496.6</v>
      </c>
      <c r="K540" s="13" t="n">
        <v>0.19</v>
      </c>
      <c r="L540" t="n">
        <v>474.35</v>
      </c>
      <c r="M540" t="n">
        <v>2970.95</v>
      </c>
      <c r="N540" t="inlineStr">
        <is>
          <t>RON</t>
        </is>
      </c>
      <c r="O540" t="inlineStr">
        <is>
          <t>Sibiu</t>
        </is>
      </c>
      <c r="P540" s="12" t="n">
        <v>46080</v>
      </c>
      <c r="Q540">
        <f>IF(COUNTIF(tbl_Localitati[oras_oficial],[@oras])=0,"ORAS NEALINIAT",IF(XLOOKUP([@oras],tbl_Localitati[oras_oficial],tbl_Localitati[judet],"?")&lt;&gt;[@judet],"JUDET NECORESPUNZATOR",""))</f>
        <v/>
      </c>
      <c r="R540">
        <f>IF(XLOOKUP([@categorie],tbl_RegulriTVA[categorie],tbl_RegulriTVA[cota_legala],-1)&lt;&gt;[@cota_tva],"TVA GRESIT","")</f>
        <v/>
      </c>
      <c r="S540">
        <f>IF([@data_scadentei]&lt;[@data_factura],"SCADENTA INAINTEA FACTURII","")</f>
        <v/>
      </c>
      <c r="T540">
        <f>IF(NETWORKDAYS.INTL([@data_factura],[@data_factura],1,tbl_SarbatoriLegale[data])=0,"ZI NELUCRATOARE","")</f>
        <v/>
      </c>
      <c r="U540">
        <f>IF([@motiv_anomalie]="","OK","DE INVESTIGAT")</f>
        <v/>
      </c>
      <c r="V540">
        <f>TEXTJOIN("; ",TRUE,[@flag_oras],[@flag_tva],[@flag_scadenta],[@flag_zi])</f>
        <v/>
      </c>
    </row>
    <row r="541">
      <c r="A541" t="inlineStr">
        <is>
          <t>F-2025-00540</t>
        </is>
      </c>
      <c r="B541" s="12" t="n">
        <v>46136</v>
      </c>
      <c r="C541" t="inlineStr">
        <is>
          <t>SC AROMET TRADING SRL</t>
        </is>
      </c>
      <c r="D541" t="inlineStr">
        <is>
          <t>Alba</t>
        </is>
      </c>
      <c r="E541" t="inlineStr">
        <is>
          <t>PRD-002</t>
        </is>
      </c>
      <c r="F541" t="inlineStr">
        <is>
          <t>Ceai cutie 100buc</t>
        </is>
      </c>
      <c r="G541" t="inlineStr">
        <is>
          <t>Alimente</t>
        </is>
      </c>
      <c r="H541" t="n">
        <v>5</v>
      </c>
      <c r="I541" t="n">
        <v>1069.61</v>
      </c>
      <c r="J541" t="n">
        <v>5348.05</v>
      </c>
      <c r="K541" s="13" t="n">
        <v>0.09</v>
      </c>
      <c r="L541" t="n">
        <v>481.32</v>
      </c>
      <c r="M541" t="n">
        <v>5829.37</v>
      </c>
      <c r="N541" t="inlineStr">
        <is>
          <t>RON</t>
        </is>
      </c>
      <c r="O541" t="inlineStr">
        <is>
          <t>Alba Iulia</t>
        </is>
      </c>
      <c r="P541" s="12" t="n">
        <v>46166</v>
      </c>
      <c r="Q541">
        <f>IF(COUNTIF(tbl_Localitati[oras_oficial],[@oras])=0,"ORAS NEALINIAT",IF(XLOOKUP([@oras],tbl_Localitati[oras_oficial],tbl_Localitati[judet],"?")&lt;&gt;[@judet],"JUDET NECORESPUNZATOR",""))</f>
        <v/>
      </c>
      <c r="R541">
        <f>IF(XLOOKUP([@categorie],tbl_RegulriTVA[categorie],tbl_RegulriTVA[cota_legala],-1)&lt;&gt;[@cota_tva],"TVA GRESIT","")</f>
        <v/>
      </c>
      <c r="S541">
        <f>IF([@data_scadentei]&lt;[@data_factura],"SCADENTA INAINTEA FACTURII","")</f>
        <v/>
      </c>
      <c r="T541">
        <f>IF(NETWORKDAYS.INTL([@data_factura],[@data_factura],1,tbl_SarbatoriLegale[data])=0,"ZI NELUCRATOARE","")</f>
        <v/>
      </c>
      <c r="U541">
        <f>IF([@motiv_anomalie]="","OK","DE INVESTIGAT")</f>
        <v/>
      </c>
      <c r="V541">
        <f>TEXTJOIN("; ",TRUE,[@flag_oras],[@flag_tva],[@flag_scadenta],[@flag_zi])</f>
        <v/>
      </c>
    </row>
    <row r="542">
      <c r="A542" t="inlineStr">
        <is>
          <t>F-2025-00541</t>
        </is>
      </c>
      <c r="B542" s="12" t="n">
        <v>46290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Audit infrastructura</t>
        </is>
      </c>
      <c r="G542" t="inlineStr">
        <is>
          <t>Servicii consultanță</t>
        </is>
      </c>
      <c r="H542" t="n">
        <v>25</v>
      </c>
      <c r="I542" t="n">
        <v>181.42</v>
      </c>
      <c r="J542" t="n">
        <v>4535.5</v>
      </c>
      <c r="K542" s="13" t="n">
        <v>0.19</v>
      </c>
      <c r="L542" t="n">
        <v>861.75</v>
      </c>
      <c r="M542" t="n">
        <v>5397.25</v>
      </c>
      <c r="N542" t="inlineStr">
        <is>
          <t>RON</t>
        </is>
      </c>
      <c r="O542" t="inlineStr">
        <is>
          <t>Sibiu</t>
        </is>
      </c>
      <c r="P542" s="12" t="n">
        <v>46320</v>
      </c>
      <c r="Q542">
        <f>IF(COUNTIF(tbl_Localitati[oras_oficial],[@oras])=0,"ORAS NEALINIAT",IF(XLOOKUP([@oras],tbl_Localitati[oras_oficial],tbl_Localitati[judet],"?")&lt;&gt;[@judet],"JUDET NECORESPUNZATOR",""))</f>
        <v/>
      </c>
      <c r="R542">
        <f>IF(XLOOKUP([@categorie],tbl_RegulriTVA[categorie],tbl_RegulriTVA[cota_legala],-1)&lt;&gt;[@cota_tva],"TVA GRESIT","")</f>
        <v/>
      </c>
      <c r="S542">
        <f>IF([@data_scadentei]&lt;[@data_factura],"SCADENTA INAINTEA FACTURII","")</f>
        <v/>
      </c>
      <c r="T542">
        <f>IF(NETWORKDAYS.INTL([@data_factura],[@data_factura],1,tbl_SarbatoriLegale[data])=0,"ZI NELUCRATOARE","")</f>
        <v/>
      </c>
      <c r="U542">
        <f>IF([@motiv_anomalie]="","OK","DE INVESTIGAT")</f>
        <v/>
      </c>
      <c r="V542">
        <f>TEXTJOIN("; ",TRUE,[@flag_oras],[@flag_tva],[@flag_scadenta],[@flag_zi])</f>
        <v/>
      </c>
    </row>
    <row r="543">
      <c r="A543" t="inlineStr">
        <is>
          <t>F-2025-00542</t>
        </is>
      </c>
      <c r="B543" s="12" t="n">
        <v>46192</v>
      </c>
      <c r="C543" t="inlineStr">
        <is>
          <t>SC DACTECH SOLUTIONS SRL</t>
        </is>
      </c>
      <c r="D543" t="inlineStr">
        <is>
          <t>Argeș</t>
        </is>
      </c>
      <c r="E543" t="inlineStr">
        <is>
          <t>PRD-008</t>
        </is>
      </c>
      <c r="F543" t="inlineStr">
        <is>
          <t>Termometru digital</t>
        </is>
      </c>
      <c r="G543" t="inlineStr">
        <is>
          <t>Produse farmaceutice</t>
        </is>
      </c>
      <c r="H543" t="n">
        <v>25</v>
      </c>
      <c r="I543" t="n">
        <v>440.37</v>
      </c>
      <c r="J543" t="n">
        <v>11009.25</v>
      </c>
      <c r="K543" s="13" t="n">
        <v>0.09</v>
      </c>
      <c r="L543" t="n">
        <v>990.83</v>
      </c>
      <c r="M543" t="n">
        <v>12000.08</v>
      </c>
      <c r="N543" t="inlineStr">
        <is>
          <t>RON</t>
        </is>
      </c>
      <c r="O543" t="inlineStr">
        <is>
          <t>Pitești</t>
        </is>
      </c>
      <c r="P543" s="12" t="n">
        <v>46222</v>
      </c>
      <c r="Q543">
        <f>IF(COUNTIF(tbl_Localitati[oras_oficial],[@oras])=0,"ORAS NEALINIAT",IF(XLOOKUP([@oras],tbl_Localitati[oras_oficial],tbl_Localitati[judet],"?")&lt;&gt;[@judet],"JUDET NECORESPUNZATOR",""))</f>
        <v/>
      </c>
      <c r="R543">
        <f>IF(XLOOKUP([@categorie],tbl_RegulriTVA[categorie],tbl_RegulriTVA[cota_legala],-1)&lt;&gt;[@cota_tva],"TVA GRESIT","")</f>
        <v/>
      </c>
      <c r="S543">
        <f>IF([@data_scadentei]&lt;[@data_factura],"SCADENTA INAINTEA FACTURII","")</f>
        <v/>
      </c>
      <c r="T543">
        <f>IF(NETWORKDAYS.INTL([@data_factura],[@data_factura],1,tbl_SarbatoriLegale[data])=0,"ZI NELUCRATOARE","")</f>
        <v/>
      </c>
      <c r="U543">
        <f>IF([@motiv_anomalie]="","OK","DE INVESTIGAT")</f>
        <v/>
      </c>
      <c r="V543">
        <f>TEXTJOIN("; ",TRUE,[@flag_oras],[@flag_tva],[@flag_scadenta],[@flag_zi])</f>
        <v/>
      </c>
    </row>
    <row r="544">
      <c r="A544" t="inlineStr">
        <is>
          <t>F-2025-00543</t>
        </is>
      </c>
      <c r="B544" s="12" t="n">
        <v>46295</v>
      </c>
      <c r="C544" t="inlineStr">
        <is>
          <t>SC SOLARIS ENERGY SRL</t>
        </is>
      </c>
      <c r="D544" t="inlineStr">
        <is>
          <t>Prahova</t>
        </is>
      </c>
      <c r="E544" t="inlineStr">
        <is>
          <t>PRD-006</t>
        </is>
      </c>
      <c r="F544" t="inlineStr">
        <is>
          <t>Switch gigabit 24p</t>
        </is>
      </c>
      <c r="G544" t="inlineStr">
        <is>
          <t>Hardware IT</t>
        </is>
      </c>
      <c r="H544" t="n">
        <v>1</v>
      </c>
      <c r="I544" t="n">
        <v>748.67</v>
      </c>
      <c r="J544" t="n">
        <v>748.67</v>
      </c>
      <c r="K544" s="13" t="n">
        <v>0.19</v>
      </c>
      <c r="L544" t="n">
        <v>142.25</v>
      </c>
      <c r="M544" t="n">
        <v>890.92</v>
      </c>
      <c r="N544" t="inlineStr">
        <is>
          <t>RON</t>
        </is>
      </c>
      <c r="O544" t="inlineStr">
        <is>
          <t>Câmpina</t>
        </is>
      </c>
      <c r="P544" s="12" t="n">
        <v>46325</v>
      </c>
      <c r="Q544">
        <f>IF(COUNTIF(tbl_Localitati[oras_oficial],[@oras])=0,"ORAS NEALINIAT",IF(XLOOKUP([@oras],tbl_Localitati[oras_oficial],tbl_Localitati[judet],"?")&lt;&gt;[@judet],"JUDET NECORESPUNZATOR",""))</f>
        <v/>
      </c>
      <c r="R544">
        <f>IF(XLOOKUP([@categorie],tbl_RegulriTVA[categorie],tbl_RegulriTVA[cota_legala],-1)&lt;&gt;[@cota_tva],"TVA GRESIT","")</f>
        <v/>
      </c>
      <c r="S544">
        <f>IF([@data_scadentei]&lt;[@data_factura],"SCADENTA INAINTEA FACTURII","")</f>
        <v/>
      </c>
      <c r="T544">
        <f>IF(NETWORKDAYS.INTL([@data_factura],[@data_factura],1,tbl_SarbatoriLegale[data])=0,"ZI NELUCRATOARE","")</f>
        <v/>
      </c>
      <c r="U544">
        <f>IF([@motiv_anomalie]="","OK","DE INVESTIGAT")</f>
        <v/>
      </c>
      <c r="V544">
        <f>TEXTJOIN("; ",TRUE,[@flag_oras],[@flag_tva],[@flag_scadenta],[@flag_zi])</f>
        <v/>
      </c>
    </row>
    <row r="545">
      <c r="A545" t="inlineStr">
        <is>
          <t>F-2025-00544</t>
        </is>
      </c>
      <c r="B545" s="12" t="n">
        <v>46129</v>
      </c>
      <c r="C545" t="inlineStr">
        <is>
          <t>SC INTEGROMED SA</t>
        </is>
      </c>
      <c r="D545" t="inlineStr">
        <is>
          <t>Cluj</t>
        </is>
      </c>
      <c r="E545" t="inlineStr">
        <is>
          <t>PRD-005</t>
        </is>
      </c>
      <c r="F545" t="inlineStr">
        <is>
          <t>Multifunctionala laser</t>
        </is>
      </c>
      <c r="G545" t="inlineStr">
        <is>
          <t>Echipamente birou</t>
        </is>
      </c>
      <c r="H545" t="n">
        <v>3</v>
      </c>
      <c r="I545" t="n">
        <v>252.64</v>
      </c>
      <c r="J545" t="n">
        <v>757.92</v>
      </c>
      <c r="K545" s="13" t="n">
        <v>0.19</v>
      </c>
      <c r="L545" t="n">
        <v>144</v>
      </c>
      <c r="M545" t="n">
        <v>901.92</v>
      </c>
      <c r="N545" t="inlineStr">
        <is>
          <t>RON</t>
        </is>
      </c>
      <c r="O545" t="inlineStr">
        <is>
          <t>Cluj-Napoca</t>
        </is>
      </c>
      <c r="P545" s="12" t="n">
        <v>46189</v>
      </c>
      <c r="Q545">
        <f>IF(COUNTIF(tbl_Localitati[oras_oficial],[@oras])=0,"ORAS NEALINIAT",IF(XLOOKUP([@oras],tbl_Localitati[oras_oficial],tbl_Localitati[judet],"?")&lt;&gt;[@judet],"JUDET NECORESPUNZATOR",""))</f>
        <v/>
      </c>
      <c r="R545">
        <f>IF(XLOOKUP([@categorie],tbl_RegulriTVA[categorie],tbl_RegulriTVA[cota_legala],-1)&lt;&gt;[@cota_tva],"TVA GRESIT","")</f>
        <v/>
      </c>
      <c r="S545">
        <f>IF([@data_scadentei]&lt;[@data_factura],"SCADENTA INAINTEA FACTURII","")</f>
        <v/>
      </c>
      <c r="T545">
        <f>IF(NETWORKDAYS.INTL([@data_factura],[@data_factura],1,tbl_SarbatoriLegale[data])=0,"ZI NELUCRATOARE","")</f>
        <v/>
      </c>
      <c r="U545">
        <f>IF([@motiv_anomalie]="","OK","DE INVESTIGAT")</f>
        <v/>
      </c>
      <c r="V545">
        <f>TEXTJOIN("; ",TRUE,[@flag_oras],[@flag_tva],[@flag_scadenta],[@flag_zi])</f>
        <v/>
      </c>
    </row>
    <row r="546">
      <c r="A546" t="inlineStr">
        <is>
          <t>F-2025-00545</t>
        </is>
      </c>
      <c r="B546" s="12" t="n">
        <v>46274</v>
      </c>
      <c r="C546" t="inlineStr">
        <is>
          <t>SC AROMET TRADING SRL</t>
        </is>
      </c>
      <c r="D546" t="inlineStr">
        <is>
          <t>Alba</t>
        </is>
      </c>
      <c r="E546" t="inlineStr">
        <is>
          <t>PRD-003</t>
        </is>
      </c>
      <c r="F546" t="inlineStr">
        <is>
          <t>Server rack 1U</t>
        </is>
      </c>
      <c r="G546" t="inlineStr">
        <is>
          <t>Hardware IT</t>
        </is>
      </c>
      <c r="H546" t="n">
        <v>1</v>
      </c>
      <c r="I546" t="n">
        <v>4302.43</v>
      </c>
      <c r="J546" t="n">
        <v>4302.43</v>
      </c>
      <c r="K546" s="13" t="n">
        <v>0.19</v>
      </c>
      <c r="L546" t="n">
        <v>817.46</v>
      </c>
      <c r="M546" t="n">
        <v>5119.89</v>
      </c>
      <c r="N546" t="inlineStr">
        <is>
          <t>RON</t>
        </is>
      </c>
      <c r="O546" t="inlineStr">
        <is>
          <t>Alba Iulia</t>
        </is>
      </c>
      <c r="P546" s="12" t="n">
        <v>46334</v>
      </c>
      <c r="Q546">
        <f>IF(COUNTIF(tbl_Localitati[oras_oficial],[@oras])=0,"ORAS NEALINIAT",IF(XLOOKUP([@oras],tbl_Localitati[oras_oficial],tbl_Localitati[judet],"?")&lt;&gt;[@judet],"JUDET NECORESPUNZATOR",""))</f>
        <v/>
      </c>
      <c r="R546">
        <f>IF(XLOOKUP([@categorie],tbl_RegulriTVA[categorie],tbl_RegulriTVA[cota_legala],-1)&lt;&gt;[@cota_tva],"TVA GRESIT","")</f>
        <v/>
      </c>
      <c r="S546">
        <f>IF([@data_scadentei]&lt;[@data_factura],"SCADENTA INAINTEA FACTURII","")</f>
        <v/>
      </c>
      <c r="T546">
        <f>IF(NETWORKDAYS.INTL([@data_factura],[@data_factura],1,tbl_SarbatoriLegale[data])=0,"ZI NELUCRATOARE","")</f>
        <v/>
      </c>
      <c r="U546">
        <f>IF([@motiv_anomalie]="","OK","DE INVESTIGAT")</f>
        <v/>
      </c>
      <c r="V546">
        <f>TEXTJOIN("; ",TRUE,[@flag_oras],[@flag_tva],[@flag_scadenta],[@flag_zi])</f>
        <v/>
      </c>
    </row>
    <row r="547">
      <c r="A547" t="inlineStr">
        <is>
          <t>F-2025-00546</t>
        </is>
      </c>
      <c r="B547" s="12" t="n">
        <v>46218</v>
      </c>
      <c r="C547" t="inlineStr">
        <is>
          <t>SC PROVITA MEDICAL SRL</t>
        </is>
      </c>
      <c r="D547" t="inlineStr">
        <is>
          <t>Mureș</t>
        </is>
      </c>
      <c r="E547" t="inlineStr">
        <is>
          <t>PRD-005</t>
        </is>
      </c>
      <c r="F547" t="inlineStr">
        <is>
          <t>Licenta antivirus enterprise</t>
        </is>
      </c>
      <c r="G547" t="inlineStr">
        <is>
          <t>Licențe software</t>
        </is>
      </c>
      <c r="H547" t="n">
        <v>1</v>
      </c>
      <c r="I547" t="n">
        <v>259.97</v>
      </c>
      <c r="J547" t="n">
        <v>259.97</v>
      </c>
      <c r="K547" s="13" t="n">
        <v>0.19</v>
      </c>
      <c r="L547" t="n">
        <v>49.39</v>
      </c>
      <c r="M547" t="n">
        <v>309.36</v>
      </c>
      <c r="N547" t="inlineStr">
        <is>
          <t>RON</t>
        </is>
      </c>
      <c r="O547" t="inlineStr">
        <is>
          <t>Târgu Mureș</t>
        </is>
      </c>
      <c r="P547" s="12" t="n">
        <v>46278</v>
      </c>
      <c r="Q547">
        <f>IF(COUNTIF(tbl_Localitati[oras_oficial],[@oras])=0,"ORAS NEALINIAT",IF(XLOOKUP([@oras],tbl_Localitati[oras_oficial],tbl_Localitati[judet],"?")&lt;&gt;[@judet],"JUDET NECORESPUNZATOR",""))</f>
        <v/>
      </c>
      <c r="R547">
        <f>IF(XLOOKUP([@categorie],tbl_RegulriTVA[categorie],tbl_RegulriTVA[cota_legala],-1)&lt;&gt;[@cota_tva],"TVA GRESIT","")</f>
        <v/>
      </c>
      <c r="S547">
        <f>IF([@data_scadentei]&lt;[@data_factura],"SCADENTA INAINTEA FACTURII","")</f>
        <v/>
      </c>
      <c r="T547">
        <f>IF(NETWORKDAYS.INTL([@data_factura],[@data_factura],1,tbl_SarbatoriLegale[data])=0,"ZI NELUCRATOARE","")</f>
        <v/>
      </c>
      <c r="U547">
        <f>IF([@motiv_anomalie]="","OK","DE INVESTIGAT")</f>
        <v/>
      </c>
      <c r="V547">
        <f>TEXTJOIN("; ",TRUE,[@flag_oras],[@flag_tva],[@flag_scadenta],[@flag_zi])</f>
        <v/>
      </c>
    </row>
    <row r="548">
      <c r="A548" t="inlineStr">
        <is>
          <t>F-2025-00547</t>
        </is>
      </c>
      <c r="B548" s="12" t="n">
        <v>46079</v>
      </c>
      <c r="C548" t="inlineStr">
        <is>
          <t>SC METALPLAST INVEST SA</t>
        </is>
      </c>
      <c r="D548" t="inlineStr">
        <is>
          <t>Cluj</t>
        </is>
      </c>
      <c r="E548" t="inlineStr">
        <is>
          <t>PRD-006</t>
        </is>
      </c>
      <c r="F548" t="inlineStr">
        <is>
          <t>Server rack 1U</t>
        </is>
      </c>
      <c r="G548" t="inlineStr">
        <is>
          <t>Hardware IT</t>
        </is>
      </c>
      <c r="H548" t="n">
        <v>50</v>
      </c>
      <c r="I548" t="n">
        <v>747.91</v>
      </c>
      <c r="J548" t="n">
        <v>37395.5</v>
      </c>
      <c r="K548" s="13" t="n">
        <v>0.19</v>
      </c>
      <c r="L548" t="n">
        <v>7105.15</v>
      </c>
      <c r="M548" t="n">
        <v>44500.65</v>
      </c>
      <c r="N548" t="inlineStr">
        <is>
          <t>RON</t>
        </is>
      </c>
      <c r="O548" t="inlineStr">
        <is>
          <t>Turda</t>
        </is>
      </c>
      <c r="P548" s="12" t="n">
        <v>46124</v>
      </c>
      <c r="Q548">
        <f>IF(COUNTIF(tbl_Localitati[oras_oficial],[@oras])=0,"ORAS NEALINIAT",IF(XLOOKUP([@oras],tbl_Localitati[oras_oficial],tbl_Localitati[judet],"?")&lt;&gt;[@judet],"JUDET NECORESPUNZATOR",""))</f>
        <v/>
      </c>
      <c r="R548">
        <f>IF(XLOOKUP([@categorie],tbl_RegulriTVA[categorie],tbl_RegulriTVA[cota_legala],-1)&lt;&gt;[@cota_tva],"TVA GRESIT","")</f>
        <v/>
      </c>
      <c r="S548">
        <f>IF([@data_scadentei]&lt;[@data_factura],"SCADENTA INAINTEA FACTURII","")</f>
        <v/>
      </c>
      <c r="T548">
        <f>IF(NETWORKDAYS.INTL([@data_factura],[@data_factura],1,tbl_SarbatoriLegale[data])=0,"ZI NELUCRATOARE","")</f>
        <v/>
      </c>
      <c r="U548">
        <f>IF([@motiv_anomalie]="","OK","DE INVESTIGAT")</f>
        <v/>
      </c>
      <c r="V548">
        <f>TEXTJOIN("; ",TRUE,[@flag_oras],[@flag_tva],[@flag_scadenta],[@flag_zi])</f>
        <v/>
      </c>
    </row>
    <row r="549">
      <c r="A549" t="inlineStr">
        <is>
          <t>F-2025-00548</t>
        </is>
      </c>
      <c r="B549" s="12" t="n">
        <v>46073</v>
      </c>
      <c r="C549" t="inlineStr">
        <is>
          <t>SC PROVITA MEDICAL SRL</t>
        </is>
      </c>
      <c r="D549" t="inlineStr">
        <is>
          <t>Mureș</t>
        </is>
      </c>
      <c r="E549" t="inlineStr">
        <is>
          <t>PRD-006</t>
        </is>
      </c>
      <c r="F549" t="inlineStr">
        <is>
          <t>Statie de lucru desktop</t>
        </is>
      </c>
      <c r="G549" t="inlineStr">
        <is>
          <t>Hardware IT</t>
        </is>
      </c>
      <c r="H549" t="n">
        <v>10</v>
      </c>
      <c r="I549" t="n">
        <v>741.61</v>
      </c>
      <c r="J549" t="n">
        <v>7416.1</v>
      </c>
      <c r="K549" s="13" t="n">
        <v>0.19</v>
      </c>
      <c r="L549" t="n">
        <v>1409.06</v>
      </c>
      <c r="M549" t="n">
        <v>8825.16</v>
      </c>
      <c r="N549" t="inlineStr">
        <is>
          <t>RON</t>
        </is>
      </c>
      <c r="O549" t="inlineStr">
        <is>
          <t>Târgu Mureș</t>
        </is>
      </c>
      <c r="P549" s="12" t="n">
        <v>46088</v>
      </c>
      <c r="Q549">
        <f>IF(COUNTIF(tbl_Localitati[oras_oficial],[@oras])=0,"ORAS NEALINIAT",IF(XLOOKUP([@oras],tbl_Localitati[oras_oficial],tbl_Localitati[judet],"?")&lt;&gt;[@judet],"JUDET NECORESPUNZATOR",""))</f>
        <v/>
      </c>
      <c r="R549">
        <f>IF(XLOOKUP([@categorie],tbl_RegulriTVA[categorie],tbl_RegulriTVA[cota_legala],-1)&lt;&gt;[@cota_tva],"TVA GRESIT","")</f>
        <v/>
      </c>
      <c r="S549">
        <f>IF([@data_scadentei]&lt;[@data_factura],"SCADENTA INAINTEA FACTURII","")</f>
        <v/>
      </c>
      <c r="T549">
        <f>IF(NETWORKDAYS.INTL([@data_factura],[@data_factura],1,tbl_SarbatoriLegale[data])=0,"ZI NELUCRATOARE","")</f>
        <v/>
      </c>
      <c r="U549">
        <f>IF([@motiv_anomalie]="","OK","DE INVESTIGAT")</f>
        <v/>
      </c>
      <c r="V549">
        <f>TEXTJOIN("; ",TRUE,[@flag_oras],[@flag_tva],[@flag_scadenta],[@flag_zi])</f>
        <v/>
      </c>
    </row>
    <row r="550">
      <c r="A550" t="inlineStr">
        <is>
          <t>F-2025-00549</t>
        </is>
      </c>
      <c r="B550" s="12" t="n">
        <v>46266</v>
      </c>
      <c r="C550" t="inlineStr">
        <is>
          <t>SC FARMAVITAL DISTRIBUTIE SA</t>
        </is>
      </c>
      <c r="D550" t="inlineStr">
        <is>
          <t>Bihor</t>
        </is>
      </c>
      <c r="E550" t="inlineStr">
        <is>
          <t>PRD-004</t>
        </is>
      </c>
      <c r="F550" t="inlineStr">
        <is>
          <t>Ghid legislatie GDPR</t>
        </is>
      </c>
      <c r="G550" t="inlineStr">
        <is>
          <t>Cărți și manuale</t>
        </is>
      </c>
      <c r="H550" t="n">
        <v>3</v>
      </c>
      <c r="I550" t="n">
        <v>901.92</v>
      </c>
      <c r="J550" t="n">
        <v>2705.76</v>
      </c>
      <c r="K550" s="13" t="n">
        <v>0.05</v>
      </c>
      <c r="L550" t="n">
        <v>135.29</v>
      </c>
      <c r="M550" t="n">
        <v>2841.05</v>
      </c>
      <c r="N550" t="inlineStr">
        <is>
          <t>RON</t>
        </is>
      </c>
      <c r="O550" t="inlineStr">
        <is>
          <t>Oradea</t>
        </is>
      </c>
      <c r="P550" s="12" t="n">
        <v>46296</v>
      </c>
      <c r="Q550">
        <f>IF(COUNTIF(tbl_Localitati[oras_oficial],[@oras])=0,"ORAS NEALINIAT",IF(XLOOKUP([@oras],tbl_Localitati[oras_oficial],tbl_Localitati[judet],"?")&lt;&gt;[@judet],"JUDET NECORESPUNZATOR",""))</f>
        <v/>
      </c>
      <c r="R550">
        <f>IF(XLOOKUP([@categorie],tbl_RegulriTVA[categorie],tbl_RegulriTVA[cota_legala],-1)&lt;&gt;[@cota_tva],"TVA GRESIT","")</f>
        <v/>
      </c>
      <c r="S550">
        <f>IF([@data_scadentei]&lt;[@data_factura],"SCADENTA INAINTEA FACTURII","")</f>
        <v/>
      </c>
      <c r="T550">
        <f>IF(NETWORKDAYS.INTL([@data_factura],[@data_factura],1,tbl_SarbatoriLegale[data])=0,"ZI NELUCRATOARE","")</f>
        <v/>
      </c>
      <c r="U550">
        <f>IF([@motiv_anomalie]="","OK","DE INVESTIGAT")</f>
        <v/>
      </c>
      <c r="V550">
        <f>TEXTJOIN("; ",TRUE,[@flag_oras],[@flag_tva],[@flag_scadenta],[@flag_zi])</f>
        <v/>
      </c>
    </row>
    <row r="551">
      <c r="A551" t="inlineStr">
        <is>
          <t>F-2025-00550</t>
        </is>
      </c>
      <c r="B551" s="12" t="n">
        <v>46378</v>
      </c>
      <c r="C551" t="inlineStr">
        <is>
          <t>SC VECTOR CONSULT SRL</t>
        </is>
      </c>
      <c r="D551" t="inlineStr">
        <is>
          <t>Timiș</t>
        </is>
      </c>
      <c r="E551" t="inlineStr">
        <is>
          <t>PRD-002</t>
        </is>
      </c>
      <c r="F551" t="inlineStr">
        <is>
          <t>Multifunctionala laser</t>
        </is>
      </c>
      <c r="G551" t="inlineStr">
        <is>
          <t>Echipamente birou</t>
        </is>
      </c>
      <c r="H551" t="n">
        <v>1</v>
      </c>
      <c r="I551" t="n">
        <v>1146.47</v>
      </c>
      <c r="J551" t="n">
        <v>1146.47</v>
      </c>
      <c r="K551" s="13" t="n">
        <v>0.19</v>
      </c>
      <c r="L551" t="n">
        <v>217.83</v>
      </c>
      <c r="M551" t="n">
        <v>1364.3</v>
      </c>
      <c r="N551" t="inlineStr">
        <is>
          <t>RON</t>
        </is>
      </c>
      <c r="O551" t="inlineStr">
        <is>
          <t>Timișoara</t>
        </is>
      </c>
      <c r="P551" s="12" t="n">
        <v>46423</v>
      </c>
      <c r="Q551">
        <f>IF(COUNTIF(tbl_Localitati[oras_oficial],[@oras])=0,"ORAS NEALINIAT",IF(XLOOKUP([@oras],tbl_Localitati[oras_oficial],tbl_Localitati[judet],"?")&lt;&gt;[@judet],"JUDET NECORESPUNZATOR",""))</f>
        <v/>
      </c>
      <c r="R551">
        <f>IF(XLOOKUP([@categorie],tbl_RegulriTVA[categorie],tbl_RegulriTVA[cota_legala],-1)&lt;&gt;[@cota_tva],"TVA GRESIT","")</f>
        <v/>
      </c>
      <c r="S551">
        <f>IF([@data_scadentei]&lt;[@data_factura],"SCADENTA INAINTEA FACTURII","")</f>
        <v/>
      </c>
      <c r="T551">
        <f>IF(NETWORKDAYS.INTL([@data_factura],[@data_factura],1,tbl_SarbatoriLegale[data])=0,"ZI NELUCRATOARE","")</f>
        <v/>
      </c>
      <c r="U551">
        <f>IF([@motiv_anomalie]="","OK","DE INVESTIGAT")</f>
        <v/>
      </c>
      <c r="V551">
        <f>TEXTJOIN("; ",TRUE,[@flag_oras],[@flag_tva],[@flag_scadenta],[@flag_zi])</f>
        <v/>
      </c>
    </row>
    <row r="552">
      <c r="A552" t="inlineStr">
        <is>
          <t>F-2025-00551</t>
        </is>
      </c>
      <c r="B552" s="12" t="n">
        <v>46084</v>
      </c>
      <c r="C552" t="inlineStr">
        <is>
          <t>SC RAPID LOGISTIC SA</t>
        </is>
      </c>
      <c r="D552" t="inlineStr">
        <is>
          <t>Prahova</t>
        </is>
      </c>
      <c r="E552" t="inlineStr">
        <is>
          <t>PRD-010</t>
        </is>
      </c>
      <c r="F552" t="inlineStr">
        <is>
          <t>Training utilizatori</t>
        </is>
      </c>
      <c r="G552" t="inlineStr">
        <is>
          <t>Servicii consultanță</t>
        </is>
      </c>
      <c r="H552" t="n">
        <v>5</v>
      </c>
      <c r="I552" t="n">
        <v>340.06</v>
      </c>
      <c r="J552" t="n">
        <v>1700.3</v>
      </c>
      <c r="K552" s="13" t="n">
        <v>0.19</v>
      </c>
      <c r="L552" t="n">
        <v>323.06</v>
      </c>
      <c r="M552" t="n">
        <v>2023.36</v>
      </c>
      <c r="N552" t="inlineStr">
        <is>
          <t>RON</t>
        </is>
      </c>
      <c r="O552" t="inlineStr">
        <is>
          <t>Ploiești</t>
        </is>
      </c>
      <c r="P552" s="12" t="n">
        <v>46144</v>
      </c>
      <c r="Q552">
        <f>IF(COUNTIF(tbl_Localitati[oras_oficial],[@oras])=0,"ORAS NEALINIAT",IF(XLOOKUP([@oras],tbl_Localitati[oras_oficial],tbl_Localitati[judet],"?")&lt;&gt;[@judet],"JUDET NECORESPUNZATOR",""))</f>
        <v/>
      </c>
      <c r="R552">
        <f>IF(XLOOKUP([@categorie],tbl_RegulriTVA[categorie],tbl_RegulriTVA[cota_legala],-1)&lt;&gt;[@cota_tva],"TVA GRESIT","")</f>
        <v/>
      </c>
      <c r="S552">
        <f>IF([@data_scadentei]&lt;[@data_factura],"SCADENTA INAINTEA FACTURII","")</f>
        <v/>
      </c>
      <c r="T552">
        <f>IF(NETWORKDAYS.INTL([@data_factura],[@data_factura],1,tbl_SarbatoriLegale[data])=0,"ZI NELUCRATOARE","")</f>
        <v/>
      </c>
      <c r="U552">
        <f>IF([@motiv_anomalie]="","OK","DE INVESTIGAT")</f>
        <v/>
      </c>
      <c r="V552">
        <f>TEXTJOIN("; ",TRUE,[@flag_oras],[@flag_tva],[@flag_scadenta],[@flag_zi])</f>
        <v/>
      </c>
    </row>
    <row r="553">
      <c r="A553" t="inlineStr">
        <is>
          <t>F-2025-00552</t>
        </is>
      </c>
      <c r="B553" s="12" t="n">
        <v>46167</v>
      </c>
      <c r="C553" t="inlineStr">
        <is>
          <t>SC DACTECH SOLUTIONS SRL</t>
        </is>
      </c>
      <c r="D553" t="inlineStr">
        <is>
          <t>Argeș</t>
        </is>
      </c>
      <c r="E553" t="inlineStr">
        <is>
          <t>PRD-009</t>
        </is>
      </c>
      <c r="F553" t="inlineStr">
        <is>
          <t>Licenta Office 365 anuala</t>
        </is>
      </c>
      <c r="G553" t="inlineStr">
        <is>
          <t>Licențe software</t>
        </is>
      </c>
      <c r="H553" t="n">
        <v>20</v>
      </c>
      <c r="I553" t="n">
        <v>26.75</v>
      </c>
      <c r="J553" t="n">
        <v>535</v>
      </c>
      <c r="K553" s="13" t="n">
        <v>0.19</v>
      </c>
      <c r="L553" t="n">
        <v>101.65</v>
      </c>
      <c r="M553" t="n">
        <v>636.65</v>
      </c>
      <c r="N553" t="inlineStr">
        <is>
          <t>RON</t>
        </is>
      </c>
      <c r="O553" t="inlineStr">
        <is>
          <t>Pitești</t>
        </is>
      </c>
      <c r="P553" s="12" t="n">
        <v>46197</v>
      </c>
      <c r="Q553">
        <f>IF(COUNTIF(tbl_Localitati[oras_oficial],[@oras])=0,"ORAS NEALINIAT",IF(XLOOKUP([@oras],tbl_Localitati[oras_oficial],tbl_Localitati[judet],"?")&lt;&gt;[@judet],"JUDET NECORESPUNZATOR",""))</f>
        <v/>
      </c>
      <c r="R553">
        <f>IF(XLOOKUP([@categorie],tbl_RegulriTVA[categorie],tbl_RegulriTVA[cota_legala],-1)&lt;&gt;[@cota_tva],"TVA GRESIT","")</f>
        <v/>
      </c>
      <c r="S553">
        <f>IF([@data_scadentei]&lt;[@data_factura],"SCADENTA INAINTEA FACTURII","")</f>
        <v/>
      </c>
      <c r="T553">
        <f>IF(NETWORKDAYS.INTL([@data_factura],[@data_factura],1,tbl_SarbatoriLegale[data])=0,"ZI NELUCRATOARE","")</f>
        <v/>
      </c>
      <c r="U553">
        <f>IF([@motiv_anomalie]="","OK","DE INVESTIGAT")</f>
        <v/>
      </c>
      <c r="V553">
        <f>TEXTJOIN("; ",TRUE,[@flag_oras],[@flag_tva],[@flag_scadenta],[@flag_zi])</f>
        <v/>
      </c>
    </row>
    <row r="554">
      <c r="A554" t="inlineStr">
        <is>
          <t>F-2025-00553</t>
        </is>
      </c>
      <c r="B554" s="12" t="n">
        <v>46078</v>
      </c>
      <c r="C554" t="inlineStr">
        <is>
          <t>SC DACTECH SOLUTIONS SRL</t>
        </is>
      </c>
      <c r="D554" t="inlineStr">
        <is>
          <t>Argeș</t>
        </is>
      </c>
      <c r="E554" t="inlineStr">
        <is>
          <t>PRD-006</t>
        </is>
      </c>
      <c r="F554" t="inlineStr">
        <is>
          <t>Suport tehnic anual</t>
        </is>
      </c>
      <c r="G554" t="inlineStr">
        <is>
          <t>Servicii consultanță</t>
        </is>
      </c>
      <c r="H554" t="n">
        <v>5</v>
      </c>
      <c r="I554" t="n">
        <v>742</v>
      </c>
      <c r="J554" t="n">
        <v>3710</v>
      </c>
      <c r="K554" s="13" t="n">
        <v>0.19</v>
      </c>
      <c r="L554" t="n">
        <v>704.9</v>
      </c>
      <c r="M554" t="n">
        <v>4414.9</v>
      </c>
      <c r="N554" t="inlineStr">
        <is>
          <t>RON</t>
        </is>
      </c>
      <c r="O554" t="inlineStr">
        <is>
          <t>Pitești</t>
        </is>
      </c>
      <c r="P554" s="12" t="n">
        <v>46123</v>
      </c>
      <c r="Q554">
        <f>IF(COUNTIF(tbl_Localitati[oras_oficial],[@oras])=0,"ORAS NEALINIAT",IF(XLOOKUP([@oras],tbl_Localitati[oras_oficial],tbl_Localitati[judet],"?")&lt;&gt;[@judet],"JUDET NECORESPUNZATOR",""))</f>
        <v/>
      </c>
      <c r="R554">
        <f>IF(XLOOKUP([@categorie],tbl_RegulriTVA[categorie],tbl_RegulriTVA[cota_legala],-1)&lt;&gt;[@cota_tva],"TVA GRESIT","")</f>
        <v/>
      </c>
      <c r="S554">
        <f>IF([@data_scadentei]&lt;[@data_factura],"SCADENTA INAINTEA FACTURII","")</f>
        <v/>
      </c>
      <c r="T554">
        <f>IF(NETWORKDAYS.INTL([@data_factura],[@data_factura],1,tbl_SarbatoriLegale[data])=0,"ZI NELUCRATOARE","")</f>
        <v/>
      </c>
      <c r="U554">
        <f>IF([@motiv_anomalie]="","OK","DE INVESTIGAT")</f>
        <v/>
      </c>
      <c r="V554">
        <f>TEXTJOIN("; ",TRUE,[@flag_oras],[@flag_tva],[@flag_scadenta],[@flag_zi])</f>
        <v/>
      </c>
    </row>
    <row r="555">
      <c r="A555" t="inlineStr">
        <is>
          <t>F-2025-00554</t>
        </is>
      </c>
      <c r="B555" s="12" t="n">
        <v>46146</v>
      </c>
      <c r="C555" t="inlineStr">
        <is>
          <t>SC AROMET TRADING SRL</t>
        </is>
      </c>
      <c r="D555" t="inlineStr">
        <is>
          <t>Alba</t>
        </is>
      </c>
      <c r="E555" t="inlineStr">
        <is>
          <t>PRD-009</t>
        </is>
      </c>
      <c r="F555" t="inlineStr">
        <is>
          <t>Videoproiector sala</t>
        </is>
      </c>
      <c r="G555" t="inlineStr">
        <is>
          <t>Echipamente birou</t>
        </is>
      </c>
      <c r="H555" t="n">
        <v>20</v>
      </c>
      <c r="I555" t="n">
        <v>28.21</v>
      </c>
      <c r="J555" t="n">
        <v>564.2</v>
      </c>
      <c r="K555" s="13" t="n">
        <v>0.19</v>
      </c>
      <c r="L555" t="n">
        <v>107.2</v>
      </c>
      <c r="M555" t="n">
        <v>671.4</v>
      </c>
      <c r="N555" t="inlineStr">
        <is>
          <t>RON</t>
        </is>
      </c>
      <c r="O555" t="inlineStr">
        <is>
          <t>Alba Iulia</t>
        </is>
      </c>
      <c r="P555" s="12" t="n">
        <v>46206</v>
      </c>
      <c r="Q555">
        <f>IF(COUNTIF(tbl_Localitati[oras_oficial],[@oras])=0,"ORAS NEALINIAT",IF(XLOOKUP([@oras],tbl_Localitati[oras_oficial],tbl_Localitati[judet],"?")&lt;&gt;[@judet],"JUDET NECORESPUNZATOR",""))</f>
        <v/>
      </c>
      <c r="R555">
        <f>IF(XLOOKUP([@categorie],tbl_RegulriTVA[categorie],tbl_RegulriTVA[cota_legala],-1)&lt;&gt;[@cota_tva],"TVA GRESIT","")</f>
        <v/>
      </c>
      <c r="S555">
        <f>IF([@data_scadentei]&lt;[@data_factura],"SCADENTA INAINTEA FACTURII","")</f>
        <v/>
      </c>
      <c r="T555">
        <f>IF(NETWORKDAYS.INTL([@data_factura],[@data_factura],1,tbl_SarbatoriLegale[data])=0,"ZI NELUCRATOARE","")</f>
        <v/>
      </c>
      <c r="U555">
        <f>IF([@motiv_anomalie]="","OK","DE INVESTIGAT")</f>
        <v/>
      </c>
      <c r="V555">
        <f>TEXTJOIN("; ",TRUE,[@flag_oras],[@flag_tva],[@flag_scadenta],[@flag_zi])</f>
        <v/>
      </c>
    </row>
    <row r="556">
      <c r="A556" t="inlineStr">
        <is>
          <t>F-2025-00555</t>
        </is>
      </c>
      <c r="B556" s="12" t="n">
        <v>46380</v>
      </c>
      <c r="C556" t="inlineStr">
        <is>
          <t>SC METALPLAST INVEST SA</t>
        </is>
      </c>
      <c r="D556" t="inlineStr">
        <is>
          <t>Cluj</t>
        </is>
      </c>
      <c r="E556" t="inlineStr">
        <is>
          <t>PRD-005</t>
        </is>
      </c>
      <c r="F556" t="inlineStr">
        <is>
          <t>Licenta Office 365 anuala</t>
        </is>
      </c>
      <c r="G556" t="inlineStr">
        <is>
          <t>Licențe software</t>
        </is>
      </c>
      <c r="H556" t="n">
        <v>5</v>
      </c>
      <c r="I556" t="n">
        <v>250.41</v>
      </c>
      <c r="J556" t="n">
        <v>1252.05</v>
      </c>
      <c r="K556" s="13" t="n">
        <v>0.19</v>
      </c>
      <c r="L556" t="n">
        <v>237.89</v>
      </c>
      <c r="M556" t="n">
        <v>1489.94</v>
      </c>
      <c r="N556" t="inlineStr">
        <is>
          <t>RON</t>
        </is>
      </c>
      <c r="O556" t="inlineStr">
        <is>
          <t>Turda</t>
        </is>
      </c>
      <c r="P556" s="12" t="n">
        <v>46395</v>
      </c>
      <c r="Q556">
        <f>IF(COUNTIF(tbl_Localitati[oras_oficial],[@oras])=0,"ORAS NEALINIAT",IF(XLOOKUP([@oras],tbl_Localitati[oras_oficial],tbl_Localitati[judet],"?")&lt;&gt;[@judet],"JUDET NECORESPUNZATOR",""))</f>
        <v/>
      </c>
      <c r="R556">
        <f>IF(XLOOKUP([@categorie],tbl_RegulriTVA[categorie],tbl_RegulriTVA[cota_legala],-1)&lt;&gt;[@cota_tva],"TVA GRESIT","")</f>
        <v/>
      </c>
      <c r="S556">
        <f>IF([@data_scadentei]&lt;[@data_factura],"SCADENTA INAINTEA FACTURII","")</f>
        <v/>
      </c>
      <c r="T556">
        <f>IF(NETWORKDAYS.INTL([@data_factura],[@data_factura],1,tbl_SarbatoriLegale[data])=0,"ZI NELUCRATOARE","")</f>
        <v/>
      </c>
      <c r="U556">
        <f>IF([@motiv_anomalie]="","OK","DE INVESTIGAT")</f>
        <v/>
      </c>
      <c r="V556">
        <f>TEXTJOIN("; ",TRUE,[@flag_oras],[@flag_tva],[@flag_scadenta],[@flag_zi])</f>
        <v/>
      </c>
    </row>
    <row r="557">
      <c r="A557" t="inlineStr">
        <is>
          <t>F-2025-00556</t>
        </is>
      </c>
      <c r="B557" s="12" t="n">
        <v>46094</v>
      </c>
      <c r="C557" t="inlineStr">
        <is>
          <t>SC FARMAVITAL DISTRIBUTIE SA</t>
        </is>
      </c>
      <c r="D557" t="inlineStr">
        <is>
          <t>Bihor</t>
        </is>
      </c>
      <c r="E557" t="inlineStr">
        <is>
          <t>PRD-009</t>
        </is>
      </c>
      <c r="F557" t="inlineStr">
        <is>
          <t>Termometru digital</t>
        </is>
      </c>
      <c r="G557" t="inlineStr">
        <is>
          <t>Produse farmaceutice</t>
        </is>
      </c>
      <c r="H557" t="n">
        <v>10</v>
      </c>
      <c r="I557" t="n">
        <v>27.71</v>
      </c>
      <c r="J557" t="n">
        <v>277.1</v>
      </c>
      <c r="K557" s="13" t="n">
        <v>0.09</v>
      </c>
      <c r="L557" t="n">
        <v>24.94</v>
      </c>
      <c r="M557" t="n">
        <v>302.04</v>
      </c>
      <c r="N557" t="inlineStr">
        <is>
          <t>RON</t>
        </is>
      </c>
      <c r="O557" t="inlineStr">
        <is>
          <t>Oradea</t>
        </is>
      </c>
      <c r="P557" s="12" t="n">
        <v>46124</v>
      </c>
      <c r="Q557">
        <f>IF(COUNTIF(tbl_Localitati[oras_oficial],[@oras])=0,"ORAS NEALINIAT",IF(XLOOKUP([@oras],tbl_Localitati[oras_oficial],tbl_Localitati[judet],"?")&lt;&gt;[@judet],"JUDET NECORESPUNZATOR",""))</f>
        <v/>
      </c>
      <c r="R557">
        <f>IF(XLOOKUP([@categorie],tbl_RegulriTVA[categorie],tbl_RegulriTVA[cota_legala],-1)&lt;&gt;[@cota_tva],"TVA GRESIT","")</f>
        <v/>
      </c>
      <c r="S557">
        <f>IF([@data_scadentei]&lt;[@data_factura],"SCADENTA INAINTEA FACTURII","")</f>
        <v/>
      </c>
      <c r="T557">
        <f>IF(NETWORKDAYS.INTL([@data_factura],[@data_factura],1,tbl_SarbatoriLegale[data])=0,"ZI NELUCRATOARE","")</f>
        <v/>
      </c>
      <c r="U557">
        <f>IF([@motiv_anomalie]="","OK","DE INVESTIGAT")</f>
        <v/>
      </c>
      <c r="V557">
        <f>TEXTJOIN("; ",TRUE,[@flag_oras],[@flag_tva],[@flag_scadenta],[@flag_zi])</f>
        <v/>
      </c>
    </row>
    <row r="558">
      <c r="A558" t="inlineStr">
        <is>
          <t>F-2025-00557</t>
        </is>
      </c>
      <c r="B558" s="12" t="n">
        <v>46071</v>
      </c>
      <c r="C558" t="inlineStr">
        <is>
          <t>SC DACTECH SOLUTIONS SRL</t>
        </is>
      </c>
      <c r="D558" t="inlineStr">
        <is>
          <t>Argeș</t>
        </is>
      </c>
      <c r="E558" t="inlineStr">
        <is>
          <t>PRD-004</t>
        </is>
      </c>
      <c r="F558" t="inlineStr">
        <is>
          <t>Suport tehnic anual</t>
        </is>
      </c>
      <c r="G558" t="inlineStr">
        <is>
          <t>Servicii consultanță</t>
        </is>
      </c>
      <c r="H558" t="n">
        <v>2</v>
      </c>
      <c r="I558" t="n">
        <v>910.6</v>
      </c>
      <c r="J558" t="n">
        <v>1821.2</v>
      </c>
      <c r="K558" s="13" t="n">
        <v>0.19</v>
      </c>
      <c r="L558" t="n">
        <v>346.03</v>
      </c>
      <c r="M558" t="n">
        <v>2167.23</v>
      </c>
      <c r="N558" t="inlineStr">
        <is>
          <t>RON</t>
        </is>
      </c>
      <c r="O558" t="inlineStr">
        <is>
          <t>Pitești</t>
        </is>
      </c>
      <c r="P558" s="12" t="n">
        <v>46101</v>
      </c>
      <c r="Q558">
        <f>IF(COUNTIF(tbl_Localitati[oras_oficial],[@oras])=0,"ORAS NEALINIAT",IF(XLOOKUP([@oras],tbl_Localitati[oras_oficial],tbl_Localitati[judet],"?")&lt;&gt;[@judet],"JUDET NECORESPUNZATOR",""))</f>
        <v/>
      </c>
      <c r="R558">
        <f>IF(XLOOKUP([@categorie],tbl_RegulriTVA[categorie],tbl_RegulriTVA[cota_legala],-1)&lt;&gt;[@cota_tva],"TVA GRESIT","")</f>
        <v/>
      </c>
      <c r="S558">
        <f>IF([@data_scadentei]&lt;[@data_factura],"SCADENTA INAINTEA FACTURII","")</f>
        <v/>
      </c>
      <c r="T558">
        <f>IF(NETWORKDAYS.INTL([@data_factura],[@data_factura],1,tbl_SarbatoriLegale[data])=0,"ZI NELUCRATOARE","")</f>
        <v/>
      </c>
      <c r="U558">
        <f>IF([@motiv_anomalie]="","OK","DE INVESTIGAT")</f>
        <v/>
      </c>
      <c r="V558">
        <f>TEXTJOIN("; ",TRUE,[@flag_oras],[@flag_tva],[@flag_scadenta],[@flag_zi])</f>
        <v/>
      </c>
    </row>
    <row r="559">
      <c r="A559" t="inlineStr">
        <is>
          <t>F-2025-00558</t>
        </is>
      </c>
      <c r="B559" s="12" t="n">
        <v>46195</v>
      </c>
      <c r="C559" t="inlineStr">
        <is>
          <t>SC RAPID LOGISTIC SA</t>
        </is>
      </c>
      <c r="D559" t="inlineStr">
        <is>
          <t>Prahova</t>
        </is>
      </c>
      <c r="E559" t="inlineStr">
        <is>
          <t>PRD-009</t>
        </is>
      </c>
      <c r="F559" t="inlineStr">
        <is>
          <t>Masti protectie cutie</t>
        </is>
      </c>
      <c r="G559" t="inlineStr">
        <is>
          <t>Produse farmaceutice</t>
        </is>
      </c>
      <c r="H559" t="n">
        <v>5</v>
      </c>
      <c r="I559" t="n">
        <v>28.91</v>
      </c>
      <c r="J559" t="n">
        <v>144.55</v>
      </c>
      <c r="K559" s="13" t="n">
        <v>0.09</v>
      </c>
      <c r="L559" t="n">
        <v>13.01</v>
      </c>
      <c r="M559" t="n">
        <v>157.56</v>
      </c>
      <c r="N559" t="inlineStr">
        <is>
          <t>RON</t>
        </is>
      </c>
      <c r="O559" t="inlineStr">
        <is>
          <t>Ploiești</t>
        </is>
      </c>
      <c r="P559" s="12" t="n">
        <v>46192</v>
      </c>
      <c r="Q559">
        <f>IF(COUNTIF(tbl_Localitati[oras_oficial],[@oras])=0,"ORAS NEALINIAT",IF(XLOOKUP([@oras],tbl_Localitati[oras_oficial],tbl_Localitati[judet],"?")&lt;&gt;[@judet],"JUDET NECORESPUNZATOR",""))</f>
        <v/>
      </c>
      <c r="R559">
        <f>IF(XLOOKUP([@categorie],tbl_RegulriTVA[categorie],tbl_RegulriTVA[cota_legala],-1)&lt;&gt;[@cota_tva],"TVA GRESIT","")</f>
        <v/>
      </c>
      <c r="S559">
        <f>IF([@data_scadentei]&lt;[@data_factura],"SCADENTA INAINTEA FACTURII","")</f>
        <v/>
      </c>
      <c r="T559">
        <f>IF(NETWORKDAYS.INTL([@data_factura],[@data_factura],1,tbl_SarbatoriLegale[data])=0,"ZI NELUCRATOARE","")</f>
        <v/>
      </c>
      <c r="U559">
        <f>IF([@motiv_anomalie]="","OK","DE INVESTIGAT")</f>
        <v/>
      </c>
      <c r="V559">
        <f>TEXTJOIN("; ",TRUE,[@flag_oras],[@flag_tva],[@flag_scadenta],[@flag_zi])</f>
        <v/>
      </c>
    </row>
    <row r="560">
      <c r="A560" t="inlineStr">
        <is>
          <t>F-2025-00559</t>
        </is>
      </c>
      <c r="B560" s="12" t="n">
        <v>46365</v>
      </c>
      <c r="C560" t="inlineStr">
        <is>
          <t>SC INTEGROMED SA</t>
        </is>
      </c>
      <c r="D560" t="inlineStr">
        <is>
          <t>Cluj</t>
        </is>
      </c>
      <c r="E560" t="inlineStr">
        <is>
          <t>PRD-005</t>
        </is>
      </c>
      <c r="F560" t="inlineStr">
        <is>
          <t>Dezinfectant maini 5L</t>
        </is>
      </c>
      <c r="G560" t="inlineStr">
        <is>
          <t>Produse farmaceutice</t>
        </is>
      </c>
      <c r="H560" t="n">
        <v>3</v>
      </c>
      <c r="I560" t="n">
        <v>256.55</v>
      </c>
      <c r="J560" t="n">
        <v>769.65</v>
      </c>
      <c r="K560" s="13" t="n">
        <v>0.09</v>
      </c>
      <c r="L560" t="n">
        <v>69.27</v>
      </c>
      <c r="M560" t="n">
        <v>838.92</v>
      </c>
      <c r="N560" t="inlineStr">
        <is>
          <t>RON</t>
        </is>
      </c>
      <c r="O560" t="inlineStr">
        <is>
          <t>Cluj-Napoca</t>
        </is>
      </c>
      <c r="P560" s="12" t="n">
        <v>46395</v>
      </c>
      <c r="Q560">
        <f>IF(COUNTIF(tbl_Localitati[oras_oficial],[@oras])=0,"ORAS NEALINIAT",IF(XLOOKUP([@oras],tbl_Localitati[oras_oficial],tbl_Localitati[judet],"?")&lt;&gt;[@judet],"JUDET NECORESPUNZATOR",""))</f>
        <v/>
      </c>
      <c r="R560">
        <f>IF(XLOOKUP([@categorie],tbl_RegulriTVA[categorie],tbl_RegulriTVA[cota_legala],-1)&lt;&gt;[@cota_tva],"TVA GRESIT","")</f>
        <v/>
      </c>
      <c r="S560">
        <f>IF([@data_scadentei]&lt;[@data_factura],"SCADENTA INAINTEA FACTURII","")</f>
        <v/>
      </c>
      <c r="T560">
        <f>IF(NETWORKDAYS.INTL([@data_factura],[@data_factura],1,tbl_SarbatoriLegale[data])=0,"ZI NELUCRATOARE","")</f>
        <v/>
      </c>
      <c r="U560">
        <f>IF([@motiv_anomalie]="","OK","DE INVESTIGAT")</f>
        <v/>
      </c>
      <c r="V560">
        <f>TEXTJOIN("; ",TRUE,[@flag_oras],[@flag_tva],[@flag_scadenta],[@flag_zi])</f>
        <v/>
      </c>
    </row>
    <row r="561">
      <c r="A561" t="inlineStr">
        <is>
          <t>F-2025-00560</t>
        </is>
      </c>
      <c r="B561" s="12" t="n">
        <v>46077</v>
      </c>
      <c r="C561" t="inlineStr">
        <is>
          <t>SC DACTECH SOLUTIONS SRL</t>
        </is>
      </c>
      <c r="D561" t="inlineStr">
        <is>
          <t>Argeș</t>
        </is>
      </c>
      <c r="E561" t="inlineStr">
        <is>
          <t>PRD-008</t>
        </is>
      </c>
      <c r="F561" t="inlineStr">
        <is>
          <t>Server rack 1U</t>
        </is>
      </c>
      <c r="G561" t="inlineStr">
        <is>
          <t>Hardware IT</t>
        </is>
      </c>
      <c r="H561" t="n">
        <v>10</v>
      </c>
      <c r="I561" t="n">
        <v>440.17</v>
      </c>
      <c r="J561" t="n">
        <v>4401.7</v>
      </c>
      <c r="K561" s="13" t="n">
        <v>0.19</v>
      </c>
      <c r="L561" t="n">
        <v>836.3200000000001</v>
      </c>
      <c r="M561" t="n">
        <v>5238.02</v>
      </c>
      <c r="N561" t="inlineStr">
        <is>
          <t>RON</t>
        </is>
      </c>
      <c r="O561" t="inlineStr">
        <is>
          <t>Pitești</t>
        </is>
      </c>
      <c r="P561" s="12" t="n">
        <v>46092</v>
      </c>
      <c r="Q561">
        <f>IF(COUNTIF(tbl_Localitati[oras_oficial],[@oras])=0,"ORAS NEALINIAT",IF(XLOOKUP([@oras],tbl_Localitati[oras_oficial],tbl_Localitati[judet],"?")&lt;&gt;[@judet],"JUDET NECORESPUNZATOR",""))</f>
        <v/>
      </c>
      <c r="R561">
        <f>IF(XLOOKUP([@categorie],tbl_RegulriTVA[categorie],tbl_RegulriTVA[cota_legala],-1)&lt;&gt;[@cota_tva],"TVA GRESIT","")</f>
        <v/>
      </c>
      <c r="S561">
        <f>IF([@data_scadentei]&lt;[@data_factura],"SCADENTA INAINTEA FACTURII","")</f>
        <v/>
      </c>
      <c r="T561">
        <f>IF(NETWORKDAYS.INTL([@data_factura],[@data_factura],1,tbl_SarbatoriLegale[data])=0,"ZI NELUCRATOARE","")</f>
        <v/>
      </c>
      <c r="U561">
        <f>IF([@motiv_anomalie]="","OK","DE INVESTIGAT")</f>
        <v/>
      </c>
      <c r="V561">
        <f>TEXTJOIN("; ",TRUE,[@flag_oras],[@flag_tva],[@flag_scadenta],[@flag_zi])</f>
        <v/>
      </c>
    </row>
    <row r="562">
      <c r="A562" t="inlineStr">
        <is>
          <t>F-2025-00561</t>
        </is>
      </c>
      <c r="B562" s="12" t="n">
        <v>46359</v>
      </c>
      <c r="C562" t="inlineStr">
        <is>
          <t>SC NORDIS DISTRIBUTIE SRL</t>
        </is>
      </c>
      <c r="D562" t="inlineStr">
        <is>
          <t>Constanța</t>
        </is>
      </c>
      <c r="E562" t="inlineStr">
        <is>
          <t>PRD-004</t>
        </is>
      </c>
      <c r="F562" t="inlineStr">
        <is>
          <t>Server rack 1U</t>
        </is>
      </c>
      <c r="G562" t="inlineStr">
        <is>
          <t>Hardware IT</t>
        </is>
      </c>
      <c r="H562" t="n">
        <v>1</v>
      </c>
      <c r="I562" t="n">
        <v>905.4299999999999</v>
      </c>
      <c r="J562" t="n">
        <v>905.4299999999999</v>
      </c>
      <c r="K562" s="13" t="n">
        <v>0.19</v>
      </c>
      <c r="L562" t="n">
        <v>172.03</v>
      </c>
      <c r="M562" t="n">
        <v>1077.46</v>
      </c>
      <c r="N562" t="inlineStr">
        <is>
          <t>RON</t>
        </is>
      </c>
      <c r="O562" t="inlineStr">
        <is>
          <t>Mangalia</t>
        </is>
      </c>
      <c r="P562" s="12" t="n">
        <v>46419</v>
      </c>
      <c r="Q562">
        <f>IF(COUNTIF(tbl_Localitati[oras_oficial],[@oras])=0,"ORAS NEALINIAT",IF(XLOOKUP([@oras],tbl_Localitati[oras_oficial],tbl_Localitati[judet],"?")&lt;&gt;[@judet],"JUDET NECORESPUNZATOR",""))</f>
        <v/>
      </c>
      <c r="R562">
        <f>IF(XLOOKUP([@categorie],tbl_RegulriTVA[categorie],tbl_RegulriTVA[cota_legala],-1)&lt;&gt;[@cota_tva],"TVA GRESIT","")</f>
        <v/>
      </c>
      <c r="S562">
        <f>IF([@data_scadentei]&lt;[@data_factura],"SCADENTA INAINTEA FACTURII","")</f>
        <v/>
      </c>
      <c r="T562">
        <f>IF(NETWORKDAYS.INTL([@data_factura],[@data_factura],1,tbl_SarbatoriLegale[data])=0,"ZI NELUCRATOARE","")</f>
        <v/>
      </c>
      <c r="U562">
        <f>IF([@motiv_anomalie]="","OK","DE INVESTIGAT")</f>
        <v/>
      </c>
      <c r="V562">
        <f>TEXTJOIN("; ",TRUE,[@flag_oras],[@flag_tva],[@flag_scadenta],[@flag_zi])</f>
        <v/>
      </c>
    </row>
    <row r="563">
      <c r="A563" t="inlineStr">
        <is>
          <t>F-2025-00562</t>
        </is>
      </c>
      <c r="B563" s="12" t="n">
        <v>46324</v>
      </c>
      <c r="C563" t="inlineStr">
        <is>
          <t>SC INTEGROMED SA</t>
        </is>
      </c>
      <c r="D563" t="inlineStr">
        <is>
          <t>Cluj</t>
        </is>
      </c>
      <c r="E563" t="inlineStr">
        <is>
          <t>PRD-003</t>
        </is>
      </c>
      <c r="F563" t="inlineStr">
        <is>
          <t>Monitor 27" 4K</t>
        </is>
      </c>
      <c r="G563" t="inlineStr">
        <is>
          <t>Hardware IT</t>
        </is>
      </c>
      <c r="H563" t="n">
        <v>10</v>
      </c>
      <c r="I563" t="n">
        <v>4234.05</v>
      </c>
      <c r="J563" t="n">
        <v>42340.5</v>
      </c>
      <c r="K563" s="13" t="n">
        <v>0.19</v>
      </c>
      <c r="L563" t="n">
        <v>8044.69</v>
      </c>
      <c r="M563" t="n">
        <v>50385.19</v>
      </c>
      <c r="N563" t="inlineStr">
        <is>
          <t>RON</t>
        </is>
      </c>
      <c r="O563" t="inlineStr">
        <is>
          <t>Cluj-Napoca</t>
        </is>
      </c>
      <c r="P563" s="12" t="n">
        <v>46384</v>
      </c>
      <c r="Q563">
        <f>IF(COUNTIF(tbl_Localitati[oras_oficial],[@oras])=0,"ORAS NEALINIAT",IF(XLOOKUP([@oras],tbl_Localitati[oras_oficial],tbl_Localitati[judet],"?")&lt;&gt;[@judet],"JUDET NECORESPUNZATOR",""))</f>
        <v/>
      </c>
      <c r="R563">
        <f>IF(XLOOKUP([@categorie],tbl_RegulriTVA[categorie],tbl_RegulriTVA[cota_legala],-1)&lt;&gt;[@cota_tva],"TVA GRESIT","")</f>
        <v/>
      </c>
      <c r="S563">
        <f>IF([@data_scadentei]&lt;[@data_factura],"SCADENTA INAINTEA FACTURII","")</f>
        <v/>
      </c>
      <c r="T563">
        <f>IF(NETWORKDAYS.INTL([@data_factura],[@data_factura],1,tbl_SarbatoriLegale[data])=0,"ZI NELUCRATOARE","")</f>
        <v/>
      </c>
      <c r="U563">
        <f>IF([@motiv_anomalie]="","OK","DE INVESTIGAT")</f>
        <v/>
      </c>
      <c r="V563">
        <f>TEXTJOIN("; ",TRUE,[@flag_oras],[@flag_tva],[@flag_scadenta],[@flag_zi])</f>
        <v/>
      </c>
    </row>
    <row r="564">
      <c r="A564" t="inlineStr">
        <is>
          <t>F-2025-00563</t>
        </is>
      </c>
      <c r="B564" s="12" t="n">
        <v>46156</v>
      </c>
      <c r="C564" t="inlineStr">
        <is>
          <t>SC ELECTROBUILD SRL</t>
        </is>
      </c>
      <c r="D564" t="inlineStr">
        <is>
          <t>Bacău</t>
        </is>
      </c>
      <c r="E564" t="inlineStr">
        <is>
          <t>PRD-001</t>
        </is>
      </c>
      <c r="F564" t="inlineStr">
        <is>
          <t>Cafea boabe 1kg</t>
        </is>
      </c>
      <c r="G564" t="inlineStr">
        <is>
          <t>Alimente</t>
        </is>
      </c>
      <c r="H564" t="n">
        <v>3</v>
      </c>
      <c r="I564" t="n">
        <v>2412.77</v>
      </c>
      <c r="J564" t="n">
        <v>7238.31</v>
      </c>
      <c r="K564" s="13" t="n">
        <v>0.05</v>
      </c>
      <c r="L564" t="n">
        <v>361.92</v>
      </c>
      <c r="M564" t="n">
        <v>7600.23</v>
      </c>
      <c r="N564" t="inlineStr">
        <is>
          <t>RON</t>
        </is>
      </c>
      <c r="O564" t="inlineStr">
        <is>
          <t>Bacău</t>
        </is>
      </c>
      <c r="P564" s="12" t="n">
        <v>46216</v>
      </c>
      <c r="Q564">
        <f>IF(COUNTIF(tbl_Localitati[oras_oficial],[@oras])=0,"ORAS NEALINIAT",IF(XLOOKUP([@oras],tbl_Localitati[oras_oficial],tbl_Localitati[judet],"?")&lt;&gt;[@judet],"JUDET NECORESPUNZATOR",""))</f>
        <v/>
      </c>
      <c r="R564">
        <f>IF(XLOOKUP([@categorie],tbl_RegulriTVA[categorie],tbl_RegulriTVA[cota_legala],-1)&lt;&gt;[@cota_tva],"TVA GRESIT","")</f>
        <v/>
      </c>
      <c r="S564">
        <f>IF([@data_scadentei]&lt;[@data_factura],"SCADENTA INAINTEA FACTURII","")</f>
        <v/>
      </c>
      <c r="T564">
        <f>IF(NETWORKDAYS.INTL([@data_factura],[@data_factura],1,tbl_SarbatoriLegale[data])=0,"ZI NELUCRATOARE","")</f>
        <v/>
      </c>
      <c r="U564">
        <f>IF([@motiv_anomalie]="","OK","DE INVESTIGAT")</f>
        <v/>
      </c>
      <c r="V564">
        <f>TEXTJOIN("; ",TRUE,[@flag_oras],[@flag_tva],[@flag_scadenta],[@flag_zi])</f>
        <v/>
      </c>
    </row>
    <row r="565">
      <c r="A565" t="inlineStr">
        <is>
          <t>F-2025-00564</t>
        </is>
      </c>
      <c r="B565" s="12" t="n">
        <v>46227</v>
      </c>
      <c r="C565" t="inlineStr">
        <is>
          <t>SC AROMET TRADING SRL</t>
        </is>
      </c>
      <c r="D565" t="inlineStr">
        <is>
          <t>Alba</t>
        </is>
      </c>
      <c r="E565" t="inlineStr">
        <is>
          <t>PRD-011</t>
        </is>
      </c>
      <c r="F565" t="inlineStr">
        <is>
          <t>Suport tehnic anual</t>
        </is>
      </c>
      <c r="G565" t="inlineStr">
        <is>
          <t>Servicii consultanță</t>
        </is>
      </c>
      <c r="H565" t="n">
        <v>20</v>
      </c>
      <c r="I565" t="n">
        <v>46.23</v>
      </c>
      <c r="J565" t="n">
        <v>924.6</v>
      </c>
      <c r="K565" s="13" t="n">
        <v>0.19</v>
      </c>
      <c r="L565" t="n">
        <v>175.67</v>
      </c>
      <c r="M565" t="n">
        <v>1100.27</v>
      </c>
      <c r="N565" t="inlineStr">
        <is>
          <t>RON</t>
        </is>
      </c>
      <c r="O565" t="inlineStr">
        <is>
          <t>Alba Iulia</t>
        </is>
      </c>
      <c r="P565" s="12" t="n">
        <v>46257</v>
      </c>
      <c r="Q565">
        <f>IF(COUNTIF(tbl_Localitati[oras_oficial],[@oras])=0,"ORAS NEALINIAT",IF(XLOOKUP([@oras],tbl_Localitati[oras_oficial],tbl_Localitati[judet],"?")&lt;&gt;[@judet],"JUDET NECORESPUNZATOR",""))</f>
        <v/>
      </c>
      <c r="R565">
        <f>IF(XLOOKUP([@categorie],tbl_RegulriTVA[categorie],tbl_RegulriTVA[cota_legala],-1)&lt;&gt;[@cota_tva],"TVA GRESIT","")</f>
        <v/>
      </c>
      <c r="S565">
        <f>IF([@data_scadentei]&lt;[@data_factura],"SCADENTA INAINTEA FACTURII","")</f>
        <v/>
      </c>
      <c r="T565">
        <f>IF(NETWORKDAYS.INTL([@data_factura],[@data_factura],1,tbl_SarbatoriLegale[data])=0,"ZI NELUCRATOARE","")</f>
        <v/>
      </c>
      <c r="U565">
        <f>IF([@motiv_anomalie]="","OK","DE INVESTIGAT")</f>
        <v/>
      </c>
      <c r="V565">
        <f>TEXTJOIN("; ",TRUE,[@flag_oras],[@flag_tva],[@flag_scadenta],[@flag_zi])</f>
        <v/>
      </c>
    </row>
    <row r="566">
      <c r="A566" t="inlineStr">
        <is>
          <t>F-2025-00565</t>
        </is>
      </c>
      <c r="B566" s="12" t="n">
        <v>46289</v>
      </c>
      <c r="C566" t="inlineStr">
        <is>
          <t>SC RAPID LOGISTIC SA</t>
        </is>
      </c>
      <c r="D566" t="inlineStr">
        <is>
          <t>Prahova</t>
        </is>
      </c>
      <c r="E566" t="inlineStr">
        <is>
          <t>PRD-009</t>
        </is>
      </c>
      <c r="F566" t="inlineStr">
        <is>
          <t>Statie de lucru desktop</t>
        </is>
      </c>
      <c r="G566" t="inlineStr">
        <is>
          <t>Hardware IT</t>
        </is>
      </c>
      <c r="H566" t="n">
        <v>10</v>
      </c>
      <c r="I566" t="n">
        <v>27.02</v>
      </c>
      <c r="J566" t="n">
        <v>270.2</v>
      </c>
      <c r="K566" s="13" t="n">
        <v>0.19</v>
      </c>
      <c r="L566" t="n">
        <v>51.34</v>
      </c>
      <c r="M566" t="n">
        <v>321.54</v>
      </c>
      <c r="N566" t="inlineStr">
        <is>
          <t>RON</t>
        </is>
      </c>
      <c r="O566" t="inlineStr">
        <is>
          <t>Ploiești</t>
        </is>
      </c>
      <c r="P566" s="12" t="n">
        <v>46349</v>
      </c>
      <c r="Q566">
        <f>IF(COUNTIF(tbl_Localitati[oras_oficial],[@oras])=0,"ORAS NEALINIAT",IF(XLOOKUP([@oras],tbl_Localitati[oras_oficial],tbl_Localitati[judet],"?")&lt;&gt;[@judet],"JUDET NECORESPUNZATOR",""))</f>
        <v/>
      </c>
      <c r="R566">
        <f>IF(XLOOKUP([@categorie],tbl_RegulriTVA[categorie],tbl_RegulriTVA[cota_legala],-1)&lt;&gt;[@cota_tva],"TVA GRESIT","")</f>
        <v/>
      </c>
      <c r="S566">
        <f>IF([@data_scadentei]&lt;[@data_factura],"SCADENTA INAINTEA FACTURII","")</f>
        <v/>
      </c>
      <c r="T566">
        <f>IF(NETWORKDAYS.INTL([@data_factura],[@data_factura],1,tbl_SarbatoriLegale[data])=0,"ZI NELUCRATOARE","")</f>
        <v/>
      </c>
      <c r="U566">
        <f>IF([@motiv_anomalie]="","OK","DE INVESTIGAT")</f>
        <v/>
      </c>
      <c r="V566">
        <f>TEXTJOIN("; ",TRUE,[@flag_oras],[@flag_tva],[@flag_scadenta],[@flag_zi])</f>
        <v/>
      </c>
    </row>
    <row r="567">
      <c r="A567" t="inlineStr">
        <is>
          <t>F-2025-00566</t>
        </is>
      </c>
      <c r="B567" s="12" t="n">
        <v>46217</v>
      </c>
      <c r="C567" t="inlineStr">
        <is>
          <t>SC INTEGROMED SA</t>
        </is>
      </c>
      <c r="D567" t="inlineStr">
        <is>
          <t>Cluj</t>
        </is>
      </c>
      <c r="E567" t="inlineStr">
        <is>
          <t>PRD-001</t>
        </is>
      </c>
      <c r="F567" t="inlineStr">
        <is>
          <t>Licenta Office 365 anuala</t>
        </is>
      </c>
      <c r="G567" t="inlineStr">
        <is>
          <t>Licențe software</t>
        </is>
      </c>
      <c r="H567" t="n">
        <v>1</v>
      </c>
      <c r="I567" t="n">
        <v>2301.94</v>
      </c>
      <c r="J567" t="n">
        <v>2301.94</v>
      </c>
      <c r="K567" s="13" t="n">
        <v>0.19</v>
      </c>
      <c r="L567" t="n">
        <v>437.37</v>
      </c>
      <c r="M567" t="n">
        <v>2739.31</v>
      </c>
      <c r="N567" t="inlineStr">
        <is>
          <t>RON</t>
        </is>
      </c>
      <c r="O567" t="inlineStr">
        <is>
          <t>Cluj-Napoca</t>
        </is>
      </c>
      <c r="P567" s="12" t="n">
        <v>46247</v>
      </c>
      <c r="Q567">
        <f>IF(COUNTIF(tbl_Localitati[oras_oficial],[@oras])=0,"ORAS NEALINIAT",IF(XLOOKUP([@oras],tbl_Localitati[oras_oficial],tbl_Localitati[judet],"?")&lt;&gt;[@judet],"JUDET NECORESPUNZATOR",""))</f>
        <v/>
      </c>
      <c r="R567">
        <f>IF(XLOOKUP([@categorie],tbl_RegulriTVA[categorie],tbl_RegulriTVA[cota_legala],-1)&lt;&gt;[@cota_tva],"TVA GRESIT","")</f>
        <v/>
      </c>
      <c r="S567">
        <f>IF([@data_scadentei]&lt;[@data_factura],"SCADENTA INAINTEA FACTURII","")</f>
        <v/>
      </c>
      <c r="T567">
        <f>IF(NETWORKDAYS.INTL([@data_factura],[@data_factura],1,tbl_SarbatoriLegale[data])=0,"ZI NELUCRATOARE","")</f>
        <v/>
      </c>
      <c r="U567">
        <f>IF([@motiv_anomalie]="","OK","DE INVESTIGAT")</f>
        <v/>
      </c>
      <c r="V567">
        <f>TEXTJOIN("; ",TRUE,[@flag_oras],[@flag_tva],[@flag_scadenta],[@flag_zi])</f>
        <v/>
      </c>
    </row>
    <row r="568">
      <c r="A568" t="inlineStr">
        <is>
          <t>F-2025-00567</t>
        </is>
      </c>
      <c r="B568" s="12" t="n">
        <v>46317</v>
      </c>
      <c r="C568" t="inlineStr">
        <is>
          <t>SC PROVITA MEDICAL SRL</t>
        </is>
      </c>
      <c r="D568" t="inlineStr">
        <is>
          <t>Mureș</t>
        </is>
      </c>
      <c r="E568" t="inlineStr">
        <is>
          <t>PRD-008</t>
        </is>
      </c>
      <c r="F568" t="inlineStr">
        <is>
          <t>Statie de lucru desktop</t>
        </is>
      </c>
      <c r="G568" t="inlineStr">
        <is>
          <t>Hardware IT</t>
        </is>
      </c>
      <c r="H568" t="n">
        <v>5</v>
      </c>
      <c r="I568" t="n">
        <v>468.27</v>
      </c>
      <c r="J568" t="n">
        <v>2341.35</v>
      </c>
      <c r="K568" s="13" t="n">
        <v>0.19</v>
      </c>
      <c r="L568" t="n">
        <v>444.86</v>
      </c>
      <c r="M568" t="n">
        <v>2786.21</v>
      </c>
      <c r="N568" t="inlineStr">
        <is>
          <t>RON</t>
        </is>
      </c>
      <c r="O568" t="inlineStr">
        <is>
          <t>Târgu Mureș</t>
        </is>
      </c>
      <c r="P568" s="12" t="n">
        <v>46347</v>
      </c>
      <c r="Q568">
        <f>IF(COUNTIF(tbl_Localitati[oras_oficial],[@oras])=0,"ORAS NEALINIAT",IF(XLOOKUP([@oras],tbl_Localitati[oras_oficial],tbl_Localitati[judet],"?")&lt;&gt;[@judet],"JUDET NECORESPUNZATOR",""))</f>
        <v/>
      </c>
      <c r="R568">
        <f>IF(XLOOKUP([@categorie],tbl_RegulriTVA[categorie],tbl_RegulriTVA[cota_legala],-1)&lt;&gt;[@cota_tva],"TVA GRESIT","")</f>
        <v/>
      </c>
      <c r="S568">
        <f>IF([@data_scadentei]&lt;[@data_factura],"SCADENTA INAINTEA FACTURII","")</f>
        <v/>
      </c>
      <c r="T568">
        <f>IF(NETWORKDAYS.INTL([@data_factura],[@data_factura],1,tbl_SarbatoriLegale[data])=0,"ZI NELUCRATOARE","")</f>
        <v/>
      </c>
      <c r="U568">
        <f>IF([@motiv_anomalie]="","OK","DE INVESTIGAT")</f>
        <v/>
      </c>
      <c r="V568">
        <f>TEXTJOIN("; ",TRUE,[@flag_oras],[@flag_tva],[@flag_scadenta],[@flag_zi])</f>
        <v/>
      </c>
    </row>
    <row r="569">
      <c r="A569" t="inlineStr">
        <is>
          <t>F-2025-00568</t>
        </is>
      </c>
      <c r="B569" s="12" t="n">
        <v>46037</v>
      </c>
      <c r="C569" t="inlineStr">
        <is>
          <t>SC INTEGROMED SA</t>
        </is>
      </c>
      <c r="D569" t="inlineStr">
        <is>
          <t>Cluj</t>
        </is>
      </c>
      <c r="E569" t="inlineStr">
        <is>
          <t>PRD-005</t>
        </is>
      </c>
      <c r="F569" t="inlineStr">
        <is>
          <t>Videoproiector sala</t>
        </is>
      </c>
      <c r="G569" t="inlineStr">
        <is>
          <t>Echipamente birou</t>
        </is>
      </c>
      <c r="H569" t="n">
        <v>1</v>
      </c>
      <c r="I569" t="n">
        <v>255.75</v>
      </c>
      <c r="J569" t="n">
        <v>255.75</v>
      </c>
      <c r="K569" s="13" t="n">
        <v>0.19</v>
      </c>
      <c r="L569" t="n">
        <v>48.59</v>
      </c>
      <c r="M569" t="n">
        <v>304.34</v>
      </c>
      <c r="N569" t="inlineStr">
        <is>
          <t>RON</t>
        </is>
      </c>
      <c r="O569" t="inlineStr">
        <is>
          <t>Cluj-Napoca</t>
        </is>
      </c>
      <c r="P569" s="12" t="n">
        <v>46067</v>
      </c>
      <c r="Q569">
        <f>IF(COUNTIF(tbl_Localitati[oras_oficial],[@oras])=0,"ORAS NEALINIAT",IF(XLOOKUP([@oras],tbl_Localitati[oras_oficial],tbl_Localitati[judet],"?")&lt;&gt;[@judet],"JUDET NECORESPUNZATOR",""))</f>
        <v/>
      </c>
      <c r="R569">
        <f>IF(XLOOKUP([@categorie],tbl_RegulriTVA[categorie],tbl_RegulriTVA[cota_legala],-1)&lt;&gt;[@cota_tva],"TVA GRESIT","")</f>
        <v/>
      </c>
      <c r="S569">
        <f>IF([@data_scadentei]&lt;[@data_factura],"SCADENTA INAINTEA FACTURII","")</f>
        <v/>
      </c>
      <c r="T569">
        <f>IF(NETWORKDAYS.INTL([@data_factura],[@data_factura],1,tbl_SarbatoriLegale[data])=0,"ZI NELUCRATOARE","")</f>
        <v/>
      </c>
      <c r="U569">
        <f>IF([@motiv_anomalie]="","OK","DE INVESTIGAT")</f>
        <v/>
      </c>
      <c r="V569">
        <f>TEXTJOIN("; ",TRUE,[@flag_oras],[@flag_tva],[@flag_scadenta],[@flag_zi])</f>
        <v/>
      </c>
    </row>
    <row r="570">
      <c r="A570" t="inlineStr">
        <is>
          <t>F-2025-00569</t>
        </is>
      </c>
      <c r="B570" s="12" t="n">
        <v>46322</v>
      </c>
      <c r="C570" t="inlineStr">
        <is>
          <t>SC DACTECH SOLUTIONS SRL</t>
        </is>
      </c>
      <c r="D570" t="inlineStr">
        <is>
          <t>Argeș</t>
        </is>
      </c>
      <c r="E570" t="inlineStr">
        <is>
          <t>PRD-009</t>
        </is>
      </c>
      <c r="F570" t="inlineStr">
        <is>
          <t>Tocator documente</t>
        </is>
      </c>
      <c r="G570" t="inlineStr">
        <is>
          <t>Echipamente birou</t>
        </is>
      </c>
      <c r="H570" t="n">
        <v>20</v>
      </c>
      <c r="I570" t="n">
        <v>26.98</v>
      </c>
      <c r="J570" t="n">
        <v>539.6</v>
      </c>
      <c r="K570" s="13" t="n">
        <v>0.19</v>
      </c>
      <c r="L570" t="n">
        <v>102.52</v>
      </c>
      <c r="M570" t="n">
        <v>642.12</v>
      </c>
      <c r="N570" t="inlineStr">
        <is>
          <t>EUR</t>
        </is>
      </c>
      <c r="O570" t="inlineStr">
        <is>
          <t>Pitești</t>
        </is>
      </c>
      <c r="P570" s="12" t="n">
        <v>46367</v>
      </c>
      <c r="Q570">
        <f>IF(COUNTIF(tbl_Localitati[oras_oficial],[@oras])=0,"ORAS NEALINIAT",IF(XLOOKUP([@oras],tbl_Localitati[oras_oficial],tbl_Localitati[judet],"?")&lt;&gt;[@judet],"JUDET NECORESPUNZATOR",""))</f>
        <v/>
      </c>
      <c r="R570">
        <f>IF(XLOOKUP([@categorie],tbl_RegulriTVA[categorie],tbl_RegulriTVA[cota_legala],-1)&lt;&gt;[@cota_tva],"TVA GRESIT","")</f>
        <v/>
      </c>
      <c r="S570">
        <f>IF([@data_scadentei]&lt;[@data_factura],"SCADENTA INAINTEA FACTURII","")</f>
        <v/>
      </c>
      <c r="T570">
        <f>IF(NETWORKDAYS.INTL([@data_factura],[@data_factura],1,tbl_SarbatoriLegale[data])=0,"ZI NELUCRATOARE","")</f>
        <v/>
      </c>
      <c r="U570">
        <f>IF([@motiv_anomalie]="","OK","DE INVESTIGAT")</f>
        <v/>
      </c>
      <c r="V570">
        <f>TEXTJOIN("; ",TRUE,[@flag_oras],[@flag_tva],[@flag_scadenta],[@flag_zi])</f>
        <v/>
      </c>
    </row>
    <row r="571">
      <c r="A571" t="inlineStr">
        <is>
          <t>F-2025-00570</t>
        </is>
      </c>
      <c r="B571" s="12" t="n">
        <v>46351</v>
      </c>
      <c r="C571" t="inlineStr">
        <is>
          <t>SC PROVITA MEDICAL SRL</t>
        </is>
      </c>
      <c r="D571" t="inlineStr">
        <is>
          <t>Mureș</t>
        </is>
      </c>
      <c r="E571" t="inlineStr">
        <is>
          <t>PRD-007</t>
        </is>
      </c>
      <c r="F571" t="inlineStr">
        <is>
          <t>Cafea boabe 1kg</t>
        </is>
      </c>
      <c r="G571" t="inlineStr">
        <is>
          <t>Alimente</t>
        </is>
      </c>
      <c r="H571" t="n">
        <v>1</v>
      </c>
      <c r="I571" t="n">
        <v>172.22</v>
      </c>
      <c r="J571" t="n">
        <v>172.22</v>
      </c>
      <c r="K571" s="13" t="n">
        <v>0.09</v>
      </c>
      <c r="L571" t="n">
        <v>15.5</v>
      </c>
      <c r="M571" t="n">
        <v>187.72</v>
      </c>
      <c r="N571" t="inlineStr">
        <is>
          <t>RON</t>
        </is>
      </c>
      <c r="O571" t="inlineStr">
        <is>
          <t>Târgu Mureș</t>
        </is>
      </c>
      <c r="P571" s="12" t="n">
        <v>46366</v>
      </c>
      <c r="Q571">
        <f>IF(COUNTIF(tbl_Localitati[oras_oficial],[@oras])=0,"ORAS NEALINIAT",IF(XLOOKUP([@oras],tbl_Localitati[oras_oficial],tbl_Localitati[judet],"?")&lt;&gt;[@judet],"JUDET NECORESPUNZATOR",""))</f>
        <v/>
      </c>
      <c r="R571">
        <f>IF(XLOOKUP([@categorie],tbl_RegulriTVA[categorie],tbl_RegulriTVA[cota_legala],-1)&lt;&gt;[@cota_tva],"TVA GRESIT","")</f>
        <v/>
      </c>
      <c r="S571">
        <f>IF([@data_scadentei]&lt;[@data_factura],"SCADENTA INAINTEA FACTURII","")</f>
        <v/>
      </c>
      <c r="T571">
        <f>IF(NETWORKDAYS.INTL([@data_factura],[@data_factura],1,tbl_SarbatoriLegale[data])=0,"ZI NELUCRATOARE","")</f>
        <v/>
      </c>
      <c r="U571">
        <f>IF([@motiv_anomalie]="","OK","DE INVESTIGAT")</f>
        <v/>
      </c>
      <c r="V571">
        <f>TEXTJOIN("; ",TRUE,[@flag_oras],[@flag_tva],[@flag_scadenta],[@flag_zi])</f>
        <v/>
      </c>
    </row>
    <row r="572">
      <c r="A572" t="inlineStr">
        <is>
          <t>F-2025-00571</t>
        </is>
      </c>
      <c r="B572" s="12" t="n">
        <v>46176</v>
      </c>
      <c r="C572" t="inlineStr">
        <is>
          <t>SC FARMAVITAL DISTRIBUTIE SA</t>
        </is>
      </c>
      <c r="D572" t="inlineStr">
        <is>
          <t>Bihor</t>
        </is>
      </c>
      <c r="E572" t="inlineStr">
        <is>
          <t>PRD-001</t>
        </is>
      </c>
      <c r="F572" t="inlineStr">
        <is>
          <t>Abonament suita cloud</t>
        </is>
      </c>
      <c r="G572" t="inlineStr">
        <is>
          <t>Licențe software</t>
        </is>
      </c>
      <c r="H572" t="n">
        <v>10</v>
      </c>
      <c r="I572" t="n">
        <v>2456.42</v>
      </c>
      <c r="J572" t="n">
        <v>24564.2</v>
      </c>
      <c r="K572" s="13" t="n">
        <v>0.19</v>
      </c>
      <c r="L572" t="n">
        <v>4667.2</v>
      </c>
      <c r="M572" t="n">
        <v>29231.4</v>
      </c>
      <c r="N572" t="inlineStr">
        <is>
          <t>RON</t>
        </is>
      </c>
      <c r="O572" t="inlineStr">
        <is>
          <t>Oradea</t>
        </is>
      </c>
      <c r="P572" s="12" t="n">
        <v>46236</v>
      </c>
      <c r="Q572">
        <f>IF(COUNTIF(tbl_Localitati[oras_oficial],[@oras])=0,"ORAS NEALINIAT",IF(XLOOKUP([@oras],tbl_Localitati[oras_oficial],tbl_Localitati[judet],"?")&lt;&gt;[@judet],"JUDET NECORESPUNZATOR",""))</f>
        <v/>
      </c>
      <c r="R572">
        <f>IF(XLOOKUP([@categorie],tbl_RegulriTVA[categorie],tbl_RegulriTVA[cota_legala],-1)&lt;&gt;[@cota_tva],"TVA GRESIT","")</f>
        <v/>
      </c>
      <c r="S572">
        <f>IF([@data_scadentei]&lt;[@data_factura],"SCADENTA INAINTEA FACTURII","")</f>
        <v/>
      </c>
      <c r="T572">
        <f>IF(NETWORKDAYS.INTL([@data_factura],[@data_factura],1,tbl_SarbatoriLegale[data])=0,"ZI NELUCRATOARE","")</f>
        <v/>
      </c>
      <c r="U572">
        <f>IF([@motiv_anomalie]="","OK","DE INVESTIGAT")</f>
        <v/>
      </c>
      <c r="V572">
        <f>TEXTJOIN("; ",TRUE,[@flag_oras],[@flag_tva],[@flag_scadenta],[@flag_zi])</f>
        <v/>
      </c>
    </row>
    <row r="573">
      <c r="A573" t="inlineStr">
        <is>
          <t>F-2025-00572</t>
        </is>
      </c>
      <c r="B573" s="12" t="n">
        <v>46182</v>
      </c>
      <c r="C573" t="inlineStr">
        <is>
          <t>SC METALPLAST INVEST SA</t>
        </is>
      </c>
      <c r="D573" t="inlineStr">
        <is>
          <t>Cluj</t>
        </is>
      </c>
      <c r="E573" t="inlineStr">
        <is>
          <t>PRD-009</t>
        </is>
      </c>
      <c r="F573" t="inlineStr">
        <is>
          <t>Consultanta implementare IT</t>
        </is>
      </c>
      <c r="G573" t="inlineStr">
        <is>
          <t>Servicii consultanță</t>
        </is>
      </c>
      <c r="H573" t="n">
        <v>5</v>
      </c>
      <c r="I573" t="n">
        <v>28.12</v>
      </c>
      <c r="J573" t="n">
        <v>140.6</v>
      </c>
      <c r="K573" s="13" t="n">
        <v>0.19</v>
      </c>
      <c r="L573" t="n">
        <v>26.71</v>
      </c>
      <c r="M573" t="n">
        <v>167.31</v>
      </c>
      <c r="N573" t="inlineStr">
        <is>
          <t>RON</t>
        </is>
      </c>
      <c r="O573" t="inlineStr">
        <is>
          <t>Turda</t>
        </is>
      </c>
      <c r="P573" s="12" t="n">
        <v>46212</v>
      </c>
      <c r="Q573">
        <f>IF(COUNTIF(tbl_Localitati[oras_oficial],[@oras])=0,"ORAS NEALINIAT",IF(XLOOKUP([@oras],tbl_Localitati[oras_oficial],tbl_Localitati[judet],"?")&lt;&gt;[@judet],"JUDET NECORESPUNZATOR",""))</f>
        <v/>
      </c>
      <c r="R573">
        <f>IF(XLOOKUP([@categorie],tbl_RegulriTVA[categorie],tbl_RegulriTVA[cota_legala],-1)&lt;&gt;[@cota_tva],"TVA GRESIT","")</f>
        <v/>
      </c>
      <c r="S573">
        <f>IF([@data_scadentei]&lt;[@data_factura],"SCADENTA INAINTEA FACTURII","")</f>
        <v/>
      </c>
      <c r="T573">
        <f>IF(NETWORKDAYS.INTL([@data_factura],[@data_factura],1,tbl_SarbatoriLegale[data])=0,"ZI NELUCRATOARE","")</f>
        <v/>
      </c>
      <c r="U573">
        <f>IF([@motiv_anomalie]="","OK","DE INVESTIGAT")</f>
        <v/>
      </c>
      <c r="V573">
        <f>TEXTJOIN("; ",TRUE,[@flag_oras],[@flag_tva],[@flag_scadenta],[@flag_zi])</f>
        <v/>
      </c>
    </row>
    <row r="574">
      <c r="A574" t="inlineStr">
        <is>
          <t>F-2025-00573</t>
        </is>
      </c>
      <c r="B574" s="12" t="n">
        <v>46386</v>
      </c>
      <c r="C574" t="inlineStr">
        <is>
          <t>SC METALPLAST INVEST SA</t>
        </is>
      </c>
      <c r="D574" t="inlineStr">
        <is>
          <t>Cluj</t>
        </is>
      </c>
      <c r="E574" t="inlineStr">
        <is>
          <t>PRD-003</t>
        </is>
      </c>
      <c r="F574" t="inlineStr">
        <is>
          <t>Laptop business 15"</t>
        </is>
      </c>
      <c r="G574" t="inlineStr">
        <is>
          <t>Hardware IT</t>
        </is>
      </c>
      <c r="H574" t="n">
        <v>2</v>
      </c>
      <c r="I574" t="n">
        <v>4247.5</v>
      </c>
      <c r="J574" t="n">
        <v>8495</v>
      </c>
      <c r="K574" s="13" t="n">
        <v>0.19</v>
      </c>
      <c r="L574" t="n">
        <v>1614.05</v>
      </c>
      <c r="M574" t="n">
        <v>10109.05</v>
      </c>
      <c r="N574" t="inlineStr">
        <is>
          <t>RON</t>
        </is>
      </c>
      <c r="O574" t="inlineStr">
        <is>
          <t>Turda</t>
        </is>
      </c>
      <c r="P574" s="12" t="n">
        <v>46416</v>
      </c>
      <c r="Q574">
        <f>IF(COUNTIF(tbl_Localitati[oras_oficial],[@oras])=0,"ORAS NEALINIAT",IF(XLOOKUP([@oras],tbl_Localitati[oras_oficial],tbl_Localitati[judet],"?")&lt;&gt;[@judet],"JUDET NECORESPUNZATOR",""))</f>
        <v/>
      </c>
      <c r="R574">
        <f>IF(XLOOKUP([@categorie],tbl_RegulriTVA[categorie],tbl_RegulriTVA[cota_legala],-1)&lt;&gt;[@cota_tva],"TVA GRESIT","")</f>
        <v/>
      </c>
      <c r="S574">
        <f>IF([@data_scadentei]&lt;[@data_factura],"SCADENTA INAINTEA FACTURII","")</f>
        <v/>
      </c>
      <c r="T574">
        <f>IF(NETWORKDAYS.INTL([@data_factura],[@data_factura],1,tbl_SarbatoriLegale[data])=0,"ZI NELUCRATOARE","")</f>
        <v/>
      </c>
      <c r="U574">
        <f>IF([@motiv_anomalie]="","OK","DE INVESTIGAT")</f>
        <v/>
      </c>
      <c r="V574">
        <f>TEXTJOIN("; ",TRUE,[@flag_oras],[@flag_tva],[@flag_scadenta],[@flag_zi])</f>
        <v/>
      </c>
    </row>
    <row r="575">
      <c r="A575" t="inlineStr">
        <is>
          <t>F-2025-00574</t>
        </is>
      </c>
      <c r="B575" s="12" t="n">
        <v>46202</v>
      </c>
      <c r="C575" t="inlineStr">
        <is>
          <t>SC DACTECH SOLUTIONS SRL</t>
        </is>
      </c>
      <c r="D575" t="inlineStr">
        <is>
          <t>Argeș</t>
        </is>
      </c>
      <c r="E575" t="inlineStr">
        <is>
          <t>PRD-010</t>
        </is>
      </c>
      <c r="F575" t="inlineStr">
        <is>
          <t>Videoproiector sala</t>
        </is>
      </c>
      <c r="G575" t="inlineStr">
        <is>
          <t>Echipamente birou</t>
        </is>
      </c>
      <c r="H575" t="n">
        <v>20</v>
      </c>
      <c r="I575" t="n">
        <v>359.29</v>
      </c>
      <c r="J575" t="n">
        <v>7185.8</v>
      </c>
      <c r="K575" s="13" t="n">
        <v>0.19</v>
      </c>
      <c r="L575" t="n">
        <v>1365.3</v>
      </c>
      <c r="M575" t="n">
        <v>8551.1</v>
      </c>
      <c r="N575" t="inlineStr">
        <is>
          <t>RON</t>
        </is>
      </c>
      <c r="O575" t="inlineStr">
        <is>
          <t>Pitești</t>
        </is>
      </c>
      <c r="P575" s="12" t="n">
        <v>46262</v>
      </c>
      <c r="Q575">
        <f>IF(COUNTIF(tbl_Localitati[oras_oficial],[@oras])=0,"ORAS NEALINIAT",IF(XLOOKUP([@oras],tbl_Localitati[oras_oficial],tbl_Localitati[judet],"?")&lt;&gt;[@judet],"JUDET NECORESPUNZATOR",""))</f>
        <v/>
      </c>
      <c r="R575">
        <f>IF(XLOOKUP([@categorie],tbl_RegulriTVA[categorie],tbl_RegulriTVA[cota_legala],-1)&lt;&gt;[@cota_tva],"TVA GRESIT","")</f>
        <v/>
      </c>
      <c r="S575">
        <f>IF([@data_scadentei]&lt;[@data_factura],"SCADENTA INAINTEA FACTURII","")</f>
        <v/>
      </c>
      <c r="T575">
        <f>IF(NETWORKDAYS.INTL([@data_factura],[@data_factura],1,tbl_SarbatoriLegale[data])=0,"ZI NELUCRATOARE","")</f>
        <v/>
      </c>
      <c r="U575">
        <f>IF([@motiv_anomalie]="","OK","DE INVESTIGAT")</f>
        <v/>
      </c>
      <c r="V575">
        <f>TEXTJOIN("; ",TRUE,[@flag_oras],[@flag_tva],[@flag_scadenta],[@flag_zi])</f>
        <v/>
      </c>
    </row>
    <row r="576">
      <c r="A576" t="inlineStr">
        <is>
          <t>F-2025-00575</t>
        </is>
      </c>
      <c r="B576" s="12" t="n">
        <v>46349</v>
      </c>
      <c r="C576" t="inlineStr">
        <is>
          <t>SC INTEGROMED SA</t>
        </is>
      </c>
      <c r="D576" t="inlineStr">
        <is>
          <t>Cluj</t>
        </is>
      </c>
      <c r="E576" t="inlineStr">
        <is>
          <t>PRD-008</t>
        </is>
      </c>
      <c r="F576" t="inlineStr">
        <is>
          <t>Switch gigabit 24p</t>
        </is>
      </c>
      <c r="G576" t="inlineStr">
        <is>
          <t>Hardware IT</t>
        </is>
      </c>
      <c r="H576" t="n">
        <v>5</v>
      </c>
      <c r="I576" t="n">
        <v>434.74</v>
      </c>
      <c r="J576" t="n">
        <v>2173.7</v>
      </c>
      <c r="K576" s="13" t="n">
        <v>0.19</v>
      </c>
      <c r="L576" t="n">
        <v>413</v>
      </c>
      <c r="M576" t="n">
        <v>2586.7</v>
      </c>
      <c r="N576" t="inlineStr">
        <is>
          <t>RON</t>
        </is>
      </c>
      <c r="O576" t="inlineStr">
        <is>
          <t>Cluj-Napoca</t>
        </is>
      </c>
      <c r="P576" s="12" t="n">
        <v>46394</v>
      </c>
      <c r="Q576">
        <f>IF(COUNTIF(tbl_Localitati[oras_oficial],[@oras])=0,"ORAS NEALINIAT",IF(XLOOKUP([@oras],tbl_Localitati[oras_oficial],tbl_Localitati[judet],"?")&lt;&gt;[@judet],"JUDET NECORESPUNZATOR",""))</f>
        <v/>
      </c>
      <c r="R576">
        <f>IF(XLOOKUP([@categorie],tbl_RegulriTVA[categorie],tbl_RegulriTVA[cota_legala],-1)&lt;&gt;[@cota_tva],"TVA GRESIT","")</f>
        <v/>
      </c>
      <c r="S576">
        <f>IF([@data_scadentei]&lt;[@data_factura],"SCADENTA INAINTEA FACTURII","")</f>
        <v/>
      </c>
      <c r="T576">
        <f>IF(NETWORKDAYS.INTL([@data_factura],[@data_factura],1,tbl_SarbatoriLegale[data])=0,"ZI NELUCRATOARE","")</f>
        <v/>
      </c>
      <c r="U576">
        <f>IF([@motiv_anomalie]="","OK","DE INVESTIGAT")</f>
        <v/>
      </c>
      <c r="V576">
        <f>TEXTJOIN("; ",TRUE,[@flag_oras],[@flag_tva],[@flag_scadenta],[@flag_zi])</f>
        <v/>
      </c>
    </row>
    <row r="577">
      <c r="A577" t="inlineStr">
        <is>
          <t>F-2025-00576</t>
        </is>
      </c>
      <c r="B577" s="12" t="n">
        <v>46309</v>
      </c>
      <c r="C577" t="inlineStr">
        <is>
          <t>SC AROMET TRADING SRL</t>
        </is>
      </c>
      <c r="D577" t="inlineStr">
        <is>
          <t>Alba</t>
        </is>
      </c>
      <c r="E577" t="inlineStr">
        <is>
          <t>PRD-008</t>
        </is>
      </c>
      <c r="F577" t="inlineStr">
        <is>
          <t>Server rack 1U</t>
        </is>
      </c>
      <c r="G577" t="inlineStr">
        <is>
          <t>Hardware IT</t>
        </is>
      </c>
      <c r="H577" t="n">
        <v>10</v>
      </c>
      <c r="I577" t="n">
        <v>429.95</v>
      </c>
      <c r="J577" t="n">
        <v>4299.5</v>
      </c>
      <c r="K577" s="13" t="n">
        <v>0.19</v>
      </c>
      <c r="L577" t="n">
        <v>816.9</v>
      </c>
      <c r="M577" t="n">
        <v>5116.4</v>
      </c>
      <c r="N577" t="inlineStr">
        <is>
          <t>USD</t>
        </is>
      </c>
      <c r="O577" t="inlineStr">
        <is>
          <t>Alba Iulia</t>
        </is>
      </c>
      <c r="P577" s="12" t="n">
        <v>46339</v>
      </c>
      <c r="Q577">
        <f>IF(COUNTIF(tbl_Localitati[oras_oficial],[@oras])=0,"ORAS NEALINIAT",IF(XLOOKUP([@oras],tbl_Localitati[oras_oficial],tbl_Localitati[judet],"?")&lt;&gt;[@judet],"JUDET NECORESPUNZATOR",""))</f>
        <v/>
      </c>
      <c r="R577">
        <f>IF(XLOOKUP([@categorie],tbl_RegulriTVA[categorie],tbl_RegulriTVA[cota_legala],-1)&lt;&gt;[@cota_tva],"TVA GRESIT","")</f>
        <v/>
      </c>
      <c r="S577">
        <f>IF([@data_scadentei]&lt;[@data_factura],"SCADENTA INAINTEA FACTURII","")</f>
        <v/>
      </c>
      <c r="T577">
        <f>IF(NETWORKDAYS.INTL([@data_factura],[@data_factura],1,tbl_SarbatoriLegale[data])=0,"ZI NELUCRATOARE","")</f>
        <v/>
      </c>
      <c r="U577">
        <f>IF([@motiv_anomalie]="","OK","DE INVESTIGAT")</f>
        <v/>
      </c>
      <c r="V577">
        <f>TEXTJOIN("; ",TRUE,[@flag_oras],[@flag_tva],[@flag_scadenta],[@flag_zi])</f>
        <v/>
      </c>
    </row>
    <row r="578">
      <c r="A578" t="inlineStr">
        <is>
          <t>F-2025-00577</t>
        </is>
      </c>
      <c r="B578" s="12" t="n">
        <v>46364</v>
      </c>
      <c r="C578" t="inlineStr">
        <is>
          <t>SC DACTECH SOLUTIONS SRL</t>
        </is>
      </c>
      <c r="D578" t="inlineStr">
        <is>
          <t>Argeș</t>
        </is>
      </c>
      <c r="E578" t="inlineStr">
        <is>
          <t>PRD-005</t>
        </is>
      </c>
      <c r="F578" t="inlineStr">
        <is>
          <t>Multifunctionala laser</t>
        </is>
      </c>
      <c r="G578" t="inlineStr">
        <is>
          <t>Echipamente birou</t>
        </is>
      </c>
      <c r="H578" t="n">
        <v>2</v>
      </c>
      <c r="I578" t="n">
        <v>245.14</v>
      </c>
      <c r="J578" t="n">
        <v>490.28</v>
      </c>
      <c r="K578" s="13" t="n">
        <v>0.19</v>
      </c>
      <c r="L578" t="n">
        <v>93.15000000000001</v>
      </c>
      <c r="M578" t="n">
        <v>583.4299999999999</v>
      </c>
      <c r="N578" t="inlineStr">
        <is>
          <t>RON</t>
        </is>
      </c>
      <c r="O578" t="inlineStr">
        <is>
          <t>Pitești</t>
        </is>
      </c>
      <c r="P578" s="12" t="n">
        <v>46379</v>
      </c>
      <c r="Q578">
        <f>IF(COUNTIF(tbl_Localitati[oras_oficial],[@oras])=0,"ORAS NEALINIAT",IF(XLOOKUP([@oras],tbl_Localitati[oras_oficial],tbl_Localitati[judet],"?")&lt;&gt;[@judet],"JUDET NECORESPUNZATOR",""))</f>
        <v/>
      </c>
      <c r="R578">
        <f>IF(XLOOKUP([@categorie],tbl_RegulriTVA[categorie],tbl_RegulriTVA[cota_legala],-1)&lt;&gt;[@cota_tva],"TVA GRESIT","")</f>
        <v/>
      </c>
      <c r="S578">
        <f>IF([@data_scadentei]&lt;[@data_factura],"SCADENTA INAINTEA FACTURII","")</f>
        <v/>
      </c>
      <c r="T578">
        <f>IF(NETWORKDAYS.INTL([@data_factura],[@data_factura],1,tbl_SarbatoriLegale[data])=0,"ZI NELUCRATOARE","")</f>
        <v/>
      </c>
      <c r="U578">
        <f>IF([@motiv_anomalie]="","OK","DE INVESTIGAT")</f>
        <v/>
      </c>
      <c r="V578">
        <f>TEXTJOIN("; ",TRUE,[@flag_oras],[@flag_tva],[@flag_scadenta],[@flag_zi])</f>
        <v/>
      </c>
    </row>
    <row r="579">
      <c r="A579" t="inlineStr">
        <is>
          <t>F-2025-00578</t>
        </is>
      </c>
      <c r="B579" s="12" t="n">
        <v>46084</v>
      </c>
      <c r="C579" t="inlineStr">
        <is>
          <t>SC INTEGROMED SA</t>
        </is>
      </c>
      <c r="D579" t="inlineStr">
        <is>
          <t>Cluj</t>
        </is>
      </c>
      <c r="E579" t="inlineStr">
        <is>
          <t>PRD-009</t>
        </is>
      </c>
      <c r="F579" t="inlineStr">
        <is>
          <t>Audit infrastructura</t>
        </is>
      </c>
      <c r="G579" t="inlineStr">
        <is>
          <t>Servicii consultanță</t>
        </is>
      </c>
      <c r="H579" t="n">
        <v>10</v>
      </c>
      <c r="I579" t="n">
        <v>27.72</v>
      </c>
      <c r="J579" t="n">
        <v>277.2</v>
      </c>
      <c r="K579" s="13" t="n">
        <v>0.19</v>
      </c>
      <c r="L579" t="n">
        <v>52.67</v>
      </c>
      <c r="M579" t="n">
        <v>329.87</v>
      </c>
      <c r="N579" t="inlineStr">
        <is>
          <t>RON</t>
        </is>
      </c>
      <c r="O579" t="inlineStr">
        <is>
          <t>Cluj-Napoca</t>
        </is>
      </c>
      <c r="P579" s="12" t="n">
        <v>46114</v>
      </c>
      <c r="Q579">
        <f>IF(COUNTIF(tbl_Localitati[oras_oficial],[@oras])=0,"ORAS NEALINIAT",IF(XLOOKUP([@oras],tbl_Localitati[oras_oficial],tbl_Localitati[judet],"?")&lt;&gt;[@judet],"JUDET NECORESPUNZATOR",""))</f>
        <v/>
      </c>
      <c r="R579">
        <f>IF(XLOOKUP([@categorie],tbl_RegulriTVA[categorie],tbl_RegulriTVA[cota_legala],-1)&lt;&gt;[@cota_tva],"TVA GRESIT","")</f>
        <v/>
      </c>
      <c r="S579">
        <f>IF([@data_scadentei]&lt;[@data_factura],"SCADENTA INAINTEA FACTURII","")</f>
        <v/>
      </c>
      <c r="T579">
        <f>IF(NETWORKDAYS.INTL([@data_factura],[@data_factura],1,tbl_SarbatoriLegale[data])=0,"ZI NELUCRATOARE","")</f>
        <v/>
      </c>
      <c r="U579">
        <f>IF([@motiv_anomalie]="","OK","DE INVESTIGAT")</f>
        <v/>
      </c>
      <c r="V579">
        <f>TEXTJOIN("; ",TRUE,[@flag_oras],[@flag_tva],[@flag_scadenta],[@flag_zi])</f>
        <v/>
      </c>
    </row>
    <row r="580">
      <c r="A580" t="inlineStr">
        <is>
          <t>F-2025-00579</t>
        </is>
      </c>
      <c r="B580" s="12" t="n">
        <v>46148</v>
      </c>
      <c r="C580" t="inlineStr">
        <is>
          <t>SC AROMET TRADING SRL</t>
        </is>
      </c>
      <c r="D580" t="inlineStr">
        <is>
          <t>Alba</t>
        </is>
      </c>
      <c r="E580" t="inlineStr">
        <is>
          <t>PRD-011</t>
        </is>
      </c>
      <c r="F580" t="inlineStr">
        <is>
          <t>Statie de lucru desktop</t>
        </is>
      </c>
      <c r="G580" t="inlineStr">
        <is>
          <t>Hardware IT</t>
        </is>
      </c>
      <c r="H580" t="n">
        <v>5</v>
      </c>
      <c r="I580" t="n">
        <v>46.38</v>
      </c>
      <c r="J580" t="n">
        <v>231.9</v>
      </c>
      <c r="K580" s="13" t="n">
        <v>0.19</v>
      </c>
      <c r="L580" t="n">
        <v>44.06</v>
      </c>
      <c r="M580" t="n">
        <v>275.96</v>
      </c>
      <c r="N580" t="inlineStr">
        <is>
          <t>RON</t>
        </is>
      </c>
      <c r="O580" t="inlineStr">
        <is>
          <t>Alba Iulia</t>
        </is>
      </c>
      <c r="P580" s="12" t="n">
        <v>46208</v>
      </c>
      <c r="Q580">
        <f>IF(COUNTIF(tbl_Localitati[oras_oficial],[@oras])=0,"ORAS NEALINIAT",IF(XLOOKUP([@oras],tbl_Localitati[oras_oficial],tbl_Localitati[judet],"?")&lt;&gt;[@judet],"JUDET NECORESPUNZATOR",""))</f>
        <v/>
      </c>
      <c r="R580">
        <f>IF(XLOOKUP([@categorie],tbl_RegulriTVA[categorie],tbl_RegulriTVA[cota_legala],-1)&lt;&gt;[@cota_tva],"TVA GRESIT","")</f>
        <v/>
      </c>
      <c r="S580">
        <f>IF([@data_scadentei]&lt;[@data_factura],"SCADENTA INAINTEA FACTURII","")</f>
        <v/>
      </c>
      <c r="T580">
        <f>IF(NETWORKDAYS.INTL([@data_factura],[@data_factura],1,tbl_SarbatoriLegale[data])=0,"ZI NELUCRATOARE","")</f>
        <v/>
      </c>
      <c r="U580">
        <f>IF([@motiv_anomalie]="","OK","DE INVESTIGAT")</f>
        <v/>
      </c>
      <c r="V580">
        <f>TEXTJOIN("; ",TRUE,[@flag_oras],[@flag_tva],[@flag_scadenta],[@flag_zi])</f>
        <v/>
      </c>
    </row>
    <row r="581">
      <c r="A581" t="inlineStr">
        <is>
          <t>F-2025-00580</t>
        </is>
      </c>
      <c r="B581" s="12" t="n">
        <v>46377</v>
      </c>
      <c r="C581" t="inlineStr">
        <is>
          <t>SC INTEGROMED SA</t>
        </is>
      </c>
      <c r="D581" t="inlineStr">
        <is>
          <t>Cluj</t>
        </is>
      </c>
      <c r="E581" t="inlineStr">
        <is>
          <t>PRD-002</t>
        </is>
      </c>
      <c r="F581" t="inlineStr">
        <is>
          <t>Licenta ERP contabilitate</t>
        </is>
      </c>
      <c r="G581" t="inlineStr">
        <is>
          <t>Licențe software</t>
        </is>
      </c>
      <c r="H581" t="n">
        <v>10</v>
      </c>
      <c r="I581" t="n">
        <v>1047.43</v>
      </c>
      <c r="J581" t="n">
        <v>10474.3</v>
      </c>
      <c r="K581" s="13" t="n">
        <v>0.19</v>
      </c>
      <c r="L581" t="n">
        <v>1990.12</v>
      </c>
      <c r="M581" t="n">
        <v>12464.42</v>
      </c>
      <c r="N581" t="inlineStr">
        <is>
          <t>RON</t>
        </is>
      </c>
      <c r="O581" t="inlineStr">
        <is>
          <t>Cluj-Napoca</t>
        </is>
      </c>
      <c r="P581" s="12" t="n">
        <v>46422</v>
      </c>
      <c r="Q581">
        <f>IF(COUNTIF(tbl_Localitati[oras_oficial],[@oras])=0,"ORAS NEALINIAT",IF(XLOOKUP([@oras],tbl_Localitati[oras_oficial],tbl_Localitati[judet],"?")&lt;&gt;[@judet],"JUDET NECORESPUNZATOR",""))</f>
        <v/>
      </c>
      <c r="R581">
        <f>IF(XLOOKUP([@categorie],tbl_RegulriTVA[categorie],tbl_RegulriTVA[cota_legala],-1)&lt;&gt;[@cota_tva],"TVA GRESIT","")</f>
        <v/>
      </c>
      <c r="S581">
        <f>IF([@data_scadentei]&lt;[@data_factura],"SCADENTA INAINTEA FACTURII","")</f>
        <v/>
      </c>
      <c r="T581">
        <f>IF(NETWORKDAYS.INTL([@data_factura],[@data_factura],1,tbl_SarbatoriLegale[data])=0,"ZI NELUCRATOARE","")</f>
        <v/>
      </c>
      <c r="U581">
        <f>IF([@motiv_anomalie]="","OK","DE INVESTIGAT")</f>
        <v/>
      </c>
      <c r="V581">
        <f>TEXTJOIN("; ",TRUE,[@flag_oras],[@flag_tva],[@flag_scadenta],[@flag_zi])</f>
        <v/>
      </c>
    </row>
    <row r="582">
      <c r="A582" t="inlineStr">
        <is>
          <t>F-2025-00581</t>
        </is>
      </c>
      <c r="B582" s="12" t="n">
        <v>46119</v>
      </c>
      <c r="C582" t="inlineStr">
        <is>
          <t>SC NORDIS DISTRIBUTIE SRL</t>
        </is>
      </c>
      <c r="D582" t="inlineStr">
        <is>
          <t>Constanța</t>
        </is>
      </c>
      <c r="E582" t="inlineStr">
        <is>
          <t>PRD-008</t>
        </is>
      </c>
      <c r="F582" t="inlineStr">
        <is>
          <t>Switch gigabit 24p</t>
        </is>
      </c>
      <c r="G582" t="inlineStr">
        <is>
          <t>Hardware IT</t>
        </is>
      </c>
      <c r="H582" t="n">
        <v>5</v>
      </c>
      <c r="I582" t="n">
        <v>442.04</v>
      </c>
      <c r="J582" t="n">
        <v>2210.2</v>
      </c>
      <c r="K582" s="13" t="n">
        <v>0.19</v>
      </c>
      <c r="L582" t="n">
        <v>419.94</v>
      </c>
      <c r="M582" t="n">
        <v>2630.14</v>
      </c>
      <c r="N582" t="inlineStr">
        <is>
          <t>RON</t>
        </is>
      </c>
      <c r="O582" t="inlineStr">
        <is>
          <t>Mangalia</t>
        </is>
      </c>
      <c r="P582" s="12" t="n">
        <v>46149</v>
      </c>
      <c r="Q582">
        <f>IF(COUNTIF(tbl_Localitati[oras_oficial],[@oras])=0,"ORAS NEALINIAT",IF(XLOOKUP([@oras],tbl_Localitati[oras_oficial],tbl_Localitati[judet],"?")&lt;&gt;[@judet],"JUDET NECORESPUNZATOR",""))</f>
        <v/>
      </c>
      <c r="R582">
        <f>IF(XLOOKUP([@categorie],tbl_RegulriTVA[categorie],tbl_RegulriTVA[cota_legala],-1)&lt;&gt;[@cota_tva],"TVA GRESIT","")</f>
        <v/>
      </c>
      <c r="S582">
        <f>IF([@data_scadentei]&lt;[@data_factura],"SCADENTA INAINTEA FACTURII","")</f>
        <v/>
      </c>
      <c r="T582">
        <f>IF(NETWORKDAYS.INTL([@data_factura],[@data_factura],1,tbl_SarbatoriLegale[data])=0,"ZI NELUCRATOARE","")</f>
        <v/>
      </c>
      <c r="U582">
        <f>IF([@motiv_anomalie]="","OK","DE INVESTIGAT")</f>
        <v/>
      </c>
      <c r="V582">
        <f>TEXTJOIN("; ",TRUE,[@flag_oras],[@flag_tva],[@flag_scadenta],[@flag_zi])</f>
        <v/>
      </c>
    </row>
    <row r="583">
      <c r="A583" t="inlineStr">
        <is>
          <t>F-2025-00582</t>
        </is>
      </c>
      <c r="B583" s="12" t="n">
        <v>46073</v>
      </c>
      <c r="C583" t="inlineStr">
        <is>
          <t>SC AROMET TRADING SRL</t>
        </is>
      </c>
      <c r="D583" t="inlineStr">
        <is>
          <t>Alba</t>
        </is>
      </c>
      <c r="E583" t="inlineStr">
        <is>
          <t>PRD-002</t>
        </is>
      </c>
      <c r="F583" t="inlineStr">
        <is>
          <t>Licenta ERP contabilitate</t>
        </is>
      </c>
      <c r="G583" t="inlineStr">
        <is>
          <t>Licențe software</t>
        </is>
      </c>
      <c r="H583" t="n">
        <v>1</v>
      </c>
      <c r="I583" t="n">
        <v>1115.59</v>
      </c>
      <c r="J583" t="n">
        <v>1115.59</v>
      </c>
      <c r="K583" s="13" t="n">
        <v>0.19</v>
      </c>
      <c r="L583" t="n">
        <v>211.96</v>
      </c>
      <c r="M583" t="n">
        <v>1327.55</v>
      </c>
      <c r="N583" t="inlineStr">
        <is>
          <t>RON</t>
        </is>
      </c>
      <c r="O583" t="inlineStr">
        <is>
          <t>Alba Iulia</t>
        </is>
      </c>
      <c r="P583" s="12" t="n">
        <v>46133</v>
      </c>
      <c r="Q583">
        <f>IF(COUNTIF(tbl_Localitati[oras_oficial],[@oras])=0,"ORAS NEALINIAT",IF(XLOOKUP([@oras],tbl_Localitati[oras_oficial],tbl_Localitati[judet],"?")&lt;&gt;[@judet],"JUDET NECORESPUNZATOR",""))</f>
        <v/>
      </c>
      <c r="R583">
        <f>IF(XLOOKUP([@categorie],tbl_RegulriTVA[categorie],tbl_RegulriTVA[cota_legala],-1)&lt;&gt;[@cota_tva],"TVA GRESIT","")</f>
        <v/>
      </c>
      <c r="S583">
        <f>IF([@data_scadentei]&lt;[@data_factura],"SCADENTA INAINTEA FACTURII","")</f>
        <v/>
      </c>
      <c r="T583">
        <f>IF(NETWORKDAYS.INTL([@data_factura],[@data_factura],1,tbl_SarbatoriLegale[data])=0,"ZI NELUCRATOARE","")</f>
        <v/>
      </c>
      <c r="U583">
        <f>IF([@motiv_anomalie]="","OK","DE INVESTIGAT")</f>
        <v/>
      </c>
      <c r="V583">
        <f>TEXTJOIN("; ",TRUE,[@flag_oras],[@flag_tva],[@flag_scadenta],[@flag_zi])</f>
        <v/>
      </c>
    </row>
    <row r="584">
      <c r="A584" t="inlineStr">
        <is>
          <t>F-2025-00583</t>
        </is>
      </c>
      <c r="B584" s="12" t="n">
        <v>46225</v>
      </c>
      <c r="C584" t="inlineStr">
        <is>
          <t>SC PROVITA MEDICAL SRL</t>
        </is>
      </c>
      <c r="D584" t="inlineStr">
        <is>
          <t>Mureș</t>
        </is>
      </c>
      <c r="E584" t="inlineStr">
        <is>
          <t>PRD-011</t>
        </is>
      </c>
      <c r="F584" t="inlineStr">
        <is>
          <t>Apa plata bax</t>
        </is>
      </c>
      <c r="G584" t="inlineStr">
        <is>
          <t>Alimente</t>
        </is>
      </c>
      <c r="H584" t="n">
        <v>50</v>
      </c>
      <c r="I584" t="n">
        <v>44.86</v>
      </c>
      <c r="J584" t="n">
        <v>2243</v>
      </c>
      <c r="K584" s="13" t="n">
        <v>0.09</v>
      </c>
      <c r="L584" t="n">
        <v>201.87</v>
      </c>
      <c r="M584" t="n">
        <v>2444.87</v>
      </c>
      <c r="N584" t="inlineStr">
        <is>
          <t>RON</t>
        </is>
      </c>
      <c r="O584" t="inlineStr">
        <is>
          <t>Târgu Mureș</t>
        </is>
      </c>
      <c r="P584" s="12" t="n">
        <v>46240</v>
      </c>
      <c r="Q584">
        <f>IF(COUNTIF(tbl_Localitati[oras_oficial],[@oras])=0,"ORAS NEALINIAT",IF(XLOOKUP([@oras],tbl_Localitati[oras_oficial],tbl_Localitati[judet],"?")&lt;&gt;[@judet],"JUDET NECORESPUNZATOR",""))</f>
        <v/>
      </c>
      <c r="R584">
        <f>IF(XLOOKUP([@categorie],tbl_RegulriTVA[categorie],tbl_RegulriTVA[cota_legala],-1)&lt;&gt;[@cota_tva],"TVA GRESIT","")</f>
        <v/>
      </c>
      <c r="S584">
        <f>IF([@data_scadentei]&lt;[@data_factura],"SCADENTA INAINTEA FACTURII","")</f>
        <v/>
      </c>
      <c r="T584">
        <f>IF(NETWORKDAYS.INTL([@data_factura],[@data_factura],1,tbl_SarbatoriLegale[data])=0,"ZI NELUCRATOARE","")</f>
        <v/>
      </c>
      <c r="U584">
        <f>IF([@motiv_anomalie]="","OK","DE INVESTIGAT")</f>
        <v/>
      </c>
      <c r="V584">
        <f>TEXTJOIN("; ",TRUE,[@flag_oras],[@flag_tva],[@flag_scadenta],[@flag_zi])</f>
        <v/>
      </c>
    </row>
    <row r="585">
      <c r="A585" t="inlineStr">
        <is>
          <t>F-2025-00584</t>
        </is>
      </c>
      <c r="B585" s="12" t="n">
        <v>46374</v>
      </c>
      <c r="C585" t="inlineStr">
        <is>
          <t>SC INTEGROMED SA</t>
        </is>
      </c>
      <c r="D585" t="inlineStr">
        <is>
          <t>Cluj</t>
        </is>
      </c>
      <c r="E585" t="inlineStr">
        <is>
          <t>PRD-007</t>
        </is>
      </c>
      <c r="F585" t="inlineStr">
        <is>
          <t>Audit infrastructura</t>
        </is>
      </c>
      <c r="G585" t="inlineStr">
        <is>
          <t>Servicii consultanță</t>
        </is>
      </c>
      <c r="H585" t="n">
        <v>1</v>
      </c>
      <c r="I585" t="n">
        <v>176.49</v>
      </c>
      <c r="J585" t="n">
        <v>176.49</v>
      </c>
      <c r="K585" s="13" t="n">
        <v>0.19</v>
      </c>
      <c r="L585" t="n">
        <v>33.53</v>
      </c>
      <c r="M585" t="n">
        <v>210.02</v>
      </c>
      <c r="N585" t="inlineStr">
        <is>
          <t>RON</t>
        </is>
      </c>
      <c r="O585" t="inlineStr">
        <is>
          <t>Cluj-Napoca</t>
        </is>
      </c>
      <c r="P585" s="12" t="n">
        <v>46419</v>
      </c>
      <c r="Q585">
        <f>IF(COUNTIF(tbl_Localitati[oras_oficial],[@oras])=0,"ORAS NEALINIAT",IF(XLOOKUP([@oras],tbl_Localitati[oras_oficial],tbl_Localitati[judet],"?")&lt;&gt;[@judet],"JUDET NECORESPUNZATOR",""))</f>
        <v/>
      </c>
      <c r="R585">
        <f>IF(XLOOKUP([@categorie],tbl_RegulriTVA[categorie],tbl_RegulriTVA[cota_legala],-1)&lt;&gt;[@cota_tva],"TVA GRESIT","")</f>
        <v/>
      </c>
      <c r="S585">
        <f>IF([@data_scadentei]&lt;[@data_factura],"SCADENTA INAINTEA FACTURII","")</f>
        <v/>
      </c>
      <c r="T585">
        <f>IF(NETWORKDAYS.INTL([@data_factura],[@data_factura],1,tbl_SarbatoriLegale[data])=0,"ZI NELUCRATOARE","")</f>
        <v/>
      </c>
      <c r="U585">
        <f>IF([@motiv_anomalie]="","OK","DE INVESTIGAT")</f>
        <v/>
      </c>
      <c r="V585">
        <f>TEXTJOIN("; ",TRUE,[@flag_oras],[@flag_tva],[@flag_scadenta],[@flag_zi])</f>
        <v/>
      </c>
    </row>
    <row r="586">
      <c r="A586" t="inlineStr">
        <is>
          <t>F-2025-00585</t>
        </is>
      </c>
      <c r="B586" s="12" t="n">
        <v>46269</v>
      </c>
      <c r="C586" t="inlineStr">
        <is>
          <t>SC RAPID LOGISTIC SA</t>
        </is>
      </c>
      <c r="D586" t="inlineStr">
        <is>
          <t>Prahova</t>
        </is>
      </c>
      <c r="E586" t="inlineStr">
        <is>
          <t>PRD-002</t>
        </is>
      </c>
      <c r="F586" t="inlineStr">
        <is>
          <t>Switch gigabit 24p</t>
        </is>
      </c>
      <c r="G586" t="inlineStr">
        <is>
          <t>Hardware IT</t>
        </is>
      </c>
      <c r="H586" t="n">
        <v>2</v>
      </c>
      <c r="I586" t="n">
        <v>1127.54</v>
      </c>
      <c r="J586" t="n">
        <v>2255.08</v>
      </c>
      <c r="K586" s="13" t="n">
        <v>0.19</v>
      </c>
      <c r="L586" t="n">
        <v>428.47</v>
      </c>
      <c r="M586" t="n">
        <v>2683.55</v>
      </c>
      <c r="N586" t="inlineStr">
        <is>
          <t>RON</t>
        </is>
      </c>
      <c r="O586" t="inlineStr">
        <is>
          <t>Ploiești</t>
        </is>
      </c>
      <c r="P586" s="12" t="n">
        <v>46314</v>
      </c>
      <c r="Q586">
        <f>IF(COUNTIF(tbl_Localitati[oras_oficial],[@oras])=0,"ORAS NEALINIAT",IF(XLOOKUP([@oras],tbl_Localitati[oras_oficial],tbl_Localitati[judet],"?")&lt;&gt;[@judet],"JUDET NECORESPUNZATOR",""))</f>
        <v/>
      </c>
      <c r="R586">
        <f>IF(XLOOKUP([@categorie],tbl_RegulriTVA[categorie],tbl_RegulriTVA[cota_legala],-1)&lt;&gt;[@cota_tva],"TVA GRESIT","")</f>
        <v/>
      </c>
      <c r="S586">
        <f>IF([@data_scadentei]&lt;[@data_factura],"SCADENTA INAINTEA FACTURII","")</f>
        <v/>
      </c>
      <c r="T586">
        <f>IF(NETWORKDAYS.INTL([@data_factura],[@data_factura],1,tbl_SarbatoriLegale[data])=0,"ZI NELUCRATOARE","")</f>
        <v/>
      </c>
      <c r="U586">
        <f>IF([@motiv_anomalie]="","OK","DE INVESTIGAT")</f>
        <v/>
      </c>
      <c r="V586">
        <f>TEXTJOIN("; ",TRUE,[@flag_oras],[@flag_tva],[@flag_scadenta],[@flag_zi])</f>
        <v/>
      </c>
    </row>
    <row r="587">
      <c r="A587" t="inlineStr">
        <is>
          <t>F-2025-00586</t>
        </is>
      </c>
      <c r="B587" s="12" t="n">
        <v>46336</v>
      </c>
      <c r="C587" t="inlineStr">
        <is>
          <t>SC AROMET TRADING SRL</t>
        </is>
      </c>
      <c r="D587" t="inlineStr">
        <is>
          <t>Alba</t>
        </is>
      </c>
      <c r="E587" t="inlineStr">
        <is>
          <t>PRD-002</t>
        </is>
      </c>
      <c r="F587" t="inlineStr">
        <is>
          <t>Licenta Office 365 anuala</t>
        </is>
      </c>
      <c r="G587" t="inlineStr">
        <is>
          <t>Licențe software</t>
        </is>
      </c>
      <c r="H587" t="n">
        <v>3</v>
      </c>
      <c r="I587" t="n">
        <v>1112.32</v>
      </c>
      <c r="J587" t="n">
        <v>3336.96</v>
      </c>
      <c r="K587" s="13" t="n">
        <v>0.19</v>
      </c>
      <c r="L587" t="n">
        <v>634.02</v>
      </c>
      <c r="M587" t="n">
        <v>3970.98</v>
      </c>
      <c r="N587" t="inlineStr">
        <is>
          <t>RON</t>
        </is>
      </c>
      <c r="O587" t="inlineStr">
        <is>
          <t>Alba Iulia</t>
        </is>
      </c>
      <c r="P587" s="12" t="n">
        <v>46381</v>
      </c>
      <c r="Q587">
        <f>IF(COUNTIF(tbl_Localitati[oras_oficial],[@oras])=0,"ORAS NEALINIAT",IF(XLOOKUP([@oras],tbl_Localitati[oras_oficial],tbl_Localitati[judet],"?")&lt;&gt;[@judet],"JUDET NECORESPUNZATOR",""))</f>
        <v/>
      </c>
      <c r="R587">
        <f>IF(XLOOKUP([@categorie],tbl_RegulriTVA[categorie],tbl_RegulriTVA[cota_legala],-1)&lt;&gt;[@cota_tva],"TVA GRESIT","")</f>
        <v/>
      </c>
      <c r="S587">
        <f>IF([@data_scadentei]&lt;[@data_factura],"SCADENTA INAINTEA FACTURII","")</f>
        <v/>
      </c>
      <c r="T587">
        <f>IF(NETWORKDAYS.INTL([@data_factura],[@data_factura],1,tbl_SarbatoriLegale[data])=0,"ZI NELUCRATOARE","")</f>
        <v/>
      </c>
      <c r="U587">
        <f>IF([@motiv_anomalie]="","OK","DE INVESTIGAT")</f>
        <v/>
      </c>
      <c r="V587">
        <f>TEXTJOIN("; ",TRUE,[@flag_oras],[@flag_tva],[@flag_scadenta],[@flag_zi])</f>
        <v/>
      </c>
    </row>
    <row r="588">
      <c r="A588" t="inlineStr">
        <is>
          <t>F-2025-00587</t>
        </is>
      </c>
      <c r="B588" s="12" t="n">
        <v>46057</v>
      </c>
      <c r="C588" t="inlineStr">
        <is>
          <t>SC DACTECH SOLUTIONS SRL</t>
        </is>
      </c>
      <c r="D588" t="inlineStr">
        <is>
          <t>Argeș</t>
        </is>
      </c>
      <c r="E588" t="inlineStr">
        <is>
          <t>PRD-005</t>
        </is>
      </c>
      <c r="F588" t="inlineStr">
        <is>
          <t>Switch gigabit 24p</t>
        </is>
      </c>
      <c r="G588" t="inlineStr">
        <is>
          <t>Hardware IT</t>
        </is>
      </c>
      <c r="H588" t="n">
        <v>10</v>
      </c>
      <c r="I588" t="n">
        <v>260.64</v>
      </c>
      <c r="J588" t="n">
        <v>2606.4</v>
      </c>
      <c r="K588" s="13" t="n">
        <v>0.19</v>
      </c>
      <c r="L588" t="n">
        <v>495.22</v>
      </c>
      <c r="M588" t="n">
        <v>3101.62</v>
      </c>
      <c r="N588" t="inlineStr">
        <is>
          <t>RON</t>
        </is>
      </c>
      <c r="O588" t="inlineStr">
        <is>
          <t>Pitești</t>
        </is>
      </c>
      <c r="P588" s="12" t="n">
        <v>46072</v>
      </c>
      <c r="Q588">
        <f>IF(COUNTIF(tbl_Localitati[oras_oficial],[@oras])=0,"ORAS NEALINIAT",IF(XLOOKUP([@oras],tbl_Localitati[oras_oficial],tbl_Localitati[judet],"?")&lt;&gt;[@judet],"JUDET NECORESPUNZATOR",""))</f>
        <v/>
      </c>
      <c r="R588">
        <f>IF(XLOOKUP([@categorie],tbl_RegulriTVA[categorie],tbl_RegulriTVA[cota_legala],-1)&lt;&gt;[@cota_tva],"TVA GRESIT","")</f>
        <v/>
      </c>
      <c r="S588">
        <f>IF([@data_scadentei]&lt;[@data_factura],"SCADENTA INAINTEA FACTURII","")</f>
        <v/>
      </c>
      <c r="T588">
        <f>IF(NETWORKDAYS.INTL([@data_factura],[@data_factura],1,tbl_SarbatoriLegale[data])=0,"ZI NELUCRATOARE","")</f>
        <v/>
      </c>
      <c r="U588">
        <f>IF([@motiv_anomalie]="","OK","DE INVESTIGAT")</f>
        <v/>
      </c>
      <c r="V588">
        <f>TEXTJOIN("; ",TRUE,[@flag_oras],[@flag_tva],[@flag_scadenta],[@flag_zi])</f>
        <v/>
      </c>
    </row>
    <row r="589">
      <c r="A589" t="inlineStr">
        <is>
          <t>F-2025-00588</t>
        </is>
      </c>
      <c r="B589" s="12" t="n">
        <v>46267</v>
      </c>
      <c r="C589" t="inlineStr">
        <is>
          <t>SC METALPLAST INVEST SA</t>
        </is>
      </c>
      <c r="D589" t="inlineStr">
        <is>
          <t>Cluj</t>
        </is>
      </c>
      <c r="E589" t="inlineStr">
        <is>
          <t>PRD-009</t>
        </is>
      </c>
      <c r="F589" t="inlineStr">
        <is>
          <t>Abonament suita cloud</t>
        </is>
      </c>
      <c r="G589" t="inlineStr">
        <is>
          <t>Licențe software</t>
        </is>
      </c>
      <c r="H589" t="n">
        <v>20</v>
      </c>
      <c r="I589" t="n">
        <v>28.54</v>
      </c>
      <c r="J589" t="n">
        <v>570.8</v>
      </c>
      <c r="K589" s="13" t="n">
        <v>0.19</v>
      </c>
      <c r="L589" t="n">
        <v>108.45</v>
      </c>
      <c r="M589" t="n">
        <v>679.25</v>
      </c>
      <c r="N589" t="inlineStr">
        <is>
          <t>RON</t>
        </is>
      </c>
      <c r="O589" t="inlineStr">
        <is>
          <t>Turda</t>
        </is>
      </c>
      <c r="P589" s="12" t="n">
        <v>46297</v>
      </c>
      <c r="Q589">
        <f>IF(COUNTIF(tbl_Localitati[oras_oficial],[@oras])=0,"ORAS NEALINIAT",IF(XLOOKUP([@oras],tbl_Localitati[oras_oficial],tbl_Localitati[judet],"?")&lt;&gt;[@judet],"JUDET NECORESPUNZATOR",""))</f>
        <v/>
      </c>
      <c r="R589">
        <f>IF(XLOOKUP([@categorie],tbl_RegulriTVA[categorie],tbl_RegulriTVA[cota_legala],-1)&lt;&gt;[@cota_tva],"TVA GRESIT","")</f>
        <v/>
      </c>
      <c r="S589">
        <f>IF([@data_scadentei]&lt;[@data_factura],"SCADENTA INAINTEA FACTURII","")</f>
        <v/>
      </c>
      <c r="T589">
        <f>IF(NETWORKDAYS.INTL([@data_factura],[@data_factura],1,tbl_SarbatoriLegale[data])=0,"ZI NELUCRATOARE","")</f>
        <v/>
      </c>
      <c r="U589">
        <f>IF([@motiv_anomalie]="","OK","DE INVESTIGAT")</f>
        <v/>
      </c>
      <c r="V589">
        <f>TEXTJOIN("; ",TRUE,[@flag_oras],[@flag_tva],[@flag_scadenta],[@flag_zi])</f>
        <v/>
      </c>
    </row>
    <row r="590">
      <c r="A590" t="inlineStr">
        <is>
          <t>F-2025-00589</t>
        </is>
      </c>
      <c r="B590" s="12" t="n">
        <v>46262</v>
      </c>
      <c r="C590" t="inlineStr">
        <is>
          <t>SC VECTOR CONSULT SRL</t>
        </is>
      </c>
      <c r="D590" t="inlineStr">
        <is>
          <t>Timiș</t>
        </is>
      </c>
      <c r="E590" t="inlineStr">
        <is>
          <t>PRD-007</t>
        </is>
      </c>
      <c r="F590" t="inlineStr">
        <is>
          <t>Ceai cutie 100buc</t>
        </is>
      </c>
      <c r="G590" t="inlineStr">
        <is>
          <t>Alimente</t>
        </is>
      </c>
      <c r="H590" t="n">
        <v>25</v>
      </c>
      <c r="I590" t="n">
        <v>173.41</v>
      </c>
      <c r="J590" t="n">
        <v>4335.25</v>
      </c>
      <c r="K590" s="13" t="n">
        <v>0.09</v>
      </c>
      <c r="L590" t="n">
        <v>390.17</v>
      </c>
      <c r="M590" t="n">
        <v>4725.42</v>
      </c>
      <c r="N590" t="inlineStr">
        <is>
          <t>RON</t>
        </is>
      </c>
      <c r="O590" t="inlineStr">
        <is>
          <t>Timișoara</t>
        </is>
      </c>
      <c r="P590" s="12" t="n">
        <v>46277</v>
      </c>
      <c r="Q590">
        <f>IF(COUNTIF(tbl_Localitati[oras_oficial],[@oras])=0,"ORAS NEALINIAT",IF(XLOOKUP([@oras],tbl_Localitati[oras_oficial],tbl_Localitati[judet],"?")&lt;&gt;[@judet],"JUDET NECORESPUNZATOR",""))</f>
        <v/>
      </c>
      <c r="R590">
        <f>IF(XLOOKUP([@categorie],tbl_RegulriTVA[categorie],tbl_RegulriTVA[cota_legala],-1)&lt;&gt;[@cota_tva],"TVA GRESIT","")</f>
        <v/>
      </c>
      <c r="S590">
        <f>IF([@data_scadentei]&lt;[@data_factura],"SCADENTA INAINTEA FACTURII","")</f>
        <v/>
      </c>
      <c r="T590">
        <f>IF(NETWORKDAYS.INTL([@data_factura],[@data_factura],1,tbl_SarbatoriLegale[data])=0,"ZI NELUCRATOARE","")</f>
        <v/>
      </c>
      <c r="U590">
        <f>IF([@motiv_anomalie]="","OK","DE INVESTIGAT")</f>
        <v/>
      </c>
      <c r="V590">
        <f>TEXTJOIN("; ",TRUE,[@flag_oras],[@flag_tva],[@flag_scadenta],[@flag_zi])</f>
        <v/>
      </c>
    </row>
    <row r="591">
      <c r="A591" t="inlineStr">
        <is>
          <t>F-2025-00590</t>
        </is>
      </c>
      <c r="B591" s="12" t="n">
        <v>46230</v>
      </c>
      <c r="C591" t="inlineStr">
        <is>
          <t>SC INTEGROMED SA</t>
        </is>
      </c>
      <c r="D591" t="inlineStr">
        <is>
          <t>Cluj</t>
        </is>
      </c>
      <c r="E591" t="inlineStr">
        <is>
          <t>PRD-004</t>
        </is>
      </c>
      <c r="F591" t="inlineStr">
        <is>
          <t>Pachet protocol sedinte</t>
        </is>
      </c>
      <c r="G591" t="inlineStr">
        <is>
          <t>Alimente</t>
        </is>
      </c>
      <c r="H591" t="n">
        <v>1</v>
      </c>
      <c r="I591" t="n">
        <v>915.77</v>
      </c>
      <c r="J591" t="n">
        <v>915.77</v>
      </c>
      <c r="K591" s="13" t="n">
        <v>0.09</v>
      </c>
      <c r="L591" t="n">
        <v>82.42</v>
      </c>
      <c r="M591" t="n">
        <v>998.1900000000001</v>
      </c>
      <c r="N591" t="inlineStr">
        <is>
          <t>RON</t>
        </is>
      </c>
      <c r="O591" t="inlineStr">
        <is>
          <t>Cluj-Napoca</t>
        </is>
      </c>
      <c r="P591" s="12" t="n">
        <v>46260</v>
      </c>
      <c r="Q591">
        <f>IF(COUNTIF(tbl_Localitati[oras_oficial],[@oras])=0,"ORAS NEALINIAT",IF(XLOOKUP([@oras],tbl_Localitati[oras_oficial],tbl_Localitati[judet],"?")&lt;&gt;[@judet],"JUDET NECORESPUNZATOR",""))</f>
        <v/>
      </c>
      <c r="R591">
        <f>IF(XLOOKUP([@categorie],tbl_RegulriTVA[categorie],tbl_RegulriTVA[cota_legala],-1)&lt;&gt;[@cota_tva],"TVA GRESIT","")</f>
        <v/>
      </c>
      <c r="S591">
        <f>IF([@data_scadentei]&lt;[@data_factura],"SCADENTA INAINTEA FACTURII","")</f>
        <v/>
      </c>
      <c r="T591">
        <f>IF(NETWORKDAYS.INTL([@data_factura],[@data_factura],1,tbl_SarbatoriLegale[data])=0,"ZI NELUCRATOARE","")</f>
        <v/>
      </c>
      <c r="U591">
        <f>IF([@motiv_anomalie]="","OK","DE INVESTIGAT")</f>
        <v/>
      </c>
      <c r="V591">
        <f>TEXTJOIN("; ",TRUE,[@flag_oras],[@flag_tva],[@flag_scadenta],[@flag_zi])</f>
        <v/>
      </c>
    </row>
    <row r="592">
      <c r="A592" t="inlineStr">
        <is>
          <t>F-2025-00591</t>
        </is>
      </c>
      <c r="B592" s="12" t="n">
        <v>46115</v>
      </c>
      <c r="C592" t="inlineStr">
        <is>
          <t>SC SOLARIS ENERGY SRL</t>
        </is>
      </c>
      <c r="D592" t="inlineStr">
        <is>
          <t>Prahova</t>
        </is>
      </c>
      <c r="E592" t="inlineStr">
        <is>
          <t>PRD-005</t>
        </is>
      </c>
      <c r="F592" t="inlineStr">
        <is>
          <t>Telefon IP birou</t>
        </is>
      </c>
      <c r="G592" t="inlineStr">
        <is>
          <t>Echipamente birou</t>
        </is>
      </c>
      <c r="H592" t="n">
        <v>1</v>
      </c>
      <c r="I592" t="n">
        <v>250.89</v>
      </c>
      <c r="J592" t="n">
        <v>250.89</v>
      </c>
      <c r="K592" s="13" t="n">
        <v>0.19</v>
      </c>
      <c r="L592" t="n">
        <v>47.67</v>
      </c>
      <c r="M592" t="n">
        <v>298.56</v>
      </c>
      <c r="N592" t="inlineStr">
        <is>
          <t>RON</t>
        </is>
      </c>
      <c r="O592" t="inlineStr">
        <is>
          <t>Câmpina</t>
        </is>
      </c>
      <c r="P592" s="12" t="n">
        <v>46175</v>
      </c>
      <c r="Q592">
        <f>IF(COUNTIF(tbl_Localitati[oras_oficial],[@oras])=0,"ORAS NEALINIAT",IF(XLOOKUP([@oras],tbl_Localitati[oras_oficial],tbl_Localitati[judet],"?")&lt;&gt;[@judet],"JUDET NECORESPUNZATOR",""))</f>
        <v/>
      </c>
      <c r="R592">
        <f>IF(XLOOKUP([@categorie],tbl_RegulriTVA[categorie],tbl_RegulriTVA[cota_legala],-1)&lt;&gt;[@cota_tva],"TVA GRESIT","")</f>
        <v/>
      </c>
      <c r="S592">
        <f>IF([@data_scadentei]&lt;[@data_factura],"SCADENTA INAINTEA FACTURII","")</f>
        <v/>
      </c>
      <c r="T592">
        <f>IF(NETWORKDAYS.INTL([@data_factura],[@data_factura],1,tbl_SarbatoriLegale[data])=0,"ZI NELUCRATOARE","")</f>
        <v/>
      </c>
      <c r="U592">
        <f>IF([@motiv_anomalie]="","OK","DE INVESTIGAT")</f>
        <v/>
      </c>
      <c r="V592">
        <f>TEXTJOIN("; ",TRUE,[@flag_oras],[@flag_tva],[@flag_scadenta],[@flag_zi])</f>
        <v/>
      </c>
    </row>
    <row r="593">
      <c r="A593" t="inlineStr">
        <is>
          <t>F-2025-00592</t>
        </is>
      </c>
      <c r="B593" s="12" t="n">
        <v>46197</v>
      </c>
      <c r="C593" t="inlineStr">
        <is>
          <t>SC RAPID LOGISTIC SA</t>
        </is>
      </c>
      <c r="D593" t="inlineStr">
        <is>
          <t>Prahova</t>
        </is>
      </c>
      <c r="E593" t="inlineStr">
        <is>
          <t>PRD-002</t>
        </is>
      </c>
      <c r="F593" t="inlineStr">
        <is>
          <t>Licenta Office 365 anuala</t>
        </is>
      </c>
      <c r="G593" t="inlineStr">
        <is>
          <t>Licențe software</t>
        </is>
      </c>
      <c r="H593" t="n">
        <v>2</v>
      </c>
      <c r="I593" t="n">
        <v>1091.55</v>
      </c>
      <c r="J593" t="n">
        <v>2183.1</v>
      </c>
      <c r="K593" s="13" t="n">
        <v>0.19</v>
      </c>
      <c r="L593" t="n">
        <v>414.79</v>
      </c>
      <c r="M593" t="n">
        <v>2597.89</v>
      </c>
      <c r="N593" t="inlineStr">
        <is>
          <t>RON</t>
        </is>
      </c>
      <c r="O593" t="inlineStr">
        <is>
          <t>Ploiești</t>
        </is>
      </c>
      <c r="P593" s="12" t="n">
        <v>46212</v>
      </c>
      <c r="Q593">
        <f>IF(COUNTIF(tbl_Localitati[oras_oficial],[@oras])=0,"ORAS NEALINIAT",IF(XLOOKUP([@oras],tbl_Localitati[oras_oficial],tbl_Localitati[judet],"?")&lt;&gt;[@judet],"JUDET NECORESPUNZATOR",""))</f>
        <v/>
      </c>
      <c r="R593">
        <f>IF(XLOOKUP([@categorie],tbl_RegulriTVA[categorie],tbl_RegulriTVA[cota_legala],-1)&lt;&gt;[@cota_tva],"TVA GRESIT","")</f>
        <v/>
      </c>
      <c r="S593">
        <f>IF([@data_scadentei]&lt;[@data_factura],"SCADENTA INAINTEA FACTURII","")</f>
        <v/>
      </c>
      <c r="T593">
        <f>IF(NETWORKDAYS.INTL([@data_factura],[@data_factura],1,tbl_SarbatoriLegale[data])=0,"ZI NELUCRATOARE","")</f>
        <v/>
      </c>
      <c r="U593">
        <f>IF([@motiv_anomalie]="","OK","DE INVESTIGAT")</f>
        <v/>
      </c>
      <c r="V593">
        <f>TEXTJOIN("; ",TRUE,[@flag_oras],[@flag_tva],[@flag_scadenta],[@flag_zi])</f>
        <v/>
      </c>
    </row>
    <row r="594">
      <c r="A594" t="inlineStr">
        <is>
          <t>F-2025-00593</t>
        </is>
      </c>
      <c r="B594" s="12" t="n">
        <v>46191</v>
      </c>
      <c r="C594" t="inlineStr">
        <is>
          <t>SC DACTECH SOLUTIONS SRL</t>
        </is>
      </c>
      <c r="D594" t="inlineStr">
        <is>
          <t>Argeș</t>
        </is>
      </c>
      <c r="E594" t="inlineStr">
        <is>
          <t>PRD-008</t>
        </is>
      </c>
      <c r="F594" t="inlineStr">
        <is>
          <t>Server rack 1U</t>
        </is>
      </c>
      <c r="G594" t="inlineStr">
        <is>
          <t>Hardware IT</t>
        </is>
      </c>
      <c r="H594" t="n">
        <v>10</v>
      </c>
      <c r="I594" t="n">
        <v>454.74</v>
      </c>
      <c r="J594" t="n">
        <v>4547.4</v>
      </c>
      <c r="K594" s="13" t="n">
        <v>0.19</v>
      </c>
      <c r="L594" t="n">
        <v>864.01</v>
      </c>
      <c r="M594" t="n">
        <v>5411.41</v>
      </c>
      <c r="N594" t="inlineStr">
        <is>
          <t>RON</t>
        </is>
      </c>
      <c r="O594" t="inlineStr">
        <is>
          <t>Pitești</t>
        </is>
      </c>
      <c r="P594" s="12" t="n">
        <v>46221</v>
      </c>
      <c r="Q594">
        <f>IF(COUNTIF(tbl_Localitati[oras_oficial],[@oras])=0,"ORAS NEALINIAT",IF(XLOOKUP([@oras],tbl_Localitati[oras_oficial],tbl_Localitati[judet],"?")&lt;&gt;[@judet],"JUDET NECORESPUNZATOR",""))</f>
        <v/>
      </c>
      <c r="R594">
        <f>IF(XLOOKUP([@categorie],tbl_RegulriTVA[categorie],tbl_RegulriTVA[cota_legala],-1)&lt;&gt;[@cota_tva],"TVA GRESIT","")</f>
        <v/>
      </c>
      <c r="S594">
        <f>IF([@data_scadentei]&lt;[@data_factura],"SCADENTA INAINTEA FACTURII","")</f>
        <v/>
      </c>
      <c r="T594">
        <f>IF(NETWORKDAYS.INTL([@data_factura],[@data_factura],1,tbl_SarbatoriLegale[data])=0,"ZI NELUCRATOARE","")</f>
        <v/>
      </c>
      <c r="U594">
        <f>IF([@motiv_anomalie]="","OK","DE INVESTIGAT")</f>
        <v/>
      </c>
      <c r="V594">
        <f>TEXTJOIN("; ",TRUE,[@flag_oras],[@flag_tva],[@flag_scadenta],[@flag_zi])</f>
        <v/>
      </c>
    </row>
    <row r="595">
      <c r="A595" t="inlineStr">
        <is>
          <t>F-2025-00594</t>
        </is>
      </c>
      <c r="B595" s="12" t="n">
        <v>46101</v>
      </c>
      <c r="C595" t="inlineStr">
        <is>
          <t>SC DACTECH SOLUTIONS SRL</t>
        </is>
      </c>
      <c r="D595" t="inlineStr">
        <is>
          <t>Argeș</t>
        </is>
      </c>
      <c r="E595" t="inlineStr">
        <is>
          <t>PRD-004</t>
        </is>
      </c>
      <c r="F595" t="inlineStr">
        <is>
          <t>Tocator documente</t>
        </is>
      </c>
      <c r="G595" t="inlineStr">
        <is>
          <t>Echipamente birou</t>
        </is>
      </c>
      <c r="H595" t="n">
        <v>2</v>
      </c>
      <c r="I595" t="n">
        <v>866.8099999999999</v>
      </c>
      <c r="J595" t="n">
        <v>1733.62</v>
      </c>
      <c r="K595" s="13" t="n">
        <v>0.19</v>
      </c>
      <c r="L595" t="n">
        <v>329.39</v>
      </c>
      <c r="M595" t="n">
        <v>2063.01</v>
      </c>
      <c r="N595" t="inlineStr">
        <is>
          <t>RON</t>
        </is>
      </c>
      <c r="O595" t="inlineStr">
        <is>
          <t>Pitești</t>
        </is>
      </c>
      <c r="P595" s="12" t="n">
        <v>46131</v>
      </c>
      <c r="Q595">
        <f>IF(COUNTIF(tbl_Localitati[oras_oficial],[@oras])=0,"ORAS NEALINIAT",IF(XLOOKUP([@oras],tbl_Localitati[oras_oficial],tbl_Localitati[judet],"?")&lt;&gt;[@judet],"JUDET NECORESPUNZATOR",""))</f>
        <v/>
      </c>
      <c r="R595">
        <f>IF(XLOOKUP([@categorie],tbl_RegulriTVA[categorie],tbl_RegulriTVA[cota_legala],-1)&lt;&gt;[@cota_tva],"TVA GRESIT","")</f>
        <v/>
      </c>
      <c r="S595">
        <f>IF([@data_scadentei]&lt;[@data_factura],"SCADENTA INAINTEA FACTURII","")</f>
        <v/>
      </c>
      <c r="T595">
        <f>IF(NETWORKDAYS.INTL([@data_factura],[@data_factura],1,tbl_SarbatoriLegale[data])=0,"ZI NELUCRATOARE","")</f>
        <v/>
      </c>
      <c r="U595">
        <f>IF([@motiv_anomalie]="","OK","DE INVESTIGAT")</f>
        <v/>
      </c>
      <c r="V595">
        <f>TEXTJOIN("; ",TRUE,[@flag_oras],[@flag_tva],[@flag_scadenta],[@flag_zi])</f>
        <v/>
      </c>
    </row>
    <row r="596">
      <c r="A596" t="inlineStr">
        <is>
          <t>F-2025-00595</t>
        </is>
      </c>
      <c r="B596" s="12" t="n">
        <v>46343</v>
      </c>
      <c r="C596" t="inlineStr">
        <is>
          <t>SC SOLARIS ENERGY SRL</t>
        </is>
      </c>
      <c r="D596" t="inlineStr">
        <is>
          <t>Prahova</t>
        </is>
      </c>
      <c r="E596" t="inlineStr">
        <is>
          <t>PRD-005</t>
        </is>
      </c>
      <c r="F596" t="inlineStr">
        <is>
          <t>Licenta ERP contabilitate</t>
        </is>
      </c>
      <c r="G596" t="inlineStr">
        <is>
          <t>Licențe software</t>
        </is>
      </c>
      <c r="H596" t="n">
        <v>1</v>
      </c>
      <c r="I596" t="n">
        <v>244</v>
      </c>
      <c r="J596" t="n">
        <v>244</v>
      </c>
      <c r="K596" s="13" t="n">
        <v>0.19</v>
      </c>
      <c r="L596" t="n">
        <v>46.36</v>
      </c>
      <c r="M596" t="n">
        <v>290.36</v>
      </c>
      <c r="N596" t="inlineStr">
        <is>
          <t>RON</t>
        </is>
      </c>
      <c r="O596" t="inlineStr">
        <is>
          <t>Câmpina</t>
        </is>
      </c>
      <c r="P596" s="12" t="n">
        <v>46403</v>
      </c>
      <c r="Q596">
        <f>IF(COUNTIF(tbl_Localitati[oras_oficial],[@oras])=0,"ORAS NEALINIAT",IF(XLOOKUP([@oras],tbl_Localitati[oras_oficial],tbl_Localitati[judet],"?")&lt;&gt;[@judet],"JUDET NECORESPUNZATOR",""))</f>
        <v/>
      </c>
      <c r="R596">
        <f>IF(XLOOKUP([@categorie],tbl_RegulriTVA[categorie],tbl_RegulriTVA[cota_legala],-1)&lt;&gt;[@cota_tva],"TVA GRESIT","")</f>
        <v/>
      </c>
      <c r="S596">
        <f>IF([@data_scadentei]&lt;[@data_factura],"SCADENTA INAINTEA FACTURII","")</f>
        <v/>
      </c>
      <c r="T596">
        <f>IF(NETWORKDAYS.INTL([@data_factura],[@data_factura],1,tbl_SarbatoriLegale[data])=0,"ZI NELUCRATOARE","")</f>
        <v/>
      </c>
      <c r="U596">
        <f>IF([@motiv_anomalie]="","OK","DE INVESTIGAT")</f>
        <v/>
      </c>
      <c r="V596">
        <f>TEXTJOIN("; ",TRUE,[@flag_oras],[@flag_tva],[@flag_scadenta],[@flag_zi])</f>
        <v/>
      </c>
    </row>
    <row r="597">
      <c r="A597" t="inlineStr">
        <is>
          <t>F-2025-00596</t>
        </is>
      </c>
      <c r="B597" s="12" t="n">
        <v>46343</v>
      </c>
      <c r="C597" t="inlineStr">
        <is>
          <t>SC DACTECH SOLUTIONS SRL</t>
        </is>
      </c>
      <c r="D597" t="inlineStr">
        <is>
          <t>Argeș</t>
        </is>
      </c>
      <c r="E597" t="inlineStr">
        <is>
          <t>PRD-006</t>
        </is>
      </c>
      <c r="F597" t="inlineStr">
        <is>
          <t>Termometru digital</t>
        </is>
      </c>
      <c r="G597" t="inlineStr">
        <is>
          <t>Produse farmaceutice</t>
        </is>
      </c>
      <c r="H597" t="n">
        <v>10</v>
      </c>
      <c r="I597" t="n">
        <v>738.55</v>
      </c>
      <c r="J597" t="n">
        <v>7385.5</v>
      </c>
      <c r="K597" s="13" t="n">
        <v>0.09</v>
      </c>
      <c r="L597" t="n">
        <v>664.6900000000001</v>
      </c>
      <c r="M597" t="n">
        <v>8050.19</v>
      </c>
      <c r="N597" t="inlineStr">
        <is>
          <t>RON</t>
        </is>
      </c>
      <c r="O597" t="inlineStr">
        <is>
          <t>Pitești</t>
        </is>
      </c>
      <c r="P597" s="12" t="n">
        <v>46373</v>
      </c>
      <c r="Q597">
        <f>IF(COUNTIF(tbl_Localitati[oras_oficial],[@oras])=0,"ORAS NEALINIAT",IF(XLOOKUP([@oras],tbl_Localitati[oras_oficial],tbl_Localitati[judet],"?")&lt;&gt;[@judet],"JUDET NECORESPUNZATOR",""))</f>
        <v/>
      </c>
      <c r="R597">
        <f>IF(XLOOKUP([@categorie],tbl_RegulriTVA[categorie],tbl_RegulriTVA[cota_legala],-1)&lt;&gt;[@cota_tva],"TVA GRESIT","")</f>
        <v/>
      </c>
      <c r="S597">
        <f>IF([@data_scadentei]&lt;[@data_factura],"SCADENTA INAINTEA FACTURII","")</f>
        <v/>
      </c>
      <c r="T597">
        <f>IF(NETWORKDAYS.INTL([@data_factura],[@data_factura],1,tbl_SarbatoriLegale[data])=0,"ZI NELUCRATOARE","")</f>
        <v/>
      </c>
      <c r="U597">
        <f>IF([@motiv_anomalie]="","OK","DE INVESTIGAT")</f>
        <v/>
      </c>
      <c r="V597">
        <f>TEXTJOIN("; ",TRUE,[@flag_oras],[@flag_tva],[@flag_scadenta],[@flag_zi])</f>
        <v/>
      </c>
    </row>
    <row r="598">
      <c r="A598" t="inlineStr">
        <is>
          <t>F-2025-00597</t>
        </is>
      </c>
      <c r="B598" s="12" t="n">
        <v>46307</v>
      </c>
      <c r="C598" t="inlineStr">
        <is>
          <t>SC METALPLAST INVEST SA</t>
        </is>
      </c>
      <c r="D598" t="inlineStr">
        <is>
          <t>Cluj</t>
        </is>
      </c>
      <c r="E598" t="inlineStr">
        <is>
          <t>PRD-002</t>
        </is>
      </c>
      <c r="F598" t="inlineStr">
        <is>
          <t>Switch gigabit 24p</t>
        </is>
      </c>
      <c r="G598" t="inlineStr">
        <is>
          <t>Hardware IT</t>
        </is>
      </c>
      <c r="H598" t="n">
        <v>2</v>
      </c>
      <c r="I598" t="n">
        <v>1072.36</v>
      </c>
      <c r="J598" t="n">
        <v>2144.72</v>
      </c>
      <c r="K598" s="13" t="n">
        <v>0.19</v>
      </c>
      <c r="L598" t="n">
        <v>407.5</v>
      </c>
      <c r="M598" t="n">
        <v>2552.22</v>
      </c>
      <c r="N598" t="inlineStr">
        <is>
          <t>RON</t>
        </is>
      </c>
      <c r="O598" t="inlineStr">
        <is>
          <t>Turda</t>
        </is>
      </c>
      <c r="P598" s="12" t="n">
        <v>46337</v>
      </c>
      <c r="Q598">
        <f>IF(COUNTIF(tbl_Localitati[oras_oficial],[@oras])=0,"ORAS NEALINIAT",IF(XLOOKUP([@oras],tbl_Localitati[oras_oficial],tbl_Localitati[judet],"?")&lt;&gt;[@judet],"JUDET NECORESPUNZATOR",""))</f>
        <v/>
      </c>
      <c r="R598">
        <f>IF(XLOOKUP([@categorie],tbl_RegulriTVA[categorie],tbl_RegulriTVA[cota_legala],-1)&lt;&gt;[@cota_tva],"TVA GRESIT","")</f>
        <v/>
      </c>
      <c r="S598">
        <f>IF([@data_scadentei]&lt;[@data_factura],"SCADENTA INAINTEA FACTURII","")</f>
        <v/>
      </c>
      <c r="T598">
        <f>IF(NETWORKDAYS.INTL([@data_factura],[@data_factura],1,tbl_SarbatoriLegale[data])=0,"ZI NELUCRATOARE","")</f>
        <v/>
      </c>
      <c r="U598">
        <f>IF([@motiv_anomalie]="","OK","DE INVESTIGAT")</f>
        <v/>
      </c>
      <c r="V598">
        <f>TEXTJOIN("; ",TRUE,[@flag_oras],[@flag_tva],[@flag_scadenta],[@flag_zi])</f>
        <v/>
      </c>
    </row>
    <row r="599">
      <c r="A599" t="inlineStr">
        <is>
          <t>F-2025-00598</t>
        </is>
      </c>
      <c r="B599" s="12" t="n">
        <v>46066</v>
      </c>
      <c r="C599" t="inlineStr">
        <is>
          <t>SC RAPID LOGISTIC SA</t>
        </is>
      </c>
      <c r="D599" t="inlineStr">
        <is>
          <t>Prahova</t>
        </is>
      </c>
      <c r="E599" t="inlineStr">
        <is>
          <t>PRD-010</t>
        </is>
      </c>
      <c r="F599" t="inlineStr">
        <is>
          <t>Audit infrastructura</t>
        </is>
      </c>
      <c r="G599" t="inlineStr">
        <is>
          <t>Servicii consultanță</t>
        </is>
      </c>
      <c r="H599" t="n">
        <v>50</v>
      </c>
      <c r="I599" t="n">
        <v>354.69</v>
      </c>
      <c r="J599" t="n">
        <v>17734.5</v>
      </c>
      <c r="K599" s="13" t="n">
        <v>0.19</v>
      </c>
      <c r="L599" t="n">
        <v>3369.55</v>
      </c>
      <c r="M599" t="n">
        <v>21104.05</v>
      </c>
      <c r="N599" t="inlineStr">
        <is>
          <t>RON</t>
        </is>
      </c>
      <c r="O599" t="inlineStr">
        <is>
          <t>Ploiești</t>
        </is>
      </c>
      <c r="P599" s="12" t="n">
        <v>46096</v>
      </c>
      <c r="Q599">
        <f>IF(COUNTIF(tbl_Localitati[oras_oficial],[@oras])=0,"ORAS NEALINIAT",IF(XLOOKUP([@oras],tbl_Localitati[oras_oficial],tbl_Localitati[judet],"?")&lt;&gt;[@judet],"JUDET NECORESPUNZATOR",""))</f>
        <v/>
      </c>
      <c r="R599">
        <f>IF(XLOOKUP([@categorie],tbl_RegulriTVA[categorie],tbl_RegulriTVA[cota_legala],-1)&lt;&gt;[@cota_tva],"TVA GRESIT","")</f>
        <v/>
      </c>
      <c r="S599">
        <f>IF([@data_scadentei]&lt;[@data_factura],"SCADENTA INAINTEA FACTURII","")</f>
        <v/>
      </c>
      <c r="T599">
        <f>IF(NETWORKDAYS.INTL([@data_factura],[@data_factura],1,tbl_SarbatoriLegale[data])=0,"ZI NELUCRATOARE","")</f>
        <v/>
      </c>
      <c r="U599">
        <f>IF([@motiv_anomalie]="","OK","DE INVESTIGAT")</f>
        <v/>
      </c>
      <c r="V599">
        <f>TEXTJOIN("; ",TRUE,[@flag_oras],[@flag_tva],[@flag_scadenta],[@flag_zi])</f>
        <v/>
      </c>
    </row>
    <row r="600">
      <c r="A600" t="inlineStr">
        <is>
          <t>F-2025-00599</t>
        </is>
      </c>
      <c r="B600" s="12" t="n">
        <v>46072</v>
      </c>
      <c r="C600" t="inlineStr">
        <is>
          <t>SC OMEGA SOFT SRL</t>
        </is>
      </c>
      <c r="D600" t="inlineStr">
        <is>
          <t>Dolj</t>
        </is>
      </c>
      <c r="E600" t="inlineStr">
        <is>
          <t>PRD-003</t>
        </is>
      </c>
      <c r="F600" t="inlineStr">
        <is>
          <t>Telefon IP birou</t>
        </is>
      </c>
      <c r="G600" t="inlineStr">
        <is>
          <t>Echipamente birou</t>
        </is>
      </c>
      <c r="H600" t="n">
        <v>1</v>
      </c>
      <c r="I600" t="n">
        <v>4023.38</v>
      </c>
      <c r="J600" t="n">
        <v>4023.38</v>
      </c>
      <c r="K600" s="13" t="n">
        <v>0.19</v>
      </c>
      <c r="L600" t="n">
        <v>764.4400000000001</v>
      </c>
      <c r="M600" t="n">
        <v>4787.82</v>
      </c>
      <c r="N600" t="inlineStr">
        <is>
          <t>RON</t>
        </is>
      </c>
      <c r="O600" t="inlineStr">
        <is>
          <t>Craiova</t>
        </is>
      </c>
      <c r="P600" s="12" t="n">
        <v>46102</v>
      </c>
      <c r="Q600">
        <f>IF(COUNTIF(tbl_Localitati[oras_oficial],[@oras])=0,"ORAS NEALINIAT",IF(XLOOKUP([@oras],tbl_Localitati[oras_oficial],tbl_Localitati[judet],"?")&lt;&gt;[@judet],"JUDET NECORESPUNZATOR",""))</f>
        <v/>
      </c>
      <c r="R600">
        <f>IF(XLOOKUP([@categorie],tbl_RegulriTVA[categorie],tbl_RegulriTVA[cota_legala],-1)&lt;&gt;[@cota_tva],"TVA GRESIT","")</f>
        <v/>
      </c>
      <c r="S600">
        <f>IF([@data_scadentei]&lt;[@data_factura],"SCADENTA INAINTEA FACTURII","")</f>
        <v/>
      </c>
      <c r="T600">
        <f>IF(NETWORKDAYS.INTL([@data_factura],[@data_factura],1,tbl_SarbatoriLegale[data])=0,"ZI NELUCRATOARE","")</f>
        <v/>
      </c>
      <c r="U600">
        <f>IF([@motiv_anomalie]="","OK","DE INVESTIGAT")</f>
        <v/>
      </c>
      <c r="V600">
        <f>TEXTJOIN("; ",TRUE,[@flag_oras],[@flag_tva],[@flag_scadenta],[@flag_zi])</f>
        <v/>
      </c>
    </row>
    <row r="601">
      <c r="A601" t="inlineStr">
        <is>
          <t>F-2025-00600</t>
        </is>
      </c>
      <c r="B601" s="12" t="n">
        <v>46079</v>
      </c>
      <c r="C601" t="inlineStr">
        <is>
          <t>SC AROMET TRADING SRL</t>
        </is>
      </c>
      <c r="D601" t="inlineStr">
        <is>
          <t>Alba</t>
        </is>
      </c>
      <c r="E601" t="inlineStr">
        <is>
          <t>PRD-001</t>
        </is>
      </c>
      <c r="F601" t="inlineStr">
        <is>
          <t>Licenta Office 365 anuala</t>
        </is>
      </c>
      <c r="G601" t="inlineStr">
        <is>
          <t>Licențe software</t>
        </is>
      </c>
      <c r="H601" t="n">
        <v>3</v>
      </c>
      <c r="I601" t="n">
        <v>2328.96</v>
      </c>
      <c r="J601" t="n">
        <v>6986.88</v>
      </c>
      <c r="K601" s="13" t="n">
        <v>0.19</v>
      </c>
      <c r="L601" t="n">
        <v>1327.51</v>
      </c>
      <c r="M601" t="n">
        <v>8314.389999999999</v>
      </c>
      <c r="N601" t="inlineStr">
        <is>
          <t>RON</t>
        </is>
      </c>
      <c r="O601" t="inlineStr">
        <is>
          <t>Alba Iulia</t>
        </is>
      </c>
      <c r="P601" s="12" t="n">
        <v>46074</v>
      </c>
      <c r="Q601">
        <f>IF(COUNTIF(tbl_Localitati[oras_oficial],[@oras])=0,"ORAS NEALINIAT",IF(XLOOKUP([@oras],tbl_Localitati[oras_oficial],tbl_Localitati[judet],"?")&lt;&gt;[@judet],"JUDET NECORESPUNZATOR",""))</f>
        <v/>
      </c>
      <c r="R601">
        <f>IF(XLOOKUP([@categorie],tbl_RegulriTVA[categorie],tbl_RegulriTVA[cota_legala],-1)&lt;&gt;[@cota_tva],"TVA GRESIT","")</f>
        <v/>
      </c>
      <c r="S601">
        <f>IF([@data_scadentei]&lt;[@data_factura],"SCADENTA INAINTEA FACTURII","")</f>
        <v/>
      </c>
      <c r="T601">
        <f>IF(NETWORKDAYS.INTL([@data_factura],[@data_factura],1,tbl_SarbatoriLegale[data])=0,"ZI NELUCRATOARE","")</f>
        <v/>
      </c>
      <c r="U601">
        <f>IF([@motiv_anomalie]="","OK","DE INVESTIGAT")</f>
        <v/>
      </c>
      <c r="V601">
        <f>TEXTJOIN("; ",TRUE,[@flag_oras],[@flag_tva],[@flag_scadenta],[@flag_zi])</f>
        <v/>
      </c>
    </row>
    <row r="602">
      <c r="A602" t="inlineStr">
        <is>
          <t>F-2025-00601</t>
        </is>
      </c>
      <c r="B602" s="12" t="n">
        <v>46377</v>
      </c>
      <c r="C602" t="inlineStr">
        <is>
          <t>SC METALPLAST INVEST SA</t>
        </is>
      </c>
      <c r="D602" t="inlineStr">
        <is>
          <t>Cluj</t>
        </is>
      </c>
      <c r="E602" t="inlineStr">
        <is>
          <t>PRD-002</t>
        </is>
      </c>
      <c r="F602" t="inlineStr">
        <is>
          <t>Abonament suita cloud</t>
        </is>
      </c>
      <c r="G602" t="inlineStr">
        <is>
          <t>Licențe software</t>
        </is>
      </c>
      <c r="H602" t="n">
        <v>2</v>
      </c>
      <c r="I602" t="n">
        <v>1073.05</v>
      </c>
      <c r="J602" t="n">
        <v>2146.1</v>
      </c>
      <c r="K602" s="13" t="n">
        <v>0.19</v>
      </c>
      <c r="L602" t="n">
        <v>407.76</v>
      </c>
      <c r="M602" t="n">
        <v>2553.86</v>
      </c>
      <c r="N602" t="inlineStr">
        <is>
          <t>RON</t>
        </is>
      </c>
      <c r="O602" t="inlineStr">
        <is>
          <t>Turda</t>
        </is>
      </c>
      <c r="P602" s="12" t="n">
        <v>46407</v>
      </c>
      <c r="Q602">
        <f>IF(COUNTIF(tbl_Localitati[oras_oficial],[@oras])=0,"ORAS NEALINIAT",IF(XLOOKUP([@oras],tbl_Localitati[oras_oficial],tbl_Localitati[judet],"?")&lt;&gt;[@judet],"JUDET NECORESPUNZATOR",""))</f>
        <v/>
      </c>
      <c r="R602">
        <f>IF(XLOOKUP([@categorie],tbl_RegulriTVA[categorie],tbl_RegulriTVA[cota_legala],-1)&lt;&gt;[@cota_tva],"TVA GRESIT","")</f>
        <v/>
      </c>
      <c r="S602">
        <f>IF([@data_scadentei]&lt;[@data_factura],"SCADENTA INAINTEA FACTURII","")</f>
        <v/>
      </c>
      <c r="T602">
        <f>IF(NETWORKDAYS.INTL([@data_factura],[@data_factura],1,tbl_SarbatoriLegale[data])=0,"ZI NELUCRATOARE","")</f>
        <v/>
      </c>
      <c r="U602">
        <f>IF([@motiv_anomalie]="","OK","DE INVESTIGAT")</f>
        <v/>
      </c>
      <c r="V602">
        <f>TEXTJOIN("; ",TRUE,[@flag_oras],[@flag_tva],[@flag_scadenta],[@flag_zi])</f>
        <v/>
      </c>
    </row>
    <row r="603">
      <c r="A603" t="inlineStr">
        <is>
          <t>F-2025-00602</t>
        </is>
      </c>
      <c r="B603" s="12" t="n">
        <v>46384</v>
      </c>
      <c r="C603" t="inlineStr">
        <is>
          <t>SC METALPLAST INVEST SA</t>
        </is>
      </c>
      <c r="D603" t="inlineStr">
        <is>
          <t>Cluj</t>
        </is>
      </c>
      <c r="E603" t="inlineStr">
        <is>
          <t>PRD-004</t>
        </is>
      </c>
      <c r="F603" t="inlineStr">
        <is>
          <t>Licenta ERP contabilitate</t>
        </is>
      </c>
      <c r="G603" t="inlineStr">
        <is>
          <t>Licențe software</t>
        </is>
      </c>
      <c r="H603" t="n">
        <v>5</v>
      </c>
      <c r="I603" t="n">
        <v>928.99</v>
      </c>
      <c r="J603" t="n">
        <v>4644.95</v>
      </c>
      <c r="K603" s="13" t="n">
        <v>0.19</v>
      </c>
      <c r="L603" t="n">
        <v>882.54</v>
      </c>
      <c r="M603" t="n">
        <v>5527.49</v>
      </c>
      <c r="N603" t="inlineStr">
        <is>
          <t>RON</t>
        </is>
      </c>
      <c r="O603" t="inlineStr">
        <is>
          <t>Turda</t>
        </is>
      </c>
      <c r="P603" s="12" t="n">
        <v>46414</v>
      </c>
      <c r="Q603">
        <f>IF(COUNTIF(tbl_Localitati[oras_oficial],[@oras])=0,"ORAS NEALINIAT",IF(XLOOKUP([@oras],tbl_Localitati[oras_oficial],tbl_Localitati[judet],"?")&lt;&gt;[@judet],"JUDET NECORESPUNZATOR",""))</f>
        <v/>
      </c>
      <c r="R603">
        <f>IF(XLOOKUP([@categorie],tbl_RegulriTVA[categorie],tbl_RegulriTVA[cota_legala],-1)&lt;&gt;[@cota_tva],"TVA GRESIT","")</f>
        <v/>
      </c>
      <c r="S603">
        <f>IF([@data_scadentei]&lt;[@data_factura],"SCADENTA INAINTEA FACTURII","")</f>
        <v/>
      </c>
      <c r="T603">
        <f>IF(NETWORKDAYS.INTL([@data_factura],[@data_factura],1,tbl_SarbatoriLegale[data])=0,"ZI NELUCRATOARE","")</f>
        <v/>
      </c>
      <c r="U603">
        <f>IF([@motiv_anomalie]="","OK","DE INVESTIGAT")</f>
        <v/>
      </c>
      <c r="V603">
        <f>TEXTJOIN("; ",TRUE,[@flag_oras],[@flag_tva],[@flag_scadenta],[@flag_zi])</f>
        <v/>
      </c>
    </row>
    <row r="604">
      <c r="A604" t="inlineStr">
        <is>
          <t>F-2025-00603</t>
        </is>
      </c>
      <c r="B604" s="12" t="n">
        <v>46293</v>
      </c>
      <c r="C604" t="inlineStr">
        <is>
          <t>SC OMEGA SOFT SRL</t>
        </is>
      </c>
      <c r="D604" t="inlineStr">
        <is>
          <t>Dolj</t>
        </is>
      </c>
      <c r="E604" t="inlineStr">
        <is>
          <t>PRD-007</t>
        </is>
      </c>
      <c r="F604" t="inlineStr">
        <is>
          <t>Audit infrastructura</t>
        </is>
      </c>
      <c r="G604" t="inlineStr">
        <is>
          <t>Servicii consultanță</t>
        </is>
      </c>
      <c r="H604" t="n">
        <v>5</v>
      </c>
      <c r="I604" t="n">
        <v>177.81</v>
      </c>
      <c r="J604" t="n">
        <v>889.05</v>
      </c>
      <c r="K604" s="13" t="n">
        <v>0.19</v>
      </c>
      <c r="L604" t="n">
        <v>168.92</v>
      </c>
      <c r="M604" t="n">
        <v>1057.97</v>
      </c>
      <c r="N604" t="inlineStr">
        <is>
          <t>RON</t>
        </is>
      </c>
      <c r="O604" t="inlineStr">
        <is>
          <t>Craiova</t>
        </is>
      </c>
      <c r="P604" s="12" t="n">
        <v>46323</v>
      </c>
      <c r="Q604">
        <f>IF(COUNTIF(tbl_Localitati[oras_oficial],[@oras])=0,"ORAS NEALINIAT",IF(XLOOKUP([@oras],tbl_Localitati[oras_oficial],tbl_Localitati[judet],"?")&lt;&gt;[@judet],"JUDET NECORESPUNZATOR",""))</f>
        <v/>
      </c>
      <c r="R604">
        <f>IF(XLOOKUP([@categorie],tbl_RegulriTVA[categorie],tbl_RegulriTVA[cota_legala],-1)&lt;&gt;[@cota_tva],"TVA GRESIT","")</f>
        <v/>
      </c>
      <c r="S604">
        <f>IF([@data_scadentei]&lt;[@data_factura],"SCADENTA INAINTEA FACTURII","")</f>
        <v/>
      </c>
      <c r="T604">
        <f>IF(NETWORKDAYS.INTL([@data_factura],[@data_factura],1,tbl_SarbatoriLegale[data])=0,"ZI NELUCRATOARE","")</f>
        <v/>
      </c>
      <c r="U604">
        <f>IF([@motiv_anomalie]="","OK","DE INVESTIGAT")</f>
        <v/>
      </c>
      <c r="V604">
        <f>TEXTJOIN("; ",TRUE,[@flag_oras],[@flag_tva],[@flag_scadenta],[@flag_zi])</f>
        <v/>
      </c>
    </row>
    <row r="605">
      <c r="A605" t="inlineStr">
        <is>
          <t>F-2025-00604</t>
        </is>
      </c>
      <c r="B605" s="12" t="n">
        <v>46085</v>
      </c>
      <c r="C605" t="inlineStr">
        <is>
          <t>SC DACTECH SOLUTIONS SRL</t>
        </is>
      </c>
      <c r="D605" t="inlineStr">
        <is>
          <t>Argeș</t>
        </is>
      </c>
      <c r="E605" t="inlineStr">
        <is>
          <t>PRD-001</t>
        </is>
      </c>
      <c r="F605" t="inlineStr">
        <is>
          <t>Set carti formare</t>
        </is>
      </c>
      <c r="G605" t="inlineStr">
        <is>
          <t>Cărți și manuale</t>
        </is>
      </c>
      <c r="H605" t="n">
        <v>1</v>
      </c>
      <c r="I605" t="n">
        <v>2372.24</v>
      </c>
      <c r="J605" t="n">
        <v>2372.24</v>
      </c>
      <c r="K605" s="13" t="n">
        <v>0.05</v>
      </c>
      <c r="L605" t="n">
        <v>118.61</v>
      </c>
      <c r="M605" t="n">
        <v>2490.85</v>
      </c>
      <c r="N605" t="inlineStr">
        <is>
          <t>RON</t>
        </is>
      </c>
      <c r="O605" t="inlineStr">
        <is>
          <t>Pitești</t>
        </is>
      </c>
      <c r="P605" s="12" t="n">
        <v>46115</v>
      </c>
      <c r="Q605">
        <f>IF(COUNTIF(tbl_Localitati[oras_oficial],[@oras])=0,"ORAS NEALINIAT",IF(XLOOKUP([@oras],tbl_Localitati[oras_oficial],tbl_Localitati[judet],"?")&lt;&gt;[@judet],"JUDET NECORESPUNZATOR",""))</f>
        <v/>
      </c>
      <c r="R605">
        <f>IF(XLOOKUP([@categorie],tbl_RegulriTVA[categorie],tbl_RegulriTVA[cota_legala],-1)&lt;&gt;[@cota_tva],"TVA GRESIT","")</f>
        <v/>
      </c>
      <c r="S605">
        <f>IF([@data_scadentei]&lt;[@data_factura],"SCADENTA INAINTEA FACTURII","")</f>
        <v/>
      </c>
      <c r="T605">
        <f>IF(NETWORKDAYS.INTL([@data_factura],[@data_factura],1,tbl_SarbatoriLegale[data])=0,"ZI NELUCRATOARE","")</f>
        <v/>
      </c>
      <c r="U605">
        <f>IF([@motiv_anomalie]="","OK","DE INVESTIGAT")</f>
        <v/>
      </c>
      <c r="V605">
        <f>TEXTJOIN("; ",TRUE,[@flag_oras],[@flag_tva],[@flag_scadenta],[@flag_zi])</f>
        <v/>
      </c>
    </row>
    <row r="606">
      <c r="A606" t="inlineStr">
        <is>
          <t>F-2025-00605</t>
        </is>
      </c>
      <c r="B606" s="12" t="n">
        <v>46350</v>
      </c>
      <c r="C606" t="inlineStr">
        <is>
          <t>SC AROMET TRADING SRL</t>
        </is>
      </c>
      <c r="D606" t="inlineStr">
        <is>
          <t>Alba</t>
        </is>
      </c>
      <c r="E606" t="inlineStr">
        <is>
          <t>PRD-006</t>
        </is>
      </c>
      <c r="F606" t="inlineStr">
        <is>
          <t>Telefon IP birou</t>
        </is>
      </c>
      <c r="G606" t="inlineStr">
        <is>
          <t>Echipamente birou</t>
        </is>
      </c>
      <c r="H606" t="n">
        <v>10</v>
      </c>
      <c r="I606" t="n">
        <v>750.24</v>
      </c>
      <c r="J606" t="n">
        <v>7502.4</v>
      </c>
      <c r="K606" s="13" t="n">
        <v>0.19</v>
      </c>
      <c r="L606" t="n">
        <v>1425.46</v>
      </c>
      <c r="M606" t="n">
        <v>8927.860000000001</v>
      </c>
      <c r="N606" t="inlineStr">
        <is>
          <t>RON</t>
        </is>
      </c>
      <c r="O606" t="inlineStr">
        <is>
          <t>Alba Iulia</t>
        </is>
      </c>
      <c r="P606" s="12" t="n">
        <v>46380</v>
      </c>
      <c r="Q606">
        <f>IF(COUNTIF(tbl_Localitati[oras_oficial],[@oras])=0,"ORAS NEALINIAT",IF(XLOOKUP([@oras],tbl_Localitati[oras_oficial],tbl_Localitati[judet],"?")&lt;&gt;[@judet],"JUDET NECORESPUNZATOR",""))</f>
        <v/>
      </c>
      <c r="R606">
        <f>IF(XLOOKUP([@categorie],tbl_RegulriTVA[categorie],tbl_RegulriTVA[cota_legala],-1)&lt;&gt;[@cota_tva],"TVA GRESIT","")</f>
        <v/>
      </c>
      <c r="S606">
        <f>IF([@data_scadentei]&lt;[@data_factura],"SCADENTA INAINTEA FACTURII","")</f>
        <v/>
      </c>
      <c r="T606">
        <f>IF(NETWORKDAYS.INTL([@data_factura],[@data_factura],1,tbl_SarbatoriLegale[data])=0,"ZI NELUCRATOARE","")</f>
        <v/>
      </c>
      <c r="U606">
        <f>IF([@motiv_anomalie]="","OK","DE INVESTIGAT")</f>
        <v/>
      </c>
      <c r="V606">
        <f>TEXTJOIN("; ",TRUE,[@flag_oras],[@flag_tva],[@flag_scadenta],[@flag_zi])</f>
        <v/>
      </c>
    </row>
    <row r="607">
      <c r="A607" t="inlineStr">
        <is>
          <t>F-2025-00606</t>
        </is>
      </c>
      <c r="B607" s="12" t="n">
        <v>46062</v>
      </c>
      <c r="C607" t="inlineStr">
        <is>
          <t>SC METALPLAST INVEST SA</t>
        </is>
      </c>
      <c r="D607" t="inlineStr">
        <is>
          <t>Cluj</t>
        </is>
      </c>
      <c r="E607" t="inlineStr">
        <is>
          <t>PRD-005</t>
        </is>
      </c>
      <c r="F607" t="inlineStr">
        <is>
          <t>Switch gigabit 24p</t>
        </is>
      </c>
      <c r="G607" t="inlineStr">
        <is>
          <t>Hardware IT</t>
        </is>
      </c>
      <c r="H607" t="n">
        <v>3</v>
      </c>
      <c r="I607" t="n">
        <v>250.15</v>
      </c>
      <c r="J607" t="n">
        <v>750.45</v>
      </c>
      <c r="K607" s="13" t="n">
        <v>0.19</v>
      </c>
      <c r="L607" t="n">
        <v>142.59</v>
      </c>
      <c r="M607" t="n">
        <v>893.04</v>
      </c>
      <c r="N607" t="inlineStr">
        <is>
          <t>RON</t>
        </is>
      </c>
      <c r="O607" t="inlineStr">
        <is>
          <t>Turda</t>
        </is>
      </c>
      <c r="P607" s="12" t="n">
        <v>46092</v>
      </c>
      <c r="Q607">
        <f>IF(COUNTIF(tbl_Localitati[oras_oficial],[@oras])=0,"ORAS NEALINIAT",IF(XLOOKUP([@oras],tbl_Localitati[oras_oficial],tbl_Localitati[judet],"?")&lt;&gt;[@judet],"JUDET NECORESPUNZATOR",""))</f>
        <v/>
      </c>
      <c r="R607">
        <f>IF(XLOOKUP([@categorie],tbl_RegulriTVA[categorie],tbl_RegulriTVA[cota_legala],-1)&lt;&gt;[@cota_tva],"TVA GRESIT","")</f>
        <v/>
      </c>
      <c r="S607">
        <f>IF([@data_scadentei]&lt;[@data_factura],"SCADENTA INAINTEA FACTURII","")</f>
        <v/>
      </c>
      <c r="T607">
        <f>IF(NETWORKDAYS.INTL([@data_factura],[@data_factura],1,tbl_SarbatoriLegale[data])=0,"ZI NELUCRATOARE","")</f>
        <v/>
      </c>
      <c r="U607">
        <f>IF([@motiv_anomalie]="","OK","DE INVESTIGAT")</f>
        <v/>
      </c>
      <c r="V607">
        <f>TEXTJOIN("; ",TRUE,[@flag_oras],[@flag_tva],[@flag_scadenta],[@flag_zi])</f>
        <v/>
      </c>
    </row>
    <row r="608">
      <c r="A608" t="inlineStr">
        <is>
          <t>F-2025-00607</t>
        </is>
      </c>
      <c r="B608" s="12" t="n">
        <v>46385</v>
      </c>
      <c r="C608" t="inlineStr">
        <is>
          <t>SC UNIFOOD DISTRIBUTION SA</t>
        </is>
      </c>
      <c r="D608" t="inlineStr">
        <is>
          <t>Sibiu</t>
        </is>
      </c>
      <c r="E608" t="inlineStr">
        <is>
          <t>PRD-010</t>
        </is>
      </c>
      <c r="F608" t="inlineStr">
        <is>
          <t>Tocator documente</t>
        </is>
      </c>
      <c r="G608" t="inlineStr">
        <is>
          <t>Echipamente birou</t>
        </is>
      </c>
      <c r="H608" t="n">
        <v>50</v>
      </c>
      <c r="I608" t="n">
        <v>333.53</v>
      </c>
      <c r="J608" t="n">
        <v>16676.5</v>
      </c>
      <c r="K608" s="13" t="n">
        <v>0.19</v>
      </c>
      <c r="L608" t="n">
        <v>3168.53</v>
      </c>
      <c r="M608" t="n">
        <v>19845.03</v>
      </c>
      <c r="N608" t="inlineStr">
        <is>
          <t>RON</t>
        </is>
      </c>
      <c r="O608" t="inlineStr">
        <is>
          <t>Mediaș</t>
        </is>
      </c>
      <c r="P608" s="12" t="n">
        <v>46415</v>
      </c>
      <c r="Q608">
        <f>IF(COUNTIF(tbl_Localitati[oras_oficial],[@oras])=0,"ORAS NEALINIAT",IF(XLOOKUP([@oras],tbl_Localitati[oras_oficial],tbl_Localitati[judet],"?")&lt;&gt;[@judet],"JUDET NECORESPUNZATOR",""))</f>
        <v/>
      </c>
      <c r="R608">
        <f>IF(XLOOKUP([@categorie],tbl_RegulriTVA[categorie],tbl_RegulriTVA[cota_legala],-1)&lt;&gt;[@cota_tva],"TVA GRESIT","")</f>
        <v/>
      </c>
      <c r="S608">
        <f>IF([@data_scadentei]&lt;[@data_factura],"SCADENTA INAINTEA FACTURII","")</f>
        <v/>
      </c>
      <c r="T608">
        <f>IF(NETWORKDAYS.INTL([@data_factura],[@data_factura],1,tbl_SarbatoriLegale[data])=0,"ZI NELUCRATOARE","")</f>
        <v/>
      </c>
      <c r="U608">
        <f>IF([@motiv_anomalie]="","OK","DE INVESTIGAT")</f>
        <v/>
      </c>
      <c r="V608">
        <f>TEXTJOIN("; ",TRUE,[@flag_oras],[@flag_tva],[@flag_scadenta],[@flag_zi])</f>
        <v/>
      </c>
    </row>
    <row r="609">
      <c r="A609" t="inlineStr">
        <is>
          <t>F-2025-00608</t>
        </is>
      </c>
      <c r="B609" s="12" t="n">
        <v>46160</v>
      </c>
      <c r="C609" t="inlineStr">
        <is>
          <t>SC NORDIS DISTRIBUTIE SRL</t>
        </is>
      </c>
      <c r="D609" t="inlineStr">
        <is>
          <t>Constanța</t>
        </is>
      </c>
      <c r="E609" t="inlineStr">
        <is>
          <t>PRD-007</t>
        </is>
      </c>
      <c r="F609" t="inlineStr">
        <is>
          <t>Consultanta implementare IT</t>
        </is>
      </c>
      <c r="G609" t="inlineStr">
        <is>
          <t>Servicii consultanță</t>
        </is>
      </c>
      <c r="H609" t="n">
        <v>5</v>
      </c>
      <c r="I609" t="n">
        <v>185.11</v>
      </c>
      <c r="J609" t="n">
        <v>925.55</v>
      </c>
      <c r="K609" s="13" t="n">
        <v>0.19</v>
      </c>
      <c r="L609" t="n">
        <v>175.85</v>
      </c>
      <c r="M609" t="n">
        <v>1101.4</v>
      </c>
      <c r="N609" t="inlineStr">
        <is>
          <t>RON</t>
        </is>
      </c>
      <c r="O609" t="inlineStr">
        <is>
          <t>Mangalia</t>
        </is>
      </c>
      <c r="P609" s="12" t="n">
        <v>46175</v>
      </c>
      <c r="Q609">
        <f>IF(COUNTIF(tbl_Localitati[oras_oficial],[@oras])=0,"ORAS NEALINIAT",IF(XLOOKUP([@oras],tbl_Localitati[oras_oficial],tbl_Localitati[judet],"?")&lt;&gt;[@judet],"JUDET NECORESPUNZATOR",""))</f>
        <v/>
      </c>
      <c r="R609">
        <f>IF(XLOOKUP([@categorie],tbl_RegulriTVA[categorie],tbl_RegulriTVA[cota_legala],-1)&lt;&gt;[@cota_tva],"TVA GRESIT","")</f>
        <v/>
      </c>
      <c r="S609">
        <f>IF([@data_scadentei]&lt;[@data_factura],"SCADENTA INAINTEA FACTURII","")</f>
        <v/>
      </c>
      <c r="T609">
        <f>IF(NETWORKDAYS.INTL([@data_factura],[@data_factura],1,tbl_SarbatoriLegale[data])=0,"ZI NELUCRATOARE","")</f>
        <v/>
      </c>
      <c r="U609">
        <f>IF([@motiv_anomalie]="","OK","DE INVESTIGAT")</f>
        <v/>
      </c>
      <c r="V609">
        <f>TEXTJOIN("; ",TRUE,[@flag_oras],[@flag_tva],[@flag_scadenta],[@flag_zi])</f>
        <v/>
      </c>
    </row>
    <row r="610">
      <c r="A610" t="inlineStr">
        <is>
          <t>F-2025-00609</t>
        </is>
      </c>
      <c r="B610" s="12" t="n">
        <v>46211</v>
      </c>
      <c r="C610" t="inlineStr">
        <is>
          <t>SC AROMET TRADING SRL</t>
        </is>
      </c>
      <c r="D610" t="inlineStr">
        <is>
          <t>Alba</t>
        </is>
      </c>
      <c r="E610" t="inlineStr">
        <is>
          <t>PRD-008</t>
        </is>
      </c>
      <c r="F610" t="inlineStr">
        <is>
          <t>Abonament suita cloud</t>
        </is>
      </c>
      <c r="G610" t="inlineStr">
        <is>
          <t>Licențe software</t>
        </is>
      </c>
      <c r="H610" t="n">
        <v>25</v>
      </c>
      <c r="I610" t="n">
        <v>430.92</v>
      </c>
      <c r="J610" t="n">
        <v>10773</v>
      </c>
      <c r="K610" s="13" t="n">
        <v>0.19</v>
      </c>
      <c r="L610" t="n">
        <v>2046.87</v>
      </c>
      <c r="M610" t="n">
        <v>12819.87</v>
      </c>
      <c r="N610" t="inlineStr">
        <is>
          <t>RON</t>
        </is>
      </c>
      <c r="O610" t="inlineStr">
        <is>
          <t>Alba Iulia</t>
        </is>
      </c>
      <c r="P610" s="12" t="n">
        <v>46256</v>
      </c>
      <c r="Q610">
        <f>IF(COUNTIF(tbl_Localitati[oras_oficial],[@oras])=0,"ORAS NEALINIAT",IF(XLOOKUP([@oras],tbl_Localitati[oras_oficial],tbl_Localitati[judet],"?")&lt;&gt;[@judet],"JUDET NECORESPUNZATOR",""))</f>
        <v/>
      </c>
      <c r="R610">
        <f>IF(XLOOKUP([@categorie],tbl_RegulriTVA[categorie],tbl_RegulriTVA[cota_legala],-1)&lt;&gt;[@cota_tva],"TVA GRESIT","")</f>
        <v/>
      </c>
      <c r="S610">
        <f>IF([@data_scadentei]&lt;[@data_factura],"SCADENTA INAINTEA FACTURII","")</f>
        <v/>
      </c>
      <c r="T610">
        <f>IF(NETWORKDAYS.INTL([@data_factura],[@data_factura],1,tbl_SarbatoriLegale[data])=0,"ZI NELUCRATOARE","")</f>
        <v/>
      </c>
      <c r="U610">
        <f>IF([@motiv_anomalie]="","OK","DE INVESTIGAT")</f>
        <v/>
      </c>
      <c r="V610">
        <f>TEXTJOIN("; ",TRUE,[@flag_oras],[@flag_tva],[@flag_scadenta],[@flag_zi])</f>
        <v/>
      </c>
    </row>
    <row r="611">
      <c r="A611" t="inlineStr">
        <is>
          <t>F-2025-00610</t>
        </is>
      </c>
      <c r="B611" s="12" t="n">
        <v>46226</v>
      </c>
      <c r="C611" t="inlineStr">
        <is>
          <t>SC SOLARIS ENERGY SRL</t>
        </is>
      </c>
      <c r="D611" t="inlineStr">
        <is>
          <t>Prahova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Licențe software</t>
        </is>
      </c>
      <c r="H611" t="n">
        <v>5</v>
      </c>
      <c r="I611" t="n">
        <v>764.77</v>
      </c>
      <c r="J611" t="n">
        <v>3823.85</v>
      </c>
      <c r="K611" s="13" t="n">
        <v>0.19</v>
      </c>
      <c r="L611" t="n">
        <v>726.53</v>
      </c>
      <c r="M611" t="n">
        <v>4550.38</v>
      </c>
      <c r="N611" t="inlineStr">
        <is>
          <t>RON</t>
        </is>
      </c>
      <c r="O611" t="inlineStr">
        <is>
          <t>Câmpina</t>
        </is>
      </c>
      <c r="P611" s="12" t="n">
        <v>46241</v>
      </c>
      <c r="Q611">
        <f>IF(COUNTIF(tbl_Localitati[oras_oficial],[@oras])=0,"ORAS NEALINIAT",IF(XLOOKUP([@oras],tbl_Localitati[oras_oficial],tbl_Localitati[judet],"?")&lt;&gt;[@judet],"JUDET NECORESPUNZATOR",""))</f>
        <v/>
      </c>
      <c r="R611">
        <f>IF(XLOOKUP([@categorie],tbl_RegulriTVA[categorie],tbl_RegulriTVA[cota_legala],-1)&lt;&gt;[@cota_tva],"TVA GRESIT","")</f>
        <v/>
      </c>
      <c r="S611">
        <f>IF([@data_scadentei]&lt;[@data_factura],"SCADENTA INAINTEA FACTURII","")</f>
        <v/>
      </c>
      <c r="T611">
        <f>IF(NETWORKDAYS.INTL([@data_factura],[@data_factura],1,tbl_SarbatoriLegale[data])=0,"ZI NELUCRATOARE","")</f>
        <v/>
      </c>
      <c r="U611">
        <f>IF([@motiv_anomalie]="","OK","DE INVESTIGAT")</f>
        <v/>
      </c>
      <c r="V611">
        <f>TEXTJOIN("; ",TRUE,[@flag_oras],[@flag_tva],[@flag_scadenta],[@flag_zi])</f>
        <v/>
      </c>
    </row>
    <row r="612">
      <c r="A612" t="inlineStr">
        <is>
          <t>F-2025-00611</t>
        </is>
      </c>
      <c r="B612" s="12" t="n">
        <v>46077</v>
      </c>
      <c r="C612" t="inlineStr">
        <is>
          <t>SC METALPLAST INVEST SA</t>
        </is>
      </c>
      <c r="D612" t="inlineStr">
        <is>
          <t>Cluj</t>
        </is>
      </c>
      <c r="E612" t="inlineStr">
        <is>
          <t>PRD-006</t>
        </is>
      </c>
      <c r="F612" t="inlineStr">
        <is>
          <t>Videoproiector sala</t>
        </is>
      </c>
      <c r="G612" t="inlineStr">
        <is>
          <t>Echipamente birou</t>
        </is>
      </c>
      <c r="H612" t="n">
        <v>10</v>
      </c>
      <c r="I612" t="n">
        <v>753.27</v>
      </c>
      <c r="J612" t="n">
        <v>7532.7</v>
      </c>
      <c r="K612" s="13" t="n">
        <v>0.19</v>
      </c>
      <c r="L612" t="n">
        <v>1431.21</v>
      </c>
      <c r="M612" t="n">
        <v>8963.91</v>
      </c>
      <c r="N612" t="inlineStr">
        <is>
          <t>RON</t>
        </is>
      </c>
      <c r="O612" t="inlineStr">
        <is>
          <t>Turda</t>
        </is>
      </c>
      <c r="P612" s="12" t="n">
        <v>46107</v>
      </c>
      <c r="Q612">
        <f>IF(COUNTIF(tbl_Localitati[oras_oficial],[@oras])=0,"ORAS NEALINIAT",IF(XLOOKUP([@oras],tbl_Localitati[oras_oficial],tbl_Localitati[judet],"?")&lt;&gt;[@judet],"JUDET NECORESPUNZATOR",""))</f>
        <v/>
      </c>
      <c r="R612">
        <f>IF(XLOOKUP([@categorie],tbl_RegulriTVA[categorie],tbl_RegulriTVA[cota_legala],-1)&lt;&gt;[@cota_tva],"TVA GRESIT","")</f>
        <v/>
      </c>
      <c r="S612">
        <f>IF([@data_scadentei]&lt;[@data_factura],"SCADENTA INAINTEA FACTURII","")</f>
        <v/>
      </c>
      <c r="T612">
        <f>IF(NETWORKDAYS.INTL([@data_factura],[@data_factura],1,tbl_SarbatoriLegale[data])=0,"ZI NELUCRATOARE","")</f>
        <v/>
      </c>
      <c r="U612">
        <f>IF([@motiv_anomalie]="","OK","DE INVESTIGAT")</f>
        <v/>
      </c>
      <c r="V612">
        <f>TEXTJOIN("; ",TRUE,[@flag_oras],[@flag_tva],[@flag_scadenta],[@flag_zi])</f>
        <v/>
      </c>
    </row>
    <row r="613">
      <c r="A613" t="inlineStr">
        <is>
          <t>F-2025-00612</t>
        </is>
      </c>
      <c r="B613" s="12" t="n">
        <v>46178</v>
      </c>
      <c r="C613" t="inlineStr">
        <is>
          <t>SC OMEGA SOFT SRL</t>
        </is>
      </c>
      <c r="D613" t="inlineStr">
        <is>
          <t>Dolj</t>
        </is>
      </c>
      <c r="E613" t="inlineStr">
        <is>
          <t>PRD-006</t>
        </is>
      </c>
      <c r="F613" t="inlineStr">
        <is>
          <t>Manual proceduri interne</t>
        </is>
      </c>
      <c r="G613" t="inlineStr">
        <is>
          <t>Cărți și manuale</t>
        </is>
      </c>
      <c r="H613" t="n">
        <v>50</v>
      </c>
      <c r="I613" t="n">
        <v>735.14</v>
      </c>
      <c r="J613" t="n">
        <v>36757</v>
      </c>
      <c r="K613" s="13" t="n">
        <v>0.05</v>
      </c>
      <c r="L613" t="n">
        <v>1837.85</v>
      </c>
      <c r="M613" t="n">
        <v>38594.85</v>
      </c>
      <c r="N613" t="inlineStr">
        <is>
          <t>RON</t>
        </is>
      </c>
      <c r="O613" t="inlineStr">
        <is>
          <t>Craiova</t>
        </is>
      </c>
      <c r="P613" s="12" t="n">
        <v>46208</v>
      </c>
      <c r="Q613">
        <f>IF(COUNTIF(tbl_Localitati[oras_oficial],[@oras])=0,"ORAS NEALINIAT",IF(XLOOKUP([@oras],tbl_Localitati[oras_oficial],tbl_Localitati[judet],"?")&lt;&gt;[@judet],"JUDET NECORESPUNZATOR",""))</f>
        <v/>
      </c>
      <c r="R613">
        <f>IF(XLOOKUP([@categorie],tbl_RegulriTVA[categorie],tbl_RegulriTVA[cota_legala],-1)&lt;&gt;[@cota_tva],"TVA GRESIT","")</f>
        <v/>
      </c>
      <c r="S613">
        <f>IF([@data_scadentei]&lt;[@data_factura],"SCADENTA INAINTEA FACTURII","")</f>
        <v/>
      </c>
      <c r="T613">
        <f>IF(NETWORKDAYS.INTL([@data_factura],[@data_factura],1,tbl_SarbatoriLegale[data])=0,"ZI NELUCRATOARE","")</f>
        <v/>
      </c>
      <c r="U613">
        <f>IF([@motiv_anomalie]="","OK","DE INVESTIGAT")</f>
        <v/>
      </c>
      <c r="V613">
        <f>TEXTJOIN("; ",TRUE,[@flag_oras],[@flag_tva],[@flag_scadenta],[@flag_zi])</f>
        <v/>
      </c>
    </row>
    <row r="614">
      <c r="A614" t="inlineStr">
        <is>
          <t>F-2025-00613</t>
        </is>
      </c>
      <c r="B614" s="12" t="n">
        <v>46048</v>
      </c>
      <c r="C614" t="inlineStr">
        <is>
          <t>SC AROMET TRADING SRL</t>
        </is>
      </c>
      <c r="D614" t="inlineStr">
        <is>
          <t>Alba</t>
        </is>
      </c>
      <c r="E614" t="inlineStr">
        <is>
          <t>PRD-006</t>
        </is>
      </c>
      <c r="F614" t="inlineStr">
        <is>
          <t>Tocator documente</t>
        </is>
      </c>
      <c r="G614" t="inlineStr">
        <is>
          <t>Echipamente birou</t>
        </is>
      </c>
      <c r="H614" t="n">
        <v>1</v>
      </c>
      <c r="I614" t="n">
        <v>775.14</v>
      </c>
      <c r="J614" t="n">
        <v>775.14</v>
      </c>
      <c r="K614" s="13" t="n">
        <v>0.19</v>
      </c>
      <c r="L614" t="n">
        <v>147.28</v>
      </c>
      <c r="M614" t="n">
        <v>922.42</v>
      </c>
      <c r="N614" t="inlineStr">
        <is>
          <t>RON</t>
        </is>
      </c>
      <c r="O614" t="inlineStr">
        <is>
          <t>Alba Iulia</t>
        </is>
      </c>
      <c r="P614" s="12" t="n">
        <v>46093</v>
      </c>
      <c r="Q614">
        <f>IF(COUNTIF(tbl_Localitati[oras_oficial],[@oras])=0,"ORAS NEALINIAT",IF(XLOOKUP([@oras],tbl_Localitati[oras_oficial],tbl_Localitati[judet],"?")&lt;&gt;[@judet],"JUDET NECORESPUNZATOR",""))</f>
        <v/>
      </c>
      <c r="R614">
        <f>IF(XLOOKUP([@categorie],tbl_RegulriTVA[categorie],tbl_RegulriTVA[cota_legala],-1)&lt;&gt;[@cota_tva],"TVA GRESIT","")</f>
        <v/>
      </c>
      <c r="S614">
        <f>IF([@data_scadentei]&lt;[@data_factura],"SCADENTA INAINTEA FACTURII","")</f>
        <v/>
      </c>
      <c r="T614">
        <f>IF(NETWORKDAYS.INTL([@data_factura],[@data_factura],1,tbl_SarbatoriLegale[data])=0,"ZI NELUCRATOARE","")</f>
        <v/>
      </c>
      <c r="U614">
        <f>IF([@motiv_anomalie]="","OK","DE INVESTIGAT")</f>
        <v/>
      </c>
      <c r="V614">
        <f>TEXTJOIN("; ",TRUE,[@flag_oras],[@flag_tva],[@flag_scadenta],[@flag_zi])</f>
        <v/>
      </c>
    </row>
    <row r="615">
      <c r="A615" t="inlineStr">
        <is>
          <t>F-2025-00614</t>
        </is>
      </c>
      <c r="B615" s="12" t="n">
        <v>46232</v>
      </c>
      <c r="C615" t="inlineStr">
        <is>
          <t>SC NORDIS DISTRIBUTIE SRL</t>
        </is>
      </c>
      <c r="D615" t="inlineStr">
        <is>
          <t>Constanța</t>
        </is>
      </c>
      <c r="E615" t="inlineStr">
        <is>
          <t>PRD-002</t>
        </is>
      </c>
      <c r="F615" t="inlineStr">
        <is>
          <t>Licenta Office 365 anuala</t>
        </is>
      </c>
      <c r="G615" t="inlineStr">
        <is>
          <t>Licențe software</t>
        </is>
      </c>
      <c r="H615" t="n">
        <v>3</v>
      </c>
      <c r="I615" t="n">
        <v>1108.91</v>
      </c>
      <c r="J615" t="n">
        <v>3326.73</v>
      </c>
      <c r="K615" s="13" t="n">
        <v>0.19</v>
      </c>
      <c r="L615" t="n">
        <v>632.08</v>
      </c>
      <c r="M615" t="n">
        <v>3958.81</v>
      </c>
      <c r="N615" t="inlineStr">
        <is>
          <t>RON</t>
        </is>
      </c>
      <c r="O615" t="inlineStr">
        <is>
          <t>Mangalia</t>
        </is>
      </c>
      <c r="P615" s="12" t="n">
        <v>46262</v>
      </c>
      <c r="Q615">
        <f>IF(COUNTIF(tbl_Localitati[oras_oficial],[@oras])=0,"ORAS NEALINIAT",IF(XLOOKUP([@oras],tbl_Localitati[oras_oficial],tbl_Localitati[judet],"?")&lt;&gt;[@judet],"JUDET NECORESPUNZATOR",""))</f>
        <v/>
      </c>
      <c r="R615">
        <f>IF(XLOOKUP([@categorie],tbl_RegulriTVA[categorie],tbl_RegulriTVA[cota_legala],-1)&lt;&gt;[@cota_tva],"TVA GRESIT","")</f>
        <v/>
      </c>
      <c r="S615">
        <f>IF([@data_scadentei]&lt;[@data_factura],"SCADENTA INAINTEA FACTURII","")</f>
        <v/>
      </c>
      <c r="T615">
        <f>IF(NETWORKDAYS.INTL([@data_factura],[@data_factura],1,tbl_SarbatoriLegale[data])=0,"ZI NELUCRATOARE","")</f>
        <v/>
      </c>
      <c r="U615">
        <f>IF([@motiv_anomalie]="","OK","DE INVESTIGAT")</f>
        <v/>
      </c>
      <c r="V615">
        <f>TEXTJOIN("; ",TRUE,[@flag_oras],[@flag_tva],[@flag_scadenta],[@flag_zi])</f>
        <v/>
      </c>
    </row>
    <row r="616">
      <c r="A616" t="inlineStr">
        <is>
          <t>F-2025-00615</t>
        </is>
      </c>
      <c r="B616" s="12" t="n">
        <v>46216</v>
      </c>
      <c r="C616" t="inlineStr">
        <is>
          <t>SC RAPID LOGISTIC SA</t>
        </is>
      </c>
      <c r="D616" t="inlineStr">
        <is>
          <t>Prahova</t>
        </is>
      </c>
      <c r="E616" t="inlineStr">
        <is>
          <t>PRD-001</t>
        </is>
      </c>
      <c r="F616" t="inlineStr">
        <is>
          <t>Videoproiector sala</t>
        </is>
      </c>
      <c r="G616" t="inlineStr">
        <is>
          <t>Echipamente birou</t>
        </is>
      </c>
      <c r="H616" t="n">
        <v>3</v>
      </c>
      <c r="I616" t="n">
        <v>2333.22</v>
      </c>
      <c r="J616" t="n">
        <v>6999.66</v>
      </c>
      <c r="K616" s="13" t="n">
        <v>0.19</v>
      </c>
      <c r="L616" t="n">
        <v>1329.94</v>
      </c>
      <c r="M616" t="n">
        <v>8329.6</v>
      </c>
      <c r="N616" t="inlineStr">
        <is>
          <t>RON</t>
        </is>
      </c>
      <c r="O616" t="inlineStr">
        <is>
          <t>Ploiești</t>
        </is>
      </c>
      <c r="P616" s="12" t="n">
        <v>46246</v>
      </c>
      <c r="Q616">
        <f>IF(COUNTIF(tbl_Localitati[oras_oficial],[@oras])=0,"ORAS NEALINIAT",IF(XLOOKUP([@oras],tbl_Localitati[oras_oficial],tbl_Localitati[judet],"?")&lt;&gt;[@judet],"JUDET NECORESPUNZATOR",""))</f>
        <v/>
      </c>
      <c r="R616">
        <f>IF(XLOOKUP([@categorie],tbl_RegulriTVA[categorie],tbl_RegulriTVA[cota_legala],-1)&lt;&gt;[@cota_tva],"TVA GRESIT","")</f>
        <v/>
      </c>
      <c r="S616">
        <f>IF([@data_scadentei]&lt;[@data_factura],"SCADENTA INAINTEA FACTURII","")</f>
        <v/>
      </c>
      <c r="T616">
        <f>IF(NETWORKDAYS.INTL([@data_factura],[@data_factura],1,tbl_SarbatoriLegale[data])=0,"ZI NELUCRATOARE","")</f>
        <v/>
      </c>
      <c r="U616">
        <f>IF([@motiv_anomalie]="","OK","DE INVESTIGAT")</f>
        <v/>
      </c>
      <c r="V616">
        <f>TEXTJOIN("; ",TRUE,[@flag_oras],[@flag_tva],[@flag_scadenta],[@flag_zi])</f>
        <v/>
      </c>
    </row>
    <row r="617">
      <c r="A617" t="inlineStr">
        <is>
          <t>F-2025-00616</t>
        </is>
      </c>
      <c r="B617" s="12" t="n">
        <v>46279</v>
      </c>
      <c r="C617" t="inlineStr">
        <is>
          <t>SC RAPID LOGISTIC SA</t>
        </is>
      </c>
      <c r="D617" t="inlineStr">
        <is>
          <t>Prahova</t>
        </is>
      </c>
      <c r="E617" t="inlineStr">
        <is>
          <t>PRD-006</t>
        </is>
      </c>
      <c r="F617" t="inlineStr">
        <is>
          <t>Cafea boabe 1kg</t>
        </is>
      </c>
      <c r="G617" t="inlineStr">
        <is>
          <t>Alimente</t>
        </is>
      </c>
      <c r="H617" t="n">
        <v>10</v>
      </c>
      <c r="I617" t="n">
        <v>770.71</v>
      </c>
      <c r="J617" t="n">
        <v>7707.1</v>
      </c>
      <c r="K617" s="13" t="n">
        <v>0.09</v>
      </c>
      <c r="L617" t="n">
        <v>693.64</v>
      </c>
      <c r="M617" t="n">
        <v>8400.74</v>
      </c>
      <c r="N617" t="inlineStr">
        <is>
          <t>RON</t>
        </is>
      </c>
      <c r="O617" t="inlineStr">
        <is>
          <t>Ploiești</t>
        </is>
      </c>
      <c r="P617" s="12" t="n">
        <v>46324</v>
      </c>
      <c r="Q617">
        <f>IF(COUNTIF(tbl_Localitati[oras_oficial],[@oras])=0,"ORAS NEALINIAT",IF(XLOOKUP([@oras],tbl_Localitati[oras_oficial],tbl_Localitati[judet],"?")&lt;&gt;[@judet],"JUDET NECORESPUNZATOR",""))</f>
        <v/>
      </c>
      <c r="R617">
        <f>IF(XLOOKUP([@categorie],tbl_RegulriTVA[categorie],tbl_RegulriTVA[cota_legala],-1)&lt;&gt;[@cota_tva],"TVA GRESIT","")</f>
        <v/>
      </c>
      <c r="S617">
        <f>IF([@data_scadentei]&lt;[@data_factura],"SCADENTA INAINTEA FACTURII","")</f>
        <v/>
      </c>
      <c r="T617">
        <f>IF(NETWORKDAYS.INTL([@data_factura],[@data_factura],1,tbl_SarbatoriLegale[data])=0,"ZI NELUCRATOARE","")</f>
        <v/>
      </c>
      <c r="U617">
        <f>IF([@motiv_anomalie]="","OK","DE INVESTIGAT")</f>
        <v/>
      </c>
      <c r="V617">
        <f>TEXTJOIN("; ",TRUE,[@flag_oras],[@flag_tva],[@flag_scadenta],[@flag_zi])</f>
        <v/>
      </c>
    </row>
    <row r="618">
      <c r="A618" t="inlineStr">
        <is>
          <t>F-2025-00617</t>
        </is>
      </c>
      <c r="B618" s="12" t="n">
        <v>46387</v>
      </c>
      <c r="C618" t="inlineStr">
        <is>
          <t>SC SOLARIS ENERGY SRL</t>
        </is>
      </c>
      <c r="D618" t="inlineStr">
        <is>
          <t>Prahova</t>
        </is>
      </c>
      <c r="E618" t="inlineStr">
        <is>
          <t>PRD-011</t>
        </is>
      </c>
      <c r="F618" t="inlineStr">
        <is>
          <t>Server rack 1U</t>
        </is>
      </c>
      <c r="G618" t="inlineStr">
        <is>
          <t>Hardware IT</t>
        </is>
      </c>
      <c r="H618" t="n">
        <v>5</v>
      </c>
      <c r="I618" t="n">
        <v>44.16</v>
      </c>
      <c r="J618" t="n">
        <v>220.8</v>
      </c>
      <c r="K618" s="13" t="n">
        <v>0.19</v>
      </c>
      <c r="L618" t="n">
        <v>41.95</v>
      </c>
      <c r="M618" t="n">
        <v>262.75</v>
      </c>
      <c r="N618" t="inlineStr">
        <is>
          <t>RON</t>
        </is>
      </c>
      <c r="O618" t="inlineStr">
        <is>
          <t>Câmpina</t>
        </is>
      </c>
      <c r="P618" s="12" t="n">
        <v>46402</v>
      </c>
      <c r="Q618">
        <f>IF(COUNTIF(tbl_Localitati[oras_oficial],[@oras])=0,"ORAS NEALINIAT",IF(XLOOKUP([@oras],tbl_Localitati[oras_oficial],tbl_Localitati[judet],"?")&lt;&gt;[@judet],"JUDET NECORESPUNZATOR",""))</f>
        <v/>
      </c>
      <c r="R618">
        <f>IF(XLOOKUP([@categorie],tbl_RegulriTVA[categorie],tbl_RegulriTVA[cota_legala],-1)&lt;&gt;[@cota_tva],"TVA GRESIT","")</f>
        <v/>
      </c>
      <c r="S618">
        <f>IF([@data_scadentei]&lt;[@data_factura],"SCADENTA INAINTEA FACTURII","")</f>
        <v/>
      </c>
      <c r="T618">
        <f>IF(NETWORKDAYS.INTL([@data_factura],[@data_factura],1,tbl_SarbatoriLegale[data])=0,"ZI NELUCRATOARE","")</f>
        <v/>
      </c>
      <c r="U618">
        <f>IF([@motiv_anomalie]="","OK","DE INVESTIGAT")</f>
        <v/>
      </c>
      <c r="V618">
        <f>TEXTJOIN("; ",TRUE,[@flag_oras],[@flag_tva],[@flag_scadenta],[@flag_zi])</f>
        <v/>
      </c>
    </row>
    <row r="619">
      <c r="A619" t="inlineStr">
        <is>
          <t>F-2025-00618</t>
        </is>
      </c>
      <c r="B619" s="12" t="n">
        <v>46318</v>
      </c>
      <c r="C619" t="inlineStr">
        <is>
          <t>SC SOLARIS ENERGY SRL</t>
        </is>
      </c>
      <c r="D619" t="inlineStr">
        <is>
          <t>Prahova</t>
        </is>
      </c>
      <c r="E619" t="inlineStr">
        <is>
          <t>PRD-006</t>
        </is>
      </c>
      <c r="F619" t="inlineStr">
        <is>
          <t>Licenta ERP contabilitate</t>
        </is>
      </c>
      <c r="G619" t="inlineStr">
        <is>
          <t>Licențe software</t>
        </is>
      </c>
      <c r="H619" t="n">
        <v>1</v>
      </c>
      <c r="I619" t="n">
        <v>760.92</v>
      </c>
      <c r="J619" t="n">
        <v>760.92</v>
      </c>
      <c r="K619" s="13" t="n">
        <v>0.19</v>
      </c>
      <c r="L619" t="n">
        <v>144.57</v>
      </c>
      <c r="M619" t="n">
        <v>905.49</v>
      </c>
      <c r="N619" t="inlineStr">
        <is>
          <t>RON</t>
        </is>
      </c>
      <c r="O619" t="inlineStr">
        <is>
          <t>Câmpina</t>
        </is>
      </c>
      <c r="P619" s="12" t="n">
        <v>46348</v>
      </c>
      <c r="Q619">
        <f>IF(COUNTIF(tbl_Localitati[oras_oficial],[@oras])=0,"ORAS NEALINIAT",IF(XLOOKUP([@oras],tbl_Localitati[oras_oficial],tbl_Localitati[judet],"?")&lt;&gt;[@judet],"JUDET NECORESPUNZATOR",""))</f>
        <v/>
      </c>
      <c r="R619">
        <f>IF(XLOOKUP([@categorie],tbl_RegulriTVA[categorie],tbl_RegulriTVA[cota_legala],-1)&lt;&gt;[@cota_tva],"TVA GRESIT","")</f>
        <v/>
      </c>
      <c r="S619">
        <f>IF([@data_scadentei]&lt;[@data_factura],"SCADENTA INAINTEA FACTURII","")</f>
        <v/>
      </c>
      <c r="T619">
        <f>IF(NETWORKDAYS.INTL([@data_factura],[@data_factura],1,tbl_SarbatoriLegale[data])=0,"ZI NELUCRATOARE","")</f>
        <v/>
      </c>
      <c r="U619">
        <f>IF([@motiv_anomalie]="","OK","DE INVESTIGAT")</f>
        <v/>
      </c>
      <c r="V619">
        <f>TEXTJOIN("; ",TRUE,[@flag_oras],[@flag_tva],[@flag_scadenta],[@flag_zi])</f>
        <v/>
      </c>
    </row>
    <row r="620">
      <c r="A620" t="inlineStr">
        <is>
          <t>F-2025-00619</t>
        </is>
      </c>
      <c r="B620" s="12" t="n">
        <v>46079</v>
      </c>
      <c r="C620" t="inlineStr">
        <is>
          <t>SC METALPLAST INVEST SA</t>
        </is>
      </c>
      <c r="D620" t="inlineStr">
        <is>
          <t>Cluj</t>
        </is>
      </c>
      <c r="E620" t="inlineStr">
        <is>
          <t>PRD-008</t>
        </is>
      </c>
      <c r="F620" t="inlineStr">
        <is>
          <t>Set carti formare</t>
        </is>
      </c>
      <c r="G620" t="inlineStr">
        <is>
          <t>Cărți și manuale</t>
        </is>
      </c>
      <c r="H620" t="n">
        <v>25</v>
      </c>
      <c r="I620" t="n">
        <v>463.79</v>
      </c>
      <c r="J620" t="n">
        <v>11594.75</v>
      </c>
      <c r="K620" s="13" t="n">
        <v>0.05</v>
      </c>
      <c r="L620" t="n">
        <v>579.74</v>
      </c>
      <c r="M620" t="n">
        <v>12174.49</v>
      </c>
      <c r="N620" t="inlineStr">
        <is>
          <t>RON</t>
        </is>
      </c>
      <c r="O620" t="inlineStr">
        <is>
          <t>Turda</t>
        </is>
      </c>
      <c r="P620" s="12" t="n">
        <v>46109</v>
      </c>
      <c r="Q620">
        <f>IF(COUNTIF(tbl_Localitati[oras_oficial],[@oras])=0,"ORAS NEALINIAT",IF(XLOOKUP([@oras],tbl_Localitati[oras_oficial],tbl_Localitati[judet],"?")&lt;&gt;[@judet],"JUDET NECORESPUNZATOR",""))</f>
        <v/>
      </c>
      <c r="R620">
        <f>IF(XLOOKUP([@categorie],tbl_RegulriTVA[categorie],tbl_RegulriTVA[cota_legala],-1)&lt;&gt;[@cota_tva],"TVA GRESIT","")</f>
        <v/>
      </c>
      <c r="S620">
        <f>IF([@data_scadentei]&lt;[@data_factura],"SCADENTA INAINTEA FACTURII","")</f>
        <v/>
      </c>
      <c r="T620">
        <f>IF(NETWORKDAYS.INTL([@data_factura],[@data_factura],1,tbl_SarbatoriLegale[data])=0,"ZI NELUCRATOARE","")</f>
        <v/>
      </c>
      <c r="U620">
        <f>IF([@motiv_anomalie]="","OK","DE INVESTIGAT")</f>
        <v/>
      </c>
      <c r="V620">
        <f>TEXTJOIN("; ",TRUE,[@flag_oras],[@flag_tva],[@flag_scadenta],[@flag_zi])</f>
        <v/>
      </c>
    </row>
    <row r="621">
      <c r="A621" t="inlineStr">
        <is>
          <t>F-2025-00620</t>
        </is>
      </c>
      <c r="B621" s="12" t="n">
        <v>46043</v>
      </c>
      <c r="C621" t="inlineStr">
        <is>
          <t>SC OMEGA SOFT SRL</t>
        </is>
      </c>
      <c r="D621" t="inlineStr">
        <is>
          <t>Dolj</t>
        </is>
      </c>
      <c r="E621" t="inlineStr">
        <is>
          <t>PRD-013</t>
        </is>
      </c>
      <c r="F621" t="inlineStr">
        <is>
          <t>Multifunctionala laser</t>
        </is>
      </c>
      <c r="G621" t="inlineStr">
        <is>
          <t>Echipamente birou</t>
        </is>
      </c>
      <c r="H621" t="n">
        <v>1</v>
      </c>
      <c r="I621" t="n">
        <v>1164.44</v>
      </c>
      <c r="J621" t="n">
        <v>1164.44</v>
      </c>
      <c r="K621" s="13" t="n">
        <v>0.05</v>
      </c>
      <c r="L621" t="n">
        <v>58.22</v>
      </c>
      <c r="M621" t="n">
        <v>1222.66</v>
      </c>
      <c r="N621" t="inlineStr">
        <is>
          <t>RON</t>
        </is>
      </c>
      <c r="O621" t="inlineStr">
        <is>
          <t>Craiova</t>
        </is>
      </c>
      <c r="P621" s="12" t="n">
        <v>46058</v>
      </c>
      <c r="Q621">
        <f>IF(COUNTIF(tbl_Localitati[oras_oficial],[@oras])=0,"ORAS NEALINIAT",IF(XLOOKUP([@oras],tbl_Localitati[oras_oficial],tbl_Localitati[judet],"?")&lt;&gt;[@judet],"JUDET NECORESPUNZATOR",""))</f>
        <v/>
      </c>
      <c r="R621">
        <f>IF(XLOOKUP([@categorie],tbl_RegulriTVA[categorie],tbl_RegulriTVA[cota_legala],-1)&lt;&gt;[@cota_tva],"TVA GRESIT","")</f>
        <v/>
      </c>
      <c r="S621">
        <f>IF([@data_scadentei]&lt;[@data_factura],"SCADENTA INAINTEA FACTURII","")</f>
        <v/>
      </c>
      <c r="T621">
        <f>IF(NETWORKDAYS.INTL([@data_factura],[@data_factura],1,tbl_SarbatoriLegale[data])=0,"ZI NELUCRATOARE","")</f>
        <v/>
      </c>
      <c r="U621">
        <f>IF([@motiv_anomalie]="","OK","DE INVESTIGAT")</f>
        <v/>
      </c>
      <c r="V621">
        <f>TEXTJOIN("; ",TRUE,[@flag_oras],[@flag_tva],[@flag_scadenta],[@flag_zi])</f>
        <v/>
      </c>
    </row>
    <row r="622">
      <c r="A622" t="inlineStr">
        <is>
          <t>F-2025-00621</t>
        </is>
      </c>
      <c r="B622" s="12" t="n">
        <v>46289</v>
      </c>
      <c r="C622" t="inlineStr">
        <is>
          <t>SC ELECTROBUILD SRL</t>
        </is>
      </c>
      <c r="D622" t="inlineStr">
        <is>
          <t>Bacău</t>
        </is>
      </c>
      <c r="E622" t="inlineStr">
        <is>
          <t>PRD-003</t>
        </is>
      </c>
      <c r="F622" t="inlineStr">
        <is>
          <t>Server rack 1U</t>
        </is>
      </c>
      <c r="G622" t="inlineStr">
        <is>
          <t>Hardware IT</t>
        </is>
      </c>
      <c r="H622" t="n">
        <v>2</v>
      </c>
      <c r="I622" t="n">
        <v>4071.7</v>
      </c>
      <c r="J622" t="n">
        <v>8143.4</v>
      </c>
      <c r="K622" s="13" t="n">
        <v>0.19</v>
      </c>
      <c r="L622" t="n">
        <v>1547.25</v>
      </c>
      <c r="M622" t="n">
        <v>9690.65</v>
      </c>
      <c r="N622" t="inlineStr">
        <is>
          <t>RON</t>
        </is>
      </c>
      <c r="O622" t="inlineStr">
        <is>
          <t>Bacău</t>
        </is>
      </c>
      <c r="P622" s="12" t="n">
        <v>46319</v>
      </c>
      <c r="Q622">
        <f>IF(COUNTIF(tbl_Localitati[oras_oficial],[@oras])=0,"ORAS NEALINIAT",IF(XLOOKUP([@oras],tbl_Localitati[oras_oficial],tbl_Localitati[judet],"?")&lt;&gt;[@judet],"JUDET NECORESPUNZATOR",""))</f>
        <v/>
      </c>
      <c r="R622">
        <f>IF(XLOOKUP([@categorie],tbl_RegulriTVA[categorie],tbl_RegulriTVA[cota_legala],-1)&lt;&gt;[@cota_tva],"TVA GRESIT","")</f>
        <v/>
      </c>
      <c r="S622">
        <f>IF([@data_scadentei]&lt;[@data_factura],"SCADENTA INAINTEA FACTURII","")</f>
        <v/>
      </c>
      <c r="T622">
        <f>IF(NETWORKDAYS.INTL([@data_factura],[@data_factura],1,tbl_SarbatoriLegale[data])=0,"ZI NELUCRATOARE","")</f>
        <v/>
      </c>
      <c r="U622">
        <f>IF([@motiv_anomalie]="","OK","DE INVESTIGAT")</f>
        <v/>
      </c>
      <c r="V622">
        <f>TEXTJOIN("; ",TRUE,[@flag_oras],[@flag_tva],[@flag_scadenta],[@flag_zi])</f>
        <v/>
      </c>
    </row>
    <row r="623">
      <c r="A623" t="inlineStr">
        <is>
          <t>F-2025-00622</t>
        </is>
      </c>
      <c r="B623" s="12" t="n">
        <v>46197</v>
      </c>
      <c r="C623" t="inlineStr">
        <is>
          <t>SC DACTECH SOLUTIONS SRL</t>
        </is>
      </c>
      <c r="D623" t="inlineStr">
        <is>
          <t>Argeș</t>
        </is>
      </c>
      <c r="E623" t="inlineStr">
        <is>
          <t>PRD-007</t>
        </is>
      </c>
      <c r="F623" t="inlineStr">
        <is>
          <t>Audit infrastructura</t>
        </is>
      </c>
      <c r="G623" t="inlineStr">
        <is>
          <t>Servicii consultanță</t>
        </is>
      </c>
      <c r="H623" t="n">
        <v>1</v>
      </c>
      <c r="I623" t="n">
        <v>184.43</v>
      </c>
      <c r="J623" t="n">
        <v>184.43</v>
      </c>
      <c r="K623" s="13" t="n">
        <v>0.19</v>
      </c>
      <c r="L623" t="n">
        <v>35.04</v>
      </c>
      <c r="M623" t="n">
        <v>219.47</v>
      </c>
      <c r="N623" t="inlineStr">
        <is>
          <t>RON</t>
        </is>
      </c>
      <c r="O623" t="inlineStr">
        <is>
          <t>Pitești</t>
        </is>
      </c>
      <c r="P623" s="12" t="n">
        <v>46227</v>
      </c>
      <c r="Q623">
        <f>IF(COUNTIF(tbl_Localitati[oras_oficial],[@oras])=0,"ORAS NEALINIAT",IF(XLOOKUP([@oras],tbl_Localitati[oras_oficial],tbl_Localitati[judet],"?")&lt;&gt;[@judet],"JUDET NECORESPUNZATOR",""))</f>
        <v/>
      </c>
      <c r="R623">
        <f>IF(XLOOKUP([@categorie],tbl_RegulriTVA[categorie],tbl_RegulriTVA[cota_legala],-1)&lt;&gt;[@cota_tva],"TVA GRESIT","")</f>
        <v/>
      </c>
      <c r="S623">
        <f>IF([@data_scadentei]&lt;[@data_factura],"SCADENTA INAINTEA FACTURII","")</f>
        <v/>
      </c>
      <c r="T623">
        <f>IF(NETWORKDAYS.INTL([@data_factura],[@data_factura],1,tbl_SarbatoriLegale[data])=0,"ZI NELUCRATOARE","")</f>
        <v/>
      </c>
      <c r="U623">
        <f>IF([@motiv_anomalie]="","OK","DE INVESTIGAT")</f>
        <v/>
      </c>
      <c r="V623">
        <f>TEXTJOIN("; ",TRUE,[@flag_oras],[@flag_tva],[@flag_scadenta],[@flag_zi])</f>
        <v/>
      </c>
    </row>
    <row r="624">
      <c r="A624" t="inlineStr">
        <is>
          <t>F-2025-00623</t>
        </is>
      </c>
      <c r="B624" s="12" t="n">
        <v>46371</v>
      </c>
      <c r="C624" t="inlineStr">
        <is>
          <t>SC INTEGROMED SA</t>
        </is>
      </c>
      <c r="D624" t="inlineStr">
        <is>
          <t>Cluj</t>
        </is>
      </c>
      <c r="E624" t="inlineStr">
        <is>
          <t>PRD-008</t>
        </is>
      </c>
      <c r="F624" t="inlineStr">
        <is>
          <t>Licenta ERP contabilitate</t>
        </is>
      </c>
      <c r="G624" t="inlineStr">
        <is>
          <t>Licențe software</t>
        </is>
      </c>
      <c r="H624" t="n">
        <v>1</v>
      </c>
      <c r="I624" t="n">
        <v>471.44</v>
      </c>
      <c r="J624" t="n">
        <v>471.44</v>
      </c>
      <c r="K624" s="13" t="n">
        <v>0.19</v>
      </c>
      <c r="L624" t="n">
        <v>89.56999999999999</v>
      </c>
      <c r="M624" t="n">
        <v>561.01</v>
      </c>
      <c r="N624" t="inlineStr">
        <is>
          <t>RON</t>
        </is>
      </c>
      <c r="O624" t="inlineStr">
        <is>
          <t>Cluj-Napoca</t>
        </is>
      </c>
      <c r="P624" s="12" t="n">
        <v>46416</v>
      </c>
      <c r="Q624">
        <f>IF(COUNTIF(tbl_Localitati[oras_oficial],[@oras])=0,"ORAS NEALINIAT",IF(XLOOKUP([@oras],tbl_Localitati[oras_oficial],tbl_Localitati[judet],"?")&lt;&gt;[@judet],"JUDET NECORESPUNZATOR",""))</f>
        <v/>
      </c>
      <c r="R624">
        <f>IF(XLOOKUP([@categorie],tbl_RegulriTVA[categorie],tbl_RegulriTVA[cota_legala],-1)&lt;&gt;[@cota_tva],"TVA GRESIT","")</f>
        <v/>
      </c>
      <c r="S624">
        <f>IF([@data_scadentei]&lt;[@data_factura],"SCADENTA INAINTEA FACTURII","")</f>
        <v/>
      </c>
      <c r="T624">
        <f>IF(NETWORKDAYS.INTL([@data_factura],[@data_factura],1,tbl_SarbatoriLegale[data])=0,"ZI NELUCRATOARE","")</f>
        <v/>
      </c>
      <c r="U624">
        <f>IF([@motiv_anomalie]="","OK","DE INVESTIGAT")</f>
        <v/>
      </c>
      <c r="V624">
        <f>TEXTJOIN("; ",TRUE,[@flag_oras],[@flag_tva],[@flag_scadenta],[@flag_zi])</f>
        <v/>
      </c>
    </row>
    <row r="625">
      <c r="A625" t="inlineStr">
        <is>
          <t>F-2025-00624</t>
        </is>
      </c>
      <c r="B625" s="12" t="n">
        <v>46175</v>
      </c>
      <c r="C625" t="inlineStr">
        <is>
          <t>SC DACTECH SOLUTIONS SRL</t>
        </is>
      </c>
      <c r="D625" t="inlineStr">
        <is>
          <t>Argeș</t>
        </is>
      </c>
      <c r="E625" t="inlineStr">
        <is>
          <t>PRD-010</t>
        </is>
      </c>
      <c r="F625" t="inlineStr">
        <is>
          <t>Monitor 27" 4K</t>
        </is>
      </c>
      <c r="G625" t="inlineStr">
        <is>
          <t>Hardware IT</t>
        </is>
      </c>
      <c r="H625" t="n">
        <v>10</v>
      </c>
      <c r="I625" t="n">
        <v>341.25</v>
      </c>
      <c r="J625" t="n">
        <v>3412.5</v>
      </c>
      <c r="K625" s="13" t="n">
        <v>0.19</v>
      </c>
      <c r="L625" t="n">
        <v>648.38</v>
      </c>
      <c r="M625" t="n">
        <v>4060.88</v>
      </c>
      <c r="N625" t="inlineStr">
        <is>
          <t>RON</t>
        </is>
      </c>
      <c r="O625" t="inlineStr">
        <is>
          <t>Pitești</t>
        </is>
      </c>
      <c r="P625" s="12" t="n">
        <v>46220</v>
      </c>
      <c r="Q625">
        <f>IF(COUNTIF(tbl_Localitati[oras_oficial],[@oras])=0,"ORAS NEALINIAT",IF(XLOOKUP([@oras],tbl_Localitati[oras_oficial],tbl_Localitati[judet],"?")&lt;&gt;[@judet],"JUDET NECORESPUNZATOR",""))</f>
        <v/>
      </c>
      <c r="R625">
        <f>IF(XLOOKUP([@categorie],tbl_RegulriTVA[categorie],tbl_RegulriTVA[cota_legala],-1)&lt;&gt;[@cota_tva],"TVA GRESIT","")</f>
        <v/>
      </c>
      <c r="S625">
        <f>IF([@data_scadentei]&lt;[@data_factura],"SCADENTA INAINTEA FACTURII","")</f>
        <v/>
      </c>
      <c r="T625">
        <f>IF(NETWORKDAYS.INTL([@data_factura],[@data_factura],1,tbl_SarbatoriLegale[data])=0,"ZI NELUCRATOARE","")</f>
        <v/>
      </c>
      <c r="U625">
        <f>IF([@motiv_anomalie]="","OK","DE INVESTIGAT")</f>
        <v/>
      </c>
      <c r="V625">
        <f>TEXTJOIN("; ",TRUE,[@flag_oras],[@flag_tva],[@flag_scadenta],[@flag_zi])</f>
        <v/>
      </c>
    </row>
    <row r="626">
      <c r="A626" t="inlineStr">
        <is>
          <t>F-2025-00625</t>
        </is>
      </c>
      <c r="B626" s="12" t="n">
        <v>46154</v>
      </c>
      <c r="C626" t="inlineStr">
        <is>
          <t>SC INTEGROMED SA</t>
        </is>
      </c>
      <c r="D626" t="inlineStr">
        <is>
          <t>Cluj</t>
        </is>
      </c>
      <c r="E626" t="inlineStr">
        <is>
          <t>PRD-004</t>
        </is>
      </c>
      <c r="F626" t="inlineStr">
        <is>
          <t>Training utilizatori</t>
        </is>
      </c>
      <c r="G626" t="inlineStr">
        <is>
          <t>Servicii consultanță</t>
        </is>
      </c>
      <c r="H626" t="n">
        <v>10</v>
      </c>
      <c r="I626" t="n">
        <v>943.0700000000001</v>
      </c>
      <c r="J626" t="n">
        <v>9430.700000000001</v>
      </c>
      <c r="K626" s="13" t="n">
        <v>0.19</v>
      </c>
      <c r="L626" t="n">
        <v>1791.83</v>
      </c>
      <c r="M626" t="n">
        <v>11222.53</v>
      </c>
      <c r="N626" t="inlineStr">
        <is>
          <t>RON</t>
        </is>
      </c>
      <c r="O626" t="inlineStr">
        <is>
          <t>Cluj-Napoca</t>
        </is>
      </c>
      <c r="P626" s="12" t="n">
        <v>46199</v>
      </c>
      <c r="Q626">
        <f>IF(COUNTIF(tbl_Localitati[oras_oficial],[@oras])=0,"ORAS NEALINIAT",IF(XLOOKUP([@oras],tbl_Localitati[oras_oficial],tbl_Localitati[judet],"?")&lt;&gt;[@judet],"JUDET NECORESPUNZATOR",""))</f>
        <v/>
      </c>
      <c r="R626">
        <f>IF(XLOOKUP([@categorie],tbl_RegulriTVA[categorie],tbl_RegulriTVA[cota_legala],-1)&lt;&gt;[@cota_tva],"TVA GRESIT","")</f>
        <v/>
      </c>
      <c r="S626">
        <f>IF([@data_scadentei]&lt;[@data_factura],"SCADENTA INAINTEA FACTURII","")</f>
        <v/>
      </c>
      <c r="T626">
        <f>IF(NETWORKDAYS.INTL([@data_factura],[@data_factura],1,tbl_SarbatoriLegale[data])=0,"ZI NELUCRATOARE","")</f>
        <v/>
      </c>
      <c r="U626">
        <f>IF([@motiv_anomalie]="","OK","DE INVESTIGAT")</f>
        <v/>
      </c>
      <c r="V626">
        <f>TEXTJOIN("; ",TRUE,[@flag_oras],[@flag_tva],[@flag_scadenta],[@flag_zi])</f>
        <v/>
      </c>
    </row>
    <row r="627">
      <c r="A627" t="inlineStr">
        <is>
          <t>F-2025-00626</t>
        </is>
      </c>
      <c r="B627" s="12" t="n">
        <v>46237</v>
      </c>
      <c r="C627" t="inlineStr">
        <is>
          <t>SC DACTECH SOLUTIONS SRL</t>
        </is>
      </c>
      <c r="D627" t="inlineStr">
        <is>
          <t>Argeș</t>
        </is>
      </c>
      <c r="E627" t="inlineStr">
        <is>
          <t>PRD-010</t>
        </is>
      </c>
      <c r="F627" t="inlineStr">
        <is>
          <t>Termometru digital</t>
        </is>
      </c>
      <c r="G627" t="inlineStr">
        <is>
          <t>Produse farmaceutice</t>
        </is>
      </c>
      <c r="H627" t="n">
        <v>5</v>
      </c>
      <c r="I627" t="n">
        <v>344.33</v>
      </c>
      <c r="J627" t="n">
        <v>1721.65</v>
      </c>
      <c r="K627" s="13" t="n">
        <v>0.09</v>
      </c>
      <c r="L627" t="n">
        <v>154.95</v>
      </c>
      <c r="M627" t="n">
        <v>1876.6</v>
      </c>
      <c r="N627" t="inlineStr">
        <is>
          <t>RON</t>
        </is>
      </c>
      <c r="O627" t="inlineStr">
        <is>
          <t>Pitești</t>
        </is>
      </c>
      <c r="P627" s="12" t="n">
        <v>46267</v>
      </c>
      <c r="Q627">
        <f>IF(COUNTIF(tbl_Localitati[oras_oficial],[@oras])=0,"ORAS NEALINIAT",IF(XLOOKUP([@oras],tbl_Localitati[oras_oficial],tbl_Localitati[judet],"?")&lt;&gt;[@judet],"JUDET NECORESPUNZATOR",""))</f>
        <v/>
      </c>
      <c r="R627">
        <f>IF(XLOOKUP([@categorie],tbl_RegulriTVA[categorie],tbl_RegulriTVA[cota_legala],-1)&lt;&gt;[@cota_tva],"TVA GRESIT","")</f>
        <v/>
      </c>
      <c r="S627">
        <f>IF([@data_scadentei]&lt;[@data_factura],"SCADENTA INAINTEA FACTURII","")</f>
        <v/>
      </c>
      <c r="T627">
        <f>IF(NETWORKDAYS.INTL([@data_factura],[@data_factura],1,tbl_SarbatoriLegale[data])=0,"ZI NELUCRATOARE","")</f>
        <v/>
      </c>
      <c r="U627">
        <f>IF([@motiv_anomalie]="","OK","DE INVESTIGAT")</f>
        <v/>
      </c>
      <c r="V627">
        <f>TEXTJOIN("; ",TRUE,[@flag_oras],[@flag_tva],[@flag_scadenta],[@flag_zi])</f>
        <v/>
      </c>
    </row>
    <row r="628">
      <c r="A628" t="inlineStr">
        <is>
          <t>F-2025-00627</t>
        </is>
      </c>
      <c r="B628" s="12" t="n">
        <v>46164</v>
      </c>
      <c r="C628" t="inlineStr">
        <is>
          <t>SC PROVITA MEDICAL SRL</t>
        </is>
      </c>
      <c r="D628" t="inlineStr">
        <is>
          <t>Mureș</t>
        </is>
      </c>
      <c r="E628" t="inlineStr">
        <is>
          <t>PRD-007</t>
        </is>
      </c>
      <c r="F628" t="inlineStr">
        <is>
          <t>Laptop business 15"</t>
        </is>
      </c>
      <c r="G628" t="inlineStr">
        <is>
          <t>Hardware IT</t>
        </is>
      </c>
      <c r="H628" t="n">
        <v>5</v>
      </c>
      <c r="I628" t="n">
        <v>186.87</v>
      </c>
      <c r="J628" t="n">
        <v>934.35</v>
      </c>
      <c r="K628" s="13" t="n">
        <v>0.19</v>
      </c>
      <c r="L628" t="n">
        <v>177.53</v>
      </c>
      <c r="M628" t="n">
        <v>1111.88</v>
      </c>
      <c r="N628" t="inlineStr">
        <is>
          <t>RON</t>
        </is>
      </c>
      <c r="O628" t="inlineStr">
        <is>
          <t>Târgu Mureș</t>
        </is>
      </c>
      <c r="P628" s="12" t="n">
        <v>46194</v>
      </c>
      <c r="Q628">
        <f>IF(COUNTIF(tbl_Localitati[oras_oficial],[@oras])=0,"ORAS NEALINIAT",IF(XLOOKUP([@oras],tbl_Localitati[oras_oficial],tbl_Localitati[judet],"?")&lt;&gt;[@judet],"JUDET NECORESPUNZATOR",""))</f>
        <v/>
      </c>
      <c r="R628">
        <f>IF(XLOOKUP([@categorie],tbl_RegulriTVA[categorie],tbl_RegulriTVA[cota_legala],-1)&lt;&gt;[@cota_tva],"TVA GRESIT","")</f>
        <v/>
      </c>
      <c r="S628">
        <f>IF([@data_scadentei]&lt;[@data_factura],"SCADENTA INAINTEA FACTURII","")</f>
        <v/>
      </c>
      <c r="T628">
        <f>IF(NETWORKDAYS.INTL([@data_factura],[@data_factura],1,tbl_SarbatoriLegale[data])=0,"ZI NELUCRATOARE","")</f>
        <v/>
      </c>
      <c r="U628">
        <f>IF([@motiv_anomalie]="","OK","DE INVESTIGAT")</f>
        <v/>
      </c>
      <c r="V628">
        <f>TEXTJOIN("; ",TRUE,[@flag_oras],[@flag_tva],[@flag_scadenta],[@flag_zi])</f>
        <v/>
      </c>
    </row>
    <row r="629">
      <c r="A629" t="inlineStr">
        <is>
          <t>F-2025-00628</t>
        </is>
      </c>
      <c r="B629" s="12" t="n">
        <v>46244</v>
      </c>
      <c r="C629" t="inlineStr">
        <is>
          <t>SC AROMET TRADING SRL</t>
        </is>
      </c>
      <c r="D629" t="inlineStr">
        <is>
          <t>Alba</t>
        </is>
      </c>
      <c r="E629" t="inlineStr">
        <is>
          <t>PRD-008</t>
        </is>
      </c>
      <c r="F629" t="inlineStr">
        <is>
          <t>Multifunctionala laser</t>
        </is>
      </c>
      <c r="G629" t="inlineStr">
        <is>
          <t>Echipamente birou</t>
        </is>
      </c>
      <c r="H629" t="n">
        <v>1</v>
      </c>
      <c r="I629" t="n">
        <v>461.26</v>
      </c>
      <c r="J629" t="n">
        <v>461.26</v>
      </c>
      <c r="K629" s="13" t="n">
        <v>0.19</v>
      </c>
      <c r="L629" t="n">
        <v>87.64</v>
      </c>
      <c r="M629" t="n">
        <v>548.9</v>
      </c>
      <c r="N629" t="inlineStr">
        <is>
          <t>RON</t>
        </is>
      </c>
      <c r="O629" t="inlineStr">
        <is>
          <t>Alba Iulia</t>
        </is>
      </c>
      <c r="P629" s="12" t="n">
        <v>46274</v>
      </c>
      <c r="Q629">
        <f>IF(COUNTIF(tbl_Localitati[oras_oficial],[@oras])=0,"ORAS NEALINIAT",IF(XLOOKUP([@oras],tbl_Localitati[oras_oficial],tbl_Localitati[judet],"?")&lt;&gt;[@judet],"JUDET NECORESPUNZATOR",""))</f>
        <v/>
      </c>
      <c r="R629">
        <f>IF(XLOOKUP([@categorie],tbl_RegulriTVA[categorie],tbl_RegulriTVA[cota_legala],-1)&lt;&gt;[@cota_tva],"TVA GRESIT","")</f>
        <v/>
      </c>
      <c r="S629">
        <f>IF([@data_scadentei]&lt;[@data_factura],"SCADENTA INAINTEA FACTURII","")</f>
        <v/>
      </c>
      <c r="T629">
        <f>IF(NETWORKDAYS.INTL([@data_factura],[@data_factura],1,tbl_SarbatoriLegale[data])=0,"ZI NELUCRATOARE","")</f>
        <v/>
      </c>
      <c r="U629">
        <f>IF([@motiv_anomalie]="","OK","DE INVESTIGAT")</f>
        <v/>
      </c>
      <c r="V629">
        <f>TEXTJOIN("; ",TRUE,[@flag_oras],[@flag_tva],[@flag_scadenta],[@flag_zi])</f>
        <v/>
      </c>
    </row>
    <row r="630">
      <c r="A630" t="inlineStr">
        <is>
          <t>F-2025-00629</t>
        </is>
      </c>
      <c r="B630" s="12" t="n">
        <v>46204</v>
      </c>
      <c r="C630" t="inlineStr">
        <is>
          <t>SC NORDIS DISTRIBUTIE SRL</t>
        </is>
      </c>
      <c r="D630" t="inlineStr">
        <is>
          <t>Constanța</t>
        </is>
      </c>
      <c r="E630" t="inlineStr">
        <is>
          <t>PRD-005</t>
        </is>
      </c>
      <c r="F630" t="inlineStr">
        <is>
          <t>Audit infrastructura</t>
        </is>
      </c>
      <c r="G630" t="inlineStr">
        <is>
          <t>Servicii consultanță</t>
        </is>
      </c>
      <c r="H630" t="n">
        <v>1</v>
      </c>
      <c r="I630" t="n">
        <v>247.24</v>
      </c>
      <c r="J630" t="n">
        <v>247.24</v>
      </c>
      <c r="K630" s="13" t="n">
        <v>0.19</v>
      </c>
      <c r="L630" t="n">
        <v>46.98</v>
      </c>
      <c r="M630" t="n">
        <v>294.22</v>
      </c>
      <c r="N630" t="inlineStr">
        <is>
          <t>RON</t>
        </is>
      </c>
      <c r="O630" t="inlineStr">
        <is>
          <t>Mangalia</t>
        </is>
      </c>
      <c r="P630" s="12" t="n">
        <v>46189</v>
      </c>
      <c r="Q630">
        <f>IF(COUNTIF(tbl_Localitati[oras_oficial],[@oras])=0,"ORAS NEALINIAT",IF(XLOOKUP([@oras],tbl_Localitati[oras_oficial],tbl_Localitati[judet],"?")&lt;&gt;[@judet],"JUDET NECORESPUNZATOR",""))</f>
        <v/>
      </c>
      <c r="R630">
        <f>IF(XLOOKUP([@categorie],tbl_RegulriTVA[categorie],tbl_RegulriTVA[cota_legala],-1)&lt;&gt;[@cota_tva],"TVA GRESIT","")</f>
        <v/>
      </c>
      <c r="S630">
        <f>IF([@data_scadentei]&lt;[@data_factura],"SCADENTA INAINTEA FACTURII","")</f>
        <v/>
      </c>
      <c r="T630">
        <f>IF(NETWORKDAYS.INTL([@data_factura],[@data_factura],1,tbl_SarbatoriLegale[data])=0,"ZI NELUCRATOARE","")</f>
        <v/>
      </c>
      <c r="U630">
        <f>IF([@motiv_anomalie]="","OK","DE INVESTIGAT")</f>
        <v/>
      </c>
      <c r="V630">
        <f>TEXTJOIN("; ",TRUE,[@flag_oras],[@flag_tva],[@flag_scadenta],[@flag_zi])</f>
        <v/>
      </c>
    </row>
    <row r="631">
      <c r="A631" t="inlineStr">
        <is>
          <t>F-2025-00630</t>
        </is>
      </c>
      <c r="B631" s="12" t="n">
        <v>46048</v>
      </c>
      <c r="C631" t="inlineStr">
        <is>
          <t>SC AROMET TRADING SRL</t>
        </is>
      </c>
      <c r="D631" t="inlineStr">
        <is>
          <t>Alba</t>
        </is>
      </c>
      <c r="E631" t="inlineStr">
        <is>
          <t>PRD-001</t>
        </is>
      </c>
      <c r="F631" t="inlineStr">
        <is>
          <t>Termometru digital</t>
        </is>
      </c>
      <c r="G631" t="inlineStr">
        <is>
          <t>Produse farmaceutice</t>
        </is>
      </c>
      <c r="H631" t="n">
        <v>5</v>
      </c>
      <c r="I631" t="n">
        <v>2411.62</v>
      </c>
      <c r="J631" t="n">
        <v>12058.1</v>
      </c>
      <c r="K631" s="13" t="n">
        <v>0.09</v>
      </c>
      <c r="L631" t="n">
        <v>1085.23</v>
      </c>
      <c r="M631" t="n">
        <v>13143.33</v>
      </c>
      <c r="N631" t="inlineStr">
        <is>
          <t>RON</t>
        </is>
      </c>
      <c r="O631" t="inlineStr">
        <is>
          <t>Alba Iulia</t>
        </is>
      </c>
      <c r="P631" s="12" t="n">
        <v>46093</v>
      </c>
      <c r="Q631">
        <f>IF(COUNTIF(tbl_Localitati[oras_oficial],[@oras])=0,"ORAS NEALINIAT",IF(XLOOKUP([@oras],tbl_Localitati[oras_oficial],tbl_Localitati[judet],"?")&lt;&gt;[@judet],"JUDET NECORESPUNZATOR",""))</f>
        <v/>
      </c>
      <c r="R631">
        <f>IF(XLOOKUP([@categorie],tbl_RegulriTVA[categorie],tbl_RegulriTVA[cota_legala],-1)&lt;&gt;[@cota_tva],"TVA GRESIT","")</f>
        <v/>
      </c>
      <c r="S631">
        <f>IF([@data_scadentei]&lt;[@data_factura],"SCADENTA INAINTEA FACTURII","")</f>
        <v/>
      </c>
      <c r="T631">
        <f>IF(NETWORKDAYS.INTL([@data_factura],[@data_factura],1,tbl_SarbatoriLegale[data])=0,"ZI NELUCRATOARE","")</f>
        <v/>
      </c>
      <c r="U631">
        <f>IF([@motiv_anomalie]="","OK","DE INVESTIGAT")</f>
        <v/>
      </c>
      <c r="V631">
        <f>TEXTJOIN("; ",TRUE,[@flag_oras],[@flag_tva],[@flag_scadenta],[@flag_zi])</f>
        <v/>
      </c>
    </row>
    <row r="632">
      <c r="A632" t="inlineStr">
        <is>
          <t>F-2025-00631</t>
        </is>
      </c>
      <c r="B632" s="12" t="n">
        <v>46223</v>
      </c>
      <c r="C632" t="inlineStr">
        <is>
          <t>SC DACTECH SOLUTIONS SRL</t>
        </is>
      </c>
      <c r="D632" t="inlineStr">
        <is>
          <t>Argeș</t>
        </is>
      </c>
      <c r="E632" t="inlineStr">
        <is>
          <t>PRD-008</t>
        </is>
      </c>
      <c r="F632" t="inlineStr">
        <is>
          <t>Switch gigabit 24p</t>
        </is>
      </c>
      <c r="G632" t="inlineStr">
        <is>
          <t>Hardware IT</t>
        </is>
      </c>
      <c r="H632" t="n">
        <v>10</v>
      </c>
      <c r="I632" t="n">
        <v>434.44</v>
      </c>
      <c r="J632" t="n">
        <v>4344.4</v>
      </c>
      <c r="K632" s="13" t="n">
        <v>0.19</v>
      </c>
      <c r="L632" t="n">
        <v>825.4400000000001</v>
      </c>
      <c r="M632" t="n">
        <v>5169.84</v>
      </c>
      <c r="N632" t="inlineStr">
        <is>
          <t>RON</t>
        </is>
      </c>
      <c r="O632" t="inlineStr">
        <is>
          <t>Pitești</t>
        </is>
      </c>
      <c r="P632" s="12" t="n">
        <v>46283</v>
      </c>
      <c r="Q632">
        <f>IF(COUNTIF(tbl_Localitati[oras_oficial],[@oras])=0,"ORAS NEALINIAT",IF(XLOOKUP([@oras],tbl_Localitati[oras_oficial],tbl_Localitati[judet],"?")&lt;&gt;[@judet],"JUDET NECORESPUNZATOR",""))</f>
        <v/>
      </c>
      <c r="R632">
        <f>IF(XLOOKUP([@categorie],tbl_RegulriTVA[categorie],tbl_RegulriTVA[cota_legala],-1)&lt;&gt;[@cota_tva],"TVA GRESIT","")</f>
        <v/>
      </c>
      <c r="S632">
        <f>IF([@data_scadentei]&lt;[@data_factura],"SCADENTA INAINTEA FACTURII","")</f>
        <v/>
      </c>
      <c r="T632">
        <f>IF(NETWORKDAYS.INTL([@data_factura],[@data_factura],1,tbl_SarbatoriLegale[data])=0,"ZI NELUCRATOARE","")</f>
        <v/>
      </c>
      <c r="U632">
        <f>IF([@motiv_anomalie]="","OK","DE INVESTIGAT")</f>
        <v/>
      </c>
      <c r="V632">
        <f>TEXTJOIN("; ",TRUE,[@flag_oras],[@flag_tva],[@flag_scadenta],[@flag_zi])</f>
        <v/>
      </c>
    </row>
    <row r="633">
      <c r="A633" t="inlineStr">
        <is>
          <t>F-2025-00632</t>
        </is>
      </c>
      <c r="B633" s="12" t="n">
        <v>46336</v>
      </c>
      <c r="C633" t="inlineStr">
        <is>
          <t>SC PROVITA MEDICAL SRL</t>
        </is>
      </c>
      <c r="D633" t="inlineStr">
        <is>
          <t>Mureș</t>
        </is>
      </c>
      <c r="E633" t="inlineStr">
        <is>
          <t>PRD-002</t>
        </is>
      </c>
      <c r="F633" t="inlineStr">
        <is>
          <t>Carte tehnica IT</t>
        </is>
      </c>
      <c r="G633" t="inlineStr">
        <is>
          <t>Cărți și manuale</t>
        </is>
      </c>
      <c r="H633" t="n">
        <v>2</v>
      </c>
      <c r="I633" t="n">
        <v>1125.92</v>
      </c>
      <c r="J633" t="n">
        <v>2251.84</v>
      </c>
      <c r="K633" s="13" t="n">
        <v>0.05</v>
      </c>
      <c r="L633" t="n">
        <v>112.59</v>
      </c>
      <c r="M633" t="n">
        <v>2364.43</v>
      </c>
      <c r="N633" t="inlineStr">
        <is>
          <t>RON</t>
        </is>
      </c>
      <c r="O633" t="inlineStr">
        <is>
          <t>Târgu Mureș</t>
        </is>
      </c>
      <c r="P633" s="12" t="n">
        <v>46366</v>
      </c>
      <c r="Q633">
        <f>IF(COUNTIF(tbl_Localitati[oras_oficial],[@oras])=0,"ORAS NEALINIAT",IF(XLOOKUP([@oras],tbl_Localitati[oras_oficial],tbl_Localitati[judet],"?")&lt;&gt;[@judet],"JUDET NECORESPUNZATOR",""))</f>
        <v/>
      </c>
      <c r="R633">
        <f>IF(XLOOKUP([@categorie],tbl_RegulriTVA[categorie],tbl_RegulriTVA[cota_legala],-1)&lt;&gt;[@cota_tva],"TVA GRESIT","")</f>
        <v/>
      </c>
      <c r="S633">
        <f>IF([@data_scadentei]&lt;[@data_factura],"SCADENTA INAINTEA FACTURII","")</f>
        <v/>
      </c>
      <c r="T633">
        <f>IF(NETWORKDAYS.INTL([@data_factura],[@data_factura],1,tbl_SarbatoriLegale[data])=0,"ZI NELUCRATOARE","")</f>
        <v/>
      </c>
      <c r="U633">
        <f>IF([@motiv_anomalie]="","OK","DE INVESTIGAT")</f>
        <v/>
      </c>
      <c r="V633">
        <f>TEXTJOIN("; ",TRUE,[@flag_oras],[@flag_tva],[@flag_scadenta],[@flag_zi])</f>
        <v/>
      </c>
    </row>
    <row r="634">
      <c r="A634" t="inlineStr">
        <is>
          <t>F-2025-00633</t>
        </is>
      </c>
      <c r="B634" s="12" t="n">
        <v>46125</v>
      </c>
      <c r="C634" t="inlineStr">
        <is>
          <t>SC PROVITA MEDICAL SRL</t>
        </is>
      </c>
      <c r="D634" t="inlineStr">
        <is>
          <t>Mureș</t>
        </is>
      </c>
      <c r="E634" t="inlineStr">
        <is>
          <t>PRD-008</t>
        </is>
      </c>
      <c r="F634" t="inlineStr">
        <is>
          <t>Trusa prim ajutor</t>
        </is>
      </c>
      <c r="G634" t="inlineStr">
        <is>
          <t>Produse farmaceutice</t>
        </is>
      </c>
      <c r="H634" t="n">
        <v>25</v>
      </c>
      <c r="I634" t="n">
        <v>443.71</v>
      </c>
      <c r="J634" t="n">
        <v>11092.75</v>
      </c>
      <c r="K634" s="13" t="n">
        <v>0.09</v>
      </c>
      <c r="L634" t="n">
        <v>998.35</v>
      </c>
      <c r="M634" t="n">
        <v>12091.1</v>
      </c>
      <c r="N634" t="inlineStr">
        <is>
          <t>RON</t>
        </is>
      </c>
      <c r="O634" t="inlineStr">
        <is>
          <t>Târgu Mureș</t>
        </is>
      </c>
      <c r="P634" s="12" t="n">
        <v>46155</v>
      </c>
      <c r="Q634">
        <f>IF(COUNTIF(tbl_Localitati[oras_oficial],[@oras])=0,"ORAS NEALINIAT",IF(XLOOKUP([@oras],tbl_Localitati[oras_oficial],tbl_Localitati[judet],"?")&lt;&gt;[@judet],"JUDET NECORESPUNZATOR",""))</f>
        <v/>
      </c>
      <c r="R634">
        <f>IF(XLOOKUP([@categorie],tbl_RegulriTVA[categorie],tbl_RegulriTVA[cota_legala],-1)&lt;&gt;[@cota_tva],"TVA GRESIT","")</f>
        <v/>
      </c>
      <c r="S634">
        <f>IF([@data_scadentei]&lt;[@data_factura],"SCADENTA INAINTEA FACTURII","")</f>
        <v/>
      </c>
      <c r="T634">
        <f>IF(NETWORKDAYS.INTL([@data_factura],[@data_factura],1,tbl_SarbatoriLegale[data])=0,"ZI NELUCRATOARE","")</f>
        <v/>
      </c>
      <c r="U634">
        <f>IF([@motiv_anomalie]="","OK","DE INVESTIGAT")</f>
        <v/>
      </c>
      <c r="V634">
        <f>TEXTJOIN("; ",TRUE,[@flag_oras],[@flag_tva],[@flag_scadenta],[@flag_zi])</f>
        <v/>
      </c>
    </row>
    <row r="635">
      <c r="A635" t="inlineStr">
        <is>
          <t>F-2025-00634</t>
        </is>
      </c>
      <c r="B635" s="12" t="n">
        <v>46035</v>
      </c>
      <c r="C635" t="inlineStr">
        <is>
          <t>SC OMEGA SOFT SRL</t>
        </is>
      </c>
      <c r="D635" t="inlineStr">
        <is>
          <t>Dolj</t>
        </is>
      </c>
      <c r="E635" t="inlineStr">
        <is>
          <t>PRD-010</t>
        </is>
      </c>
      <c r="F635" t="inlineStr">
        <is>
          <t>Monitor 27" 4K</t>
        </is>
      </c>
      <c r="G635" t="inlineStr">
        <is>
          <t>Hardware IT</t>
        </is>
      </c>
      <c r="H635" t="n">
        <v>20</v>
      </c>
      <c r="I635" t="n">
        <v>362.01</v>
      </c>
      <c r="J635" t="n">
        <v>7240.2</v>
      </c>
      <c r="K635" s="13" t="n">
        <v>0.19</v>
      </c>
      <c r="L635" t="n">
        <v>1375.64</v>
      </c>
      <c r="M635" t="n">
        <v>8615.84</v>
      </c>
      <c r="N635" t="inlineStr">
        <is>
          <t>RON</t>
        </is>
      </c>
      <c r="O635" t="inlineStr">
        <is>
          <t>Craiova</t>
        </is>
      </c>
      <c r="P635" s="12" t="n">
        <v>46065</v>
      </c>
      <c r="Q635">
        <f>IF(COUNTIF(tbl_Localitati[oras_oficial],[@oras])=0,"ORAS NEALINIAT",IF(XLOOKUP([@oras],tbl_Localitati[oras_oficial],tbl_Localitati[judet],"?")&lt;&gt;[@judet],"JUDET NECORESPUNZATOR",""))</f>
        <v/>
      </c>
      <c r="R635">
        <f>IF(XLOOKUP([@categorie],tbl_RegulriTVA[categorie],tbl_RegulriTVA[cota_legala],-1)&lt;&gt;[@cota_tva],"TVA GRESIT","")</f>
        <v/>
      </c>
      <c r="S635">
        <f>IF([@data_scadentei]&lt;[@data_factura],"SCADENTA INAINTEA FACTURII","")</f>
        <v/>
      </c>
      <c r="T635">
        <f>IF(NETWORKDAYS.INTL([@data_factura],[@data_factura],1,tbl_SarbatoriLegale[data])=0,"ZI NELUCRATOARE","")</f>
        <v/>
      </c>
      <c r="U635">
        <f>IF([@motiv_anomalie]="","OK","DE INVESTIGAT")</f>
        <v/>
      </c>
      <c r="V635">
        <f>TEXTJOIN("; ",TRUE,[@flag_oras],[@flag_tva],[@flag_scadenta],[@flag_zi])</f>
        <v/>
      </c>
    </row>
    <row r="636">
      <c r="A636" t="inlineStr">
        <is>
          <t>F-2025-00635</t>
        </is>
      </c>
      <c r="B636" s="12" t="n">
        <v>46083</v>
      </c>
      <c r="C636" t="inlineStr">
        <is>
          <t>SC ELECTROBUILD SRL</t>
        </is>
      </c>
      <c r="D636" t="inlineStr">
        <is>
          <t>Bacău</t>
        </is>
      </c>
      <c r="E636" t="inlineStr">
        <is>
          <t>PRD-012</t>
        </is>
      </c>
      <c r="F636" t="inlineStr">
        <is>
          <t>Tocator documente</t>
        </is>
      </c>
      <c r="G636" t="inlineStr">
        <is>
          <t>Echipamente birou</t>
        </is>
      </c>
      <c r="H636" t="n">
        <v>1</v>
      </c>
      <c r="I636" t="n">
        <v>180.94</v>
      </c>
      <c r="J636" t="n">
        <v>180.94</v>
      </c>
      <c r="K636" s="13" t="n">
        <v>0.19</v>
      </c>
      <c r="L636" t="n">
        <v>34.38</v>
      </c>
      <c r="M636" t="n">
        <v>215.32</v>
      </c>
      <c r="N636" t="inlineStr">
        <is>
          <t>RON</t>
        </is>
      </c>
      <c r="O636" t="inlineStr">
        <is>
          <t>Bacău</t>
        </is>
      </c>
      <c r="P636" s="12" t="n">
        <v>46113</v>
      </c>
      <c r="Q636">
        <f>IF(COUNTIF(tbl_Localitati[oras_oficial],[@oras])=0,"ORAS NEALINIAT",IF(XLOOKUP([@oras],tbl_Localitati[oras_oficial],tbl_Localitati[judet],"?")&lt;&gt;[@judet],"JUDET NECORESPUNZATOR",""))</f>
        <v/>
      </c>
      <c r="R636">
        <f>IF(XLOOKUP([@categorie],tbl_RegulriTVA[categorie],tbl_RegulriTVA[cota_legala],-1)&lt;&gt;[@cota_tva],"TVA GRESIT","")</f>
        <v/>
      </c>
      <c r="S636">
        <f>IF([@data_scadentei]&lt;[@data_factura],"SCADENTA INAINTEA FACTURII","")</f>
        <v/>
      </c>
      <c r="T636">
        <f>IF(NETWORKDAYS.INTL([@data_factura],[@data_factura],1,tbl_SarbatoriLegale[data])=0,"ZI NELUCRATOARE","")</f>
        <v/>
      </c>
      <c r="U636">
        <f>IF([@motiv_anomalie]="","OK","DE INVESTIGAT")</f>
        <v/>
      </c>
      <c r="V636">
        <f>TEXTJOIN("; ",TRUE,[@flag_oras],[@flag_tva],[@flag_scadenta],[@flag_zi])</f>
        <v/>
      </c>
    </row>
    <row r="637">
      <c r="A637" t="inlineStr">
        <is>
          <t>F-2025-00636</t>
        </is>
      </c>
      <c r="B637" s="12" t="n">
        <v>46213</v>
      </c>
      <c r="C637" t="inlineStr">
        <is>
          <t>SC INTEGROMED SA</t>
        </is>
      </c>
      <c r="D637" t="inlineStr">
        <is>
          <t>Cluj</t>
        </is>
      </c>
      <c r="E637" t="inlineStr">
        <is>
          <t>PRD-002</t>
        </is>
      </c>
      <c r="F637" t="inlineStr">
        <is>
          <t>Telefon IP birou</t>
        </is>
      </c>
      <c r="G637" t="inlineStr">
        <is>
          <t>Echipamente birou</t>
        </is>
      </c>
      <c r="H637" t="n">
        <v>3</v>
      </c>
      <c r="I637" t="n">
        <v>1072.9</v>
      </c>
      <c r="J637" t="n">
        <v>3218.7</v>
      </c>
      <c r="K637" s="13" t="n">
        <v>0.19</v>
      </c>
      <c r="L637" t="n">
        <v>611.55</v>
      </c>
      <c r="M637" t="n">
        <v>3830.25</v>
      </c>
      <c r="N637" t="inlineStr">
        <is>
          <t>RON</t>
        </is>
      </c>
      <c r="O637" t="inlineStr">
        <is>
          <t>Cluj-Napoca</t>
        </is>
      </c>
      <c r="P637" s="12" t="n">
        <v>46258</v>
      </c>
      <c r="Q637">
        <f>IF(COUNTIF(tbl_Localitati[oras_oficial],[@oras])=0,"ORAS NEALINIAT",IF(XLOOKUP([@oras],tbl_Localitati[oras_oficial],tbl_Localitati[judet],"?")&lt;&gt;[@judet],"JUDET NECORESPUNZATOR",""))</f>
        <v/>
      </c>
      <c r="R637">
        <f>IF(XLOOKUP([@categorie],tbl_RegulriTVA[categorie],tbl_RegulriTVA[cota_legala],-1)&lt;&gt;[@cota_tva],"TVA GRESIT","")</f>
        <v/>
      </c>
      <c r="S637">
        <f>IF([@data_scadentei]&lt;[@data_factura],"SCADENTA INAINTEA FACTURII","")</f>
        <v/>
      </c>
      <c r="T637">
        <f>IF(NETWORKDAYS.INTL([@data_factura],[@data_factura],1,tbl_SarbatoriLegale[data])=0,"ZI NELUCRATOARE","")</f>
        <v/>
      </c>
      <c r="U637">
        <f>IF([@motiv_anomalie]="","OK","DE INVESTIGAT")</f>
        <v/>
      </c>
      <c r="V637">
        <f>TEXTJOIN("; ",TRUE,[@flag_oras],[@flag_tva],[@flag_scadenta],[@flag_zi])</f>
        <v/>
      </c>
    </row>
    <row r="638">
      <c r="A638" t="inlineStr">
        <is>
          <t>F-2025-00637</t>
        </is>
      </c>
      <c r="B638" s="12" t="n">
        <v>46295</v>
      </c>
      <c r="C638" t="inlineStr">
        <is>
          <t>SC UNIFOOD DISTRIBUTION SA</t>
        </is>
      </c>
      <c r="D638" t="inlineStr">
        <is>
          <t>Sibiu</t>
        </is>
      </c>
      <c r="E638" t="inlineStr">
        <is>
          <t>PRD-002</t>
        </is>
      </c>
      <c r="F638" t="inlineStr">
        <is>
          <t>Dezinfectant maini 5L</t>
        </is>
      </c>
      <c r="G638" t="inlineStr">
        <is>
          <t>Produse farmaceutice</t>
        </is>
      </c>
      <c r="H638" t="n">
        <v>1</v>
      </c>
      <c r="I638" t="n">
        <v>1089.17</v>
      </c>
      <c r="J638" t="n">
        <v>1089.17</v>
      </c>
      <c r="K638" s="13" t="n">
        <v>0.09</v>
      </c>
      <c r="L638" t="n">
        <v>98.03</v>
      </c>
      <c r="M638" t="n">
        <v>1187.2</v>
      </c>
      <c r="N638" t="inlineStr">
        <is>
          <t>RON</t>
        </is>
      </c>
      <c r="O638" t="inlineStr">
        <is>
          <t>Mediaș</t>
        </is>
      </c>
      <c r="P638" s="12" t="n">
        <v>46310</v>
      </c>
      <c r="Q638">
        <f>IF(COUNTIF(tbl_Localitati[oras_oficial],[@oras])=0,"ORAS NEALINIAT",IF(XLOOKUP([@oras],tbl_Localitati[oras_oficial],tbl_Localitati[judet],"?")&lt;&gt;[@judet],"JUDET NECORESPUNZATOR",""))</f>
        <v/>
      </c>
      <c r="R638">
        <f>IF(XLOOKUP([@categorie],tbl_RegulriTVA[categorie],tbl_RegulriTVA[cota_legala],-1)&lt;&gt;[@cota_tva],"TVA GRESIT","")</f>
        <v/>
      </c>
      <c r="S638">
        <f>IF([@data_scadentei]&lt;[@data_factura],"SCADENTA INAINTEA FACTURII","")</f>
        <v/>
      </c>
      <c r="T638">
        <f>IF(NETWORKDAYS.INTL([@data_factura],[@data_factura],1,tbl_SarbatoriLegale[data])=0,"ZI NELUCRATOARE","")</f>
        <v/>
      </c>
      <c r="U638">
        <f>IF([@motiv_anomalie]="","OK","DE INVESTIGAT")</f>
        <v/>
      </c>
      <c r="V638">
        <f>TEXTJOIN("; ",TRUE,[@flag_oras],[@flag_tva],[@flag_scadenta],[@flag_zi])</f>
        <v/>
      </c>
    </row>
    <row r="639">
      <c r="A639" t="inlineStr">
        <is>
          <t>F-2025-00638</t>
        </is>
      </c>
      <c r="B639" s="12" t="n">
        <v>46104</v>
      </c>
      <c r="C639" t="inlineStr">
        <is>
          <t>SC DACTECH SOLUTIONS SRL</t>
        </is>
      </c>
      <c r="D639" t="inlineStr">
        <is>
          <t>Argeș</t>
        </is>
      </c>
      <c r="E639" t="inlineStr">
        <is>
          <t>PRD-009</t>
        </is>
      </c>
      <c r="F639" t="inlineStr">
        <is>
          <t>Suport tehnic anual</t>
        </is>
      </c>
      <c r="G639" t="inlineStr">
        <is>
          <t>Servicii consultanță</t>
        </is>
      </c>
      <c r="H639" t="n">
        <v>50</v>
      </c>
      <c r="I639" t="n">
        <v>28.38</v>
      </c>
      <c r="J639" t="n">
        <v>1419</v>
      </c>
      <c r="K639" s="13" t="n">
        <v>0.19</v>
      </c>
      <c r="L639" t="n">
        <v>269.61</v>
      </c>
      <c r="M639" t="n">
        <v>1688.61</v>
      </c>
      <c r="N639" t="inlineStr">
        <is>
          <t>RON</t>
        </is>
      </c>
      <c r="O639" t="inlineStr">
        <is>
          <t>Pitești</t>
        </is>
      </c>
      <c r="P639" s="12" t="n">
        <v>46149</v>
      </c>
      <c r="Q639">
        <f>IF(COUNTIF(tbl_Localitati[oras_oficial],[@oras])=0,"ORAS NEALINIAT",IF(XLOOKUP([@oras],tbl_Localitati[oras_oficial],tbl_Localitati[judet],"?")&lt;&gt;[@judet],"JUDET NECORESPUNZATOR",""))</f>
        <v/>
      </c>
      <c r="R639">
        <f>IF(XLOOKUP([@categorie],tbl_RegulriTVA[categorie],tbl_RegulriTVA[cota_legala],-1)&lt;&gt;[@cota_tva],"TVA GRESIT","")</f>
        <v/>
      </c>
      <c r="S639">
        <f>IF([@data_scadentei]&lt;[@data_factura],"SCADENTA INAINTEA FACTURII","")</f>
        <v/>
      </c>
      <c r="T639">
        <f>IF(NETWORKDAYS.INTL([@data_factura],[@data_factura],1,tbl_SarbatoriLegale[data])=0,"ZI NELUCRATOARE","")</f>
        <v/>
      </c>
      <c r="U639">
        <f>IF([@motiv_anomalie]="","OK","DE INVESTIGAT")</f>
        <v/>
      </c>
      <c r="V639">
        <f>TEXTJOIN("; ",TRUE,[@flag_oras],[@flag_tva],[@flag_scadenta],[@flag_zi])</f>
        <v/>
      </c>
    </row>
    <row r="640">
      <c r="A640" t="inlineStr">
        <is>
          <t>F-2025-00639</t>
        </is>
      </c>
      <c r="B640" s="12" t="n">
        <v>46205</v>
      </c>
      <c r="C640" t="inlineStr">
        <is>
          <t>SC AROMET TRADING SRL</t>
        </is>
      </c>
      <c r="D640" t="inlineStr">
        <is>
          <t>Alba</t>
        </is>
      </c>
      <c r="E640" t="inlineStr">
        <is>
          <t>PRD-010</t>
        </is>
      </c>
      <c r="F640" t="inlineStr">
        <is>
          <t>Ceai cutie 100buc</t>
        </is>
      </c>
      <c r="G640" t="inlineStr">
        <is>
          <t>Alimente</t>
        </is>
      </c>
      <c r="H640" t="n">
        <v>20</v>
      </c>
      <c r="I640" t="n">
        <v>362.77</v>
      </c>
      <c r="J640" t="n">
        <v>7255.4</v>
      </c>
      <c r="K640" s="13" t="n">
        <v>0.09</v>
      </c>
      <c r="L640" t="n">
        <v>652.99</v>
      </c>
      <c r="M640" t="n">
        <v>7908.39</v>
      </c>
      <c r="N640" t="inlineStr">
        <is>
          <t>RON</t>
        </is>
      </c>
      <c r="O640" t="inlineStr">
        <is>
          <t>Alba Iulia</t>
        </is>
      </c>
      <c r="P640" s="12" t="n">
        <v>46250</v>
      </c>
      <c r="Q640">
        <f>IF(COUNTIF(tbl_Localitati[oras_oficial],[@oras])=0,"ORAS NEALINIAT",IF(XLOOKUP([@oras],tbl_Localitati[oras_oficial],tbl_Localitati[judet],"?")&lt;&gt;[@judet],"JUDET NECORESPUNZATOR",""))</f>
        <v/>
      </c>
      <c r="R640">
        <f>IF(XLOOKUP([@categorie],tbl_RegulriTVA[categorie],tbl_RegulriTVA[cota_legala],-1)&lt;&gt;[@cota_tva],"TVA GRESIT","")</f>
        <v/>
      </c>
      <c r="S640">
        <f>IF([@data_scadentei]&lt;[@data_factura],"SCADENTA INAINTEA FACTURII","")</f>
        <v/>
      </c>
      <c r="T640">
        <f>IF(NETWORKDAYS.INTL([@data_factura],[@data_factura],1,tbl_SarbatoriLegale[data])=0,"ZI NELUCRATOARE","")</f>
        <v/>
      </c>
      <c r="U640">
        <f>IF([@motiv_anomalie]="","OK","DE INVESTIGAT")</f>
        <v/>
      </c>
      <c r="V640">
        <f>TEXTJOIN("; ",TRUE,[@flag_oras],[@flag_tva],[@flag_scadenta],[@flag_zi])</f>
        <v/>
      </c>
    </row>
    <row r="641">
      <c r="A641" t="inlineStr">
        <is>
          <t>F-2025-00640</t>
        </is>
      </c>
      <c r="B641" s="12" t="n">
        <v>46379</v>
      </c>
      <c r="C641" t="inlineStr">
        <is>
          <t>SC NORDIS DISTRIBUTIE SRL</t>
        </is>
      </c>
      <c r="D641" t="inlineStr">
        <is>
          <t>Constanța</t>
        </is>
      </c>
      <c r="E641" t="inlineStr">
        <is>
          <t>PRD-004</t>
        </is>
      </c>
      <c r="F641" t="inlineStr">
        <is>
          <t>Abonament suita cloud</t>
        </is>
      </c>
      <c r="G641" t="inlineStr">
        <is>
          <t>Licențe software</t>
        </is>
      </c>
      <c r="H641" t="n">
        <v>3</v>
      </c>
      <c r="I641" t="n">
        <v>883.83</v>
      </c>
      <c r="J641" t="n">
        <v>2651.49</v>
      </c>
      <c r="K641" s="13" t="n">
        <v>0.19</v>
      </c>
      <c r="L641" t="n">
        <v>503.78</v>
      </c>
      <c r="M641" t="n">
        <v>3155.27</v>
      </c>
      <c r="N641" t="inlineStr">
        <is>
          <t>RON</t>
        </is>
      </c>
      <c r="O641" t="inlineStr">
        <is>
          <t>Mangalia</t>
        </is>
      </c>
      <c r="P641" s="12" t="n">
        <v>46409</v>
      </c>
      <c r="Q641">
        <f>IF(COUNTIF(tbl_Localitati[oras_oficial],[@oras])=0,"ORAS NEALINIAT",IF(XLOOKUP([@oras],tbl_Localitati[oras_oficial],tbl_Localitati[judet],"?")&lt;&gt;[@judet],"JUDET NECORESPUNZATOR",""))</f>
        <v/>
      </c>
      <c r="R641">
        <f>IF(XLOOKUP([@categorie],tbl_RegulriTVA[categorie],tbl_RegulriTVA[cota_legala],-1)&lt;&gt;[@cota_tva],"TVA GRESIT","")</f>
        <v/>
      </c>
      <c r="S641">
        <f>IF([@data_scadentei]&lt;[@data_factura],"SCADENTA INAINTEA FACTURII","")</f>
        <v/>
      </c>
      <c r="T641">
        <f>IF(NETWORKDAYS.INTL([@data_factura],[@data_factura],1,tbl_SarbatoriLegale[data])=0,"ZI NELUCRATOARE","")</f>
        <v/>
      </c>
      <c r="U641">
        <f>IF([@motiv_anomalie]="","OK","DE INVESTIGAT")</f>
        <v/>
      </c>
      <c r="V641">
        <f>TEXTJOIN("; ",TRUE,[@flag_oras],[@flag_tva],[@flag_scadenta],[@flag_zi])</f>
        <v/>
      </c>
    </row>
    <row r="642">
      <c r="A642" t="inlineStr">
        <is>
          <t>F-2025-00641</t>
        </is>
      </c>
      <c r="B642" s="12" t="n">
        <v>46155</v>
      </c>
      <c r="C642" t="inlineStr">
        <is>
          <t>SC DACTECH SOLUTIONS SRL</t>
        </is>
      </c>
      <c r="D642" t="inlineStr">
        <is>
          <t>Argeș</t>
        </is>
      </c>
      <c r="E642" t="inlineStr">
        <is>
          <t>PRD-013</t>
        </is>
      </c>
      <c r="F642" t="inlineStr">
        <is>
          <t>Suport tehnic anual</t>
        </is>
      </c>
      <c r="G642" t="inlineStr">
        <is>
          <t>Servicii consultanță</t>
        </is>
      </c>
      <c r="H642" t="n">
        <v>1</v>
      </c>
      <c r="I642" t="n">
        <v>1228.24</v>
      </c>
      <c r="J642" t="n">
        <v>1228.24</v>
      </c>
      <c r="K642" s="13" t="n">
        <v>0.19</v>
      </c>
      <c r="L642" t="n">
        <v>233.37</v>
      </c>
      <c r="M642" t="n">
        <v>1461.61</v>
      </c>
      <c r="N642" t="inlineStr">
        <is>
          <t>RON</t>
        </is>
      </c>
      <c r="O642" t="inlineStr">
        <is>
          <t>Pitești</t>
        </is>
      </c>
      <c r="P642" s="12" t="n">
        <v>46200</v>
      </c>
      <c r="Q642">
        <f>IF(COUNTIF(tbl_Localitati[oras_oficial],[@oras])=0,"ORAS NEALINIAT",IF(XLOOKUP([@oras],tbl_Localitati[oras_oficial],tbl_Localitati[judet],"?")&lt;&gt;[@judet],"JUDET NECORESPUNZATOR",""))</f>
        <v/>
      </c>
      <c r="R642">
        <f>IF(XLOOKUP([@categorie],tbl_RegulriTVA[categorie],tbl_RegulriTVA[cota_legala],-1)&lt;&gt;[@cota_tva],"TVA GRESIT","")</f>
        <v/>
      </c>
      <c r="S642">
        <f>IF([@data_scadentei]&lt;[@data_factura],"SCADENTA INAINTEA FACTURII","")</f>
        <v/>
      </c>
      <c r="T642">
        <f>IF(NETWORKDAYS.INTL([@data_factura],[@data_factura],1,tbl_SarbatoriLegale[data])=0,"ZI NELUCRATOARE","")</f>
        <v/>
      </c>
      <c r="U642">
        <f>IF([@motiv_anomalie]="","OK","DE INVESTIGAT")</f>
        <v/>
      </c>
      <c r="V642">
        <f>TEXTJOIN("; ",TRUE,[@flag_oras],[@flag_tva],[@flag_scadenta],[@flag_zi])</f>
        <v/>
      </c>
    </row>
    <row r="643">
      <c r="A643" t="inlineStr">
        <is>
          <t>F-2025-00642</t>
        </is>
      </c>
      <c r="B643" s="12" t="n">
        <v>46310</v>
      </c>
      <c r="C643" t="inlineStr">
        <is>
          <t>SC ELECTROBUILD SRL</t>
        </is>
      </c>
      <c r="D643" t="inlineStr">
        <is>
          <t>Bacău</t>
        </is>
      </c>
      <c r="E643" t="inlineStr">
        <is>
          <t>PRD-005</t>
        </is>
      </c>
      <c r="F643" t="inlineStr">
        <is>
          <t>Pachet protocol sedinte</t>
        </is>
      </c>
      <c r="G643" t="inlineStr">
        <is>
          <t>Alimente</t>
        </is>
      </c>
      <c r="H643" t="n">
        <v>3</v>
      </c>
      <c r="I643" t="n">
        <v>243.36</v>
      </c>
      <c r="J643" t="n">
        <v>730.08</v>
      </c>
      <c r="K643" s="13" t="n">
        <v>0.09</v>
      </c>
      <c r="L643" t="n">
        <v>65.70999999999999</v>
      </c>
      <c r="M643" t="n">
        <v>795.79</v>
      </c>
      <c r="N643" t="inlineStr">
        <is>
          <t>RON</t>
        </is>
      </c>
      <c r="O643" t="inlineStr">
        <is>
          <t>Bacău</t>
        </is>
      </c>
      <c r="P643" s="12" t="n">
        <v>46370</v>
      </c>
      <c r="Q643">
        <f>IF(COUNTIF(tbl_Localitati[oras_oficial],[@oras])=0,"ORAS NEALINIAT",IF(XLOOKUP([@oras],tbl_Localitati[oras_oficial],tbl_Localitati[judet],"?")&lt;&gt;[@judet],"JUDET NECORESPUNZATOR",""))</f>
        <v/>
      </c>
      <c r="R643">
        <f>IF(XLOOKUP([@categorie],tbl_RegulriTVA[categorie],tbl_RegulriTVA[cota_legala],-1)&lt;&gt;[@cota_tva],"TVA GRESIT","")</f>
        <v/>
      </c>
      <c r="S643">
        <f>IF([@data_scadentei]&lt;[@data_factura],"SCADENTA INAINTEA FACTURII","")</f>
        <v/>
      </c>
      <c r="T643">
        <f>IF(NETWORKDAYS.INTL([@data_factura],[@data_factura],1,tbl_SarbatoriLegale[data])=0,"ZI NELUCRATOARE","")</f>
        <v/>
      </c>
      <c r="U643">
        <f>IF([@motiv_anomalie]="","OK","DE INVESTIGAT")</f>
        <v/>
      </c>
      <c r="V643">
        <f>TEXTJOIN("; ",TRUE,[@flag_oras],[@flag_tva],[@flag_scadenta],[@flag_zi])</f>
        <v/>
      </c>
    </row>
    <row r="644">
      <c r="A644" t="inlineStr">
        <is>
          <t>F-2025-00643</t>
        </is>
      </c>
      <c r="B644" s="12" t="n">
        <v>46206</v>
      </c>
      <c r="C644" t="inlineStr">
        <is>
          <t>SC SOLARIS ENERGY SRL</t>
        </is>
      </c>
      <c r="D644" t="inlineStr">
        <is>
          <t>Prahova</t>
        </is>
      </c>
      <c r="E644" t="inlineStr">
        <is>
          <t>PRD-010</t>
        </is>
      </c>
      <c r="F644" t="inlineStr">
        <is>
          <t>Apa plata bax</t>
        </is>
      </c>
      <c r="G644" t="inlineStr">
        <is>
          <t>Alimente</t>
        </is>
      </c>
      <c r="H644" t="n">
        <v>5</v>
      </c>
      <c r="I644" t="n">
        <v>363.37</v>
      </c>
      <c r="J644" t="n">
        <v>1816.85</v>
      </c>
      <c r="K644" s="13" t="n">
        <v>0.09</v>
      </c>
      <c r="L644" t="n">
        <v>163.52</v>
      </c>
      <c r="M644" t="n">
        <v>1980.37</v>
      </c>
      <c r="N644" t="inlineStr">
        <is>
          <t>RON</t>
        </is>
      </c>
      <c r="O644" t="inlineStr">
        <is>
          <t>Câmpina</t>
        </is>
      </c>
      <c r="P644" s="12" t="n">
        <v>46236</v>
      </c>
      <c r="Q644">
        <f>IF(COUNTIF(tbl_Localitati[oras_oficial],[@oras])=0,"ORAS NEALINIAT",IF(XLOOKUP([@oras],tbl_Localitati[oras_oficial],tbl_Localitati[judet],"?")&lt;&gt;[@judet],"JUDET NECORESPUNZATOR",""))</f>
        <v/>
      </c>
      <c r="R644">
        <f>IF(XLOOKUP([@categorie],tbl_RegulriTVA[categorie],tbl_RegulriTVA[cota_legala],-1)&lt;&gt;[@cota_tva],"TVA GRESIT","")</f>
        <v/>
      </c>
      <c r="S644">
        <f>IF([@data_scadentei]&lt;[@data_factura],"SCADENTA INAINTEA FACTURII","")</f>
        <v/>
      </c>
      <c r="T644">
        <f>IF(NETWORKDAYS.INTL([@data_factura],[@data_factura],1,tbl_SarbatoriLegale[data])=0,"ZI NELUCRATOARE","")</f>
        <v/>
      </c>
      <c r="U644">
        <f>IF([@motiv_anomalie]="","OK","DE INVESTIGAT")</f>
        <v/>
      </c>
      <c r="V644">
        <f>TEXTJOIN("; ",TRUE,[@flag_oras],[@flag_tva],[@flag_scadenta],[@flag_zi])</f>
        <v/>
      </c>
    </row>
    <row r="645">
      <c r="A645" t="inlineStr">
        <is>
          <t>F-2025-00644</t>
        </is>
      </c>
      <c r="B645" s="12" t="n">
        <v>46233</v>
      </c>
      <c r="C645" t="inlineStr">
        <is>
          <t>SC AROMET TRADING SRL</t>
        </is>
      </c>
      <c r="D645" t="inlineStr">
        <is>
          <t>Alba</t>
        </is>
      </c>
      <c r="E645" t="inlineStr">
        <is>
          <t>PRD-002</t>
        </is>
      </c>
      <c r="F645" t="inlineStr">
        <is>
          <t>Licenta antivirus enterprise</t>
        </is>
      </c>
      <c r="G645" t="inlineStr">
        <is>
          <t>Licențe software</t>
        </is>
      </c>
      <c r="H645" t="n">
        <v>2</v>
      </c>
      <c r="I645" t="n">
        <v>1107.24</v>
      </c>
      <c r="J645" t="n">
        <v>2214.48</v>
      </c>
      <c r="K645" s="13" t="n">
        <v>0.19</v>
      </c>
      <c r="L645" t="n">
        <v>420.75</v>
      </c>
      <c r="M645" t="n">
        <v>2635.23</v>
      </c>
      <c r="N645" t="inlineStr">
        <is>
          <t>RON</t>
        </is>
      </c>
      <c r="O645" t="inlineStr">
        <is>
          <t>Alba Iulia</t>
        </is>
      </c>
      <c r="P645" s="12" t="n">
        <v>46263</v>
      </c>
      <c r="Q645">
        <f>IF(COUNTIF(tbl_Localitati[oras_oficial],[@oras])=0,"ORAS NEALINIAT",IF(XLOOKUP([@oras],tbl_Localitati[oras_oficial],tbl_Localitati[judet],"?")&lt;&gt;[@judet],"JUDET NECORESPUNZATOR",""))</f>
        <v/>
      </c>
      <c r="R645">
        <f>IF(XLOOKUP([@categorie],tbl_RegulriTVA[categorie],tbl_RegulriTVA[cota_legala],-1)&lt;&gt;[@cota_tva],"TVA GRESIT","")</f>
        <v/>
      </c>
      <c r="S645">
        <f>IF([@data_scadentei]&lt;[@data_factura],"SCADENTA INAINTEA FACTURII","")</f>
        <v/>
      </c>
      <c r="T645">
        <f>IF(NETWORKDAYS.INTL([@data_factura],[@data_factura],1,tbl_SarbatoriLegale[data])=0,"ZI NELUCRATOARE","")</f>
        <v/>
      </c>
      <c r="U645">
        <f>IF([@motiv_anomalie]="","OK","DE INVESTIGAT")</f>
        <v/>
      </c>
      <c r="V645">
        <f>TEXTJOIN("; ",TRUE,[@flag_oras],[@flag_tva],[@flag_scadenta],[@flag_zi])</f>
        <v/>
      </c>
    </row>
    <row r="646">
      <c r="A646" t="inlineStr">
        <is>
          <t>F-2025-00645</t>
        </is>
      </c>
      <c r="B646" s="12" t="n">
        <v>46310</v>
      </c>
      <c r="C646" t="inlineStr">
        <is>
          <t>SC PROVITA MEDICAL SRL</t>
        </is>
      </c>
      <c r="D646" t="inlineStr">
        <is>
          <t>Mureș</t>
        </is>
      </c>
      <c r="E646" t="inlineStr">
        <is>
          <t>PRD-002</t>
        </is>
      </c>
      <c r="F646" t="inlineStr">
        <is>
          <t>Licenta antivirus enterprise</t>
        </is>
      </c>
      <c r="G646" t="inlineStr">
        <is>
          <t>Licențe software</t>
        </is>
      </c>
      <c r="H646" t="n">
        <v>1</v>
      </c>
      <c r="I646" t="n">
        <v>1084.84</v>
      </c>
      <c r="J646" t="n">
        <v>1084.84</v>
      </c>
      <c r="K646" s="13" t="n">
        <v>0.19</v>
      </c>
      <c r="L646" t="n">
        <v>206.12</v>
      </c>
      <c r="M646" t="n">
        <v>1290.96</v>
      </c>
      <c r="N646" t="inlineStr">
        <is>
          <t>RON</t>
        </is>
      </c>
      <c r="O646" t="inlineStr">
        <is>
          <t>Târgu Mureș</t>
        </is>
      </c>
      <c r="P646" s="12" t="n">
        <v>46340</v>
      </c>
      <c r="Q646">
        <f>IF(COUNTIF(tbl_Localitati[oras_oficial],[@oras])=0,"ORAS NEALINIAT",IF(XLOOKUP([@oras],tbl_Localitati[oras_oficial],tbl_Localitati[judet],"?")&lt;&gt;[@judet],"JUDET NECORESPUNZATOR",""))</f>
        <v/>
      </c>
      <c r="R646">
        <f>IF(XLOOKUP([@categorie],tbl_RegulriTVA[categorie],tbl_RegulriTVA[cota_legala],-1)&lt;&gt;[@cota_tva],"TVA GRESIT","")</f>
        <v/>
      </c>
      <c r="S646">
        <f>IF([@data_scadentei]&lt;[@data_factura],"SCADENTA INAINTEA FACTURII","")</f>
        <v/>
      </c>
      <c r="T646">
        <f>IF(NETWORKDAYS.INTL([@data_factura],[@data_factura],1,tbl_SarbatoriLegale[data])=0,"ZI NELUCRATOARE","")</f>
        <v/>
      </c>
      <c r="U646">
        <f>IF([@motiv_anomalie]="","OK","DE INVESTIGAT")</f>
        <v/>
      </c>
      <c r="V646">
        <f>TEXTJOIN("; ",TRUE,[@flag_oras],[@flag_tva],[@flag_scadenta],[@flag_zi])</f>
        <v/>
      </c>
    </row>
    <row r="647">
      <c r="A647" t="inlineStr">
        <is>
          <t>F-2025-00646</t>
        </is>
      </c>
      <c r="B647" s="12" t="n">
        <v>46287</v>
      </c>
      <c r="C647" t="inlineStr">
        <is>
          <t>SC PROVITA MEDICAL SRL</t>
        </is>
      </c>
      <c r="D647" t="inlineStr">
        <is>
          <t>Mureș</t>
        </is>
      </c>
      <c r="E647" t="inlineStr">
        <is>
          <t>PRD-010</t>
        </is>
      </c>
      <c r="F647" t="inlineStr">
        <is>
          <t>Masti protectie cutie</t>
        </is>
      </c>
      <c r="G647" t="inlineStr">
        <is>
          <t>Produse farmaceutice</t>
        </is>
      </c>
      <c r="H647" t="n">
        <v>20</v>
      </c>
      <c r="I647" t="n">
        <v>338.71</v>
      </c>
      <c r="J647" t="n">
        <v>6774.2</v>
      </c>
      <c r="K647" s="13" t="n">
        <v>0.09</v>
      </c>
      <c r="L647" t="n">
        <v>609.6799999999999</v>
      </c>
      <c r="M647" t="n">
        <v>7383.88</v>
      </c>
      <c r="N647" t="inlineStr">
        <is>
          <t>RON</t>
        </is>
      </c>
      <c r="O647" t="inlineStr">
        <is>
          <t>Târgu Mureș</t>
        </is>
      </c>
      <c r="P647" s="12" t="n">
        <v>46317</v>
      </c>
      <c r="Q647">
        <f>IF(COUNTIF(tbl_Localitati[oras_oficial],[@oras])=0,"ORAS NEALINIAT",IF(XLOOKUP([@oras],tbl_Localitati[oras_oficial],tbl_Localitati[judet],"?")&lt;&gt;[@judet],"JUDET NECORESPUNZATOR",""))</f>
        <v/>
      </c>
      <c r="R647">
        <f>IF(XLOOKUP([@categorie],tbl_RegulriTVA[categorie],tbl_RegulriTVA[cota_legala],-1)&lt;&gt;[@cota_tva],"TVA GRESIT","")</f>
        <v/>
      </c>
      <c r="S647">
        <f>IF([@data_scadentei]&lt;[@data_factura],"SCADENTA INAINTEA FACTURII","")</f>
        <v/>
      </c>
      <c r="T647">
        <f>IF(NETWORKDAYS.INTL([@data_factura],[@data_factura],1,tbl_SarbatoriLegale[data])=0,"ZI NELUCRATOARE","")</f>
        <v/>
      </c>
      <c r="U647">
        <f>IF([@motiv_anomalie]="","OK","DE INVESTIGAT")</f>
        <v/>
      </c>
      <c r="V647">
        <f>TEXTJOIN("; ",TRUE,[@flag_oras],[@flag_tva],[@flag_scadenta],[@flag_zi])</f>
        <v/>
      </c>
    </row>
    <row r="648">
      <c r="A648" t="inlineStr">
        <is>
          <t>F-2025-00647</t>
        </is>
      </c>
      <c r="B648" s="12" t="n">
        <v>46157</v>
      </c>
      <c r="C648" t="inlineStr">
        <is>
          <t>SC INTEGROMED SA</t>
        </is>
      </c>
      <c r="D648" t="inlineStr">
        <is>
          <t>Cluj</t>
        </is>
      </c>
      <c r="E648" t="inlineStr">
        <is>
          <t>PRD-004</t>
        </is>
      </c>
      <c r="F648" t="inlineStr">
        <is>
          <t>Videoproiector sala</t>
        </is>
      </c>
      <c r="G648" t="inlineStr">
        <is>
          <t>Echipamente birou</t>
        </is>
      </c>
      <c r="H648" t="n">
        <v>2</v>
      </c>
      <c r="I648" t="n">
        <v>917.74</v>
      </c>
      <c r="J648" t="n">
        <v>1835.48</v>
      </c>
      <c r="K648" s="13" t="n">
        <v>0.19</v>
      </c>
      <c r="L648" t="n">
        <v>348.74</v>
      </c>
      <c r="M648" t="n">
        <v>2184.22</v>
      </c>
      <c r="N648" t="inlineStr">
        <is>
          <t>RON</t>
        </is>
      </c>
      <c r="O648" t="inlineStr">
        <is>
          <t>Cluj-Napoca</t>
        </is>
      </c>
      <c r="P648" s="12" t="n">
        <v>46202</v>
      </c>
      <c r="Q648">
        <f>IF(COUNTIF(tbl_Localitati[oras_oficial],[@oras])=0,"ORAS NEALINIAT",IF(XLOOKUP([@oras],tbl_Localitati[oras_oficial],tbl_Localitati[judet],"?")&lt;&gt;[@judet],"JUDET NECORESPUNZATOR",""))</f>
        <v/>
      </c>
      <c r="R648">
        <f>IF(XLOOKUP([@categorie],tbl_RegulriTVA[categorie],tbl_RegulriTVA[cota_legala],-1)&lt;&gt;[@cota_tva],"TVA GRESIT","")</f>
        <v/>
      </c>
      <c r="S648">
        <f>IF([@data_scadentei]&lt;[@data_factura],"SCADENTA INAINTEA FACTURII","")</f>
        <v/>
      </c>
      <c r="T648">
        <f>IF(NETWORKDAYS.INTL([@data_factura],[@data_factura],1,tbl_SarbatoriLegale[data])=0,"ZI NELUCRATOARE","")</f>
        <v/>
      </c>
      <c r="U648">
        <f>IF([@motiv_anomalie]="","OK","DE INVESTIGAT")</f>
        <v/>
      </c>
      <c r="V648">
        <f>TEXTJOIN("; ",TRUE,[@flag_oras],[@flag_tva],[@flag_scadenta],[@flag_zi])</f>
        <v/>
      </c>
    </row>
    <row r="649">
      <c r="A649" t="inlineStr">
        <is>
          <t>F-2025-00648</t>
        </is>
      </c>
      <c r="B649" s="12" t="n">
        <v>46072</v>
      </c>
      <c r="C649" t="inlineStr">
        <is>
          <t>SC DACTECH SOLUTIONS SRL</t>
        </is>
      </c>
      <c r="D649" t="inlineStr">
        <is>
          <t>Argeș</t>
        </is>
      </c>
      <c r="E649" t="inlineStr">
        <is>
          <t>PRD-011</t>
        </is>
      </c>
      <c r="F649" t="inlineStr">
        <is>
          <t>Abonament suita cloud</t>
        </is>
      </c>
      <c r="G649" t="inlineStr">
        <is>
          <t>Licențe software</t>
        </is>
      </c>
      <c r="H649" t="n">
        <v>5</v>
      </c>
      <c r="I649" t="n">
        <v>46.23</v>
      </c>
      <c r="J649" t="n">
        <v>231.15</v>
      </c>
      <c r="K649" s="13" t="n">
        <v>0.19</v>
      </c>
      <c r="L649" t="n">
        <v>43.92</v>
      </c>
      <c r="M649" t="n">
        <v>275.07</v>
      </c>
      <c r="N649" t="inlineStr">
        <is>
          <t>RON</t>
        </is>
      </c>
      <c r="O649" t="inlineStr">
        <is>
          <t>Pitești</t>
        </is>
      </c>
      <c r="P649" s="12" t="n">
        <v>46117</v>
      </c>
      <c r="Q649">
        <f>IF(COUNTIF(tbl_Localitati[oras_oficial],[@oras])=0,"ORAS NEALINIAT",IF(XLOOKUP([@oras],tbl_Localitati[oras_oficial],tbl_Localitati[judet],"?")&lt;&gt;[@judet],"JUDET NECORESPUNZATOR",""))</f>
        <v/>
      </c>
      <c r="R649">
        <f>IF(XLOOKUP([@categorie],tbl_RegulriTVA[categorie],tbl_RegulriTVA[cota_legala],-1)&lt;&gt;[@cota_tva],"TVA GRESIT","")</f>
        <v/>
      </c>
      <c r="S649">
        <f>IF([@data_scadentei]&lt;[@data_factura],"SCADENTA INAINTEA FACTURII","")</f>
        <v/>
      </c>
      <c r="T649">
        <f>IF(NETWORKDAYS.INTL([@data_factura],[@data_factura],1,tbl_SarbatoriLegale[data])=0,"ZI NELUCRATOARE","")</f>
        <v/>
      </c>
      <c r="U649">
        <f>IF([@motiv_anomalie]="","OK","DE INVESTIGAT")</f>
        <v/>
      </c>
      <c r="V649">
        <f>TEXTJOIN("; ",TRUE,[@flag_oras],[@flag_tva],[@flag_scadenta],[@flag_zi])</f>
        <v/>
      </c>
    </row>
    <row r="650">
      <c r="A650" t="inlineStr">
        <is>
          <t>F-2025-00649</t>
        </is>
      </c>
      <c r="B650" s="12" t="n">
        <v>46328</v>
      </c>
      <c r="C650" t="inlineStr">
        <is>
          <t>SC PROVITA MEDICAL SRL</t>
        </is>
      </c>
      <c r="D650" t="inlineStr">
        <is>
          <t>Mureș</t>
        </is>
      </c>
      <c r="E650" t="inlineStr">
        <is>
          <t>PRD-007</t>
        </is>
      </c>
      <c r="F650" t="inlineStr">
        <is>
          <t>Tocator documente</t>
        </is>
      </c>
      <c r="G650" t="inlineStr">
        <is>
          <t>Echipamente birou</t>
        </is>
      </c>
      <c r="H650" t="n">
        <v>10</v>
      </c>
      <c r="I650" t="n">
        <v>177.48</v>
      </c>
      <c r="J650" t="n">
        <v>1774.8</v>
      </c>
      <c r="K650" s="13" t="n">
        <v>0.19</v>
      </c>
      <c r="L650" t="n">
        <v>337.21</v>
      </c>
      <c r="M650" t="n">
        <v>2112.01</v>
      </c>
      <c r="N650" t="inlineStr">
        <is>
          <t>EUR</t>
        </is>
      </c>
      <c r="O650" t="inlineStr">
        <is>
          <t>Târgu Mureș</t>
        </is>
      </c>
      <c r="P650" s="12" t="n">
        <v>46358</v>
      </c>
      <c r="Q650">
        <f>IF(COUNTIF(tbl_Localitati[oras_oficial],[@oras])=0,"ORAS NEALINIAT",IF(XLOOKUP([@oras],tbl_Localitati[oras_oficial],tbl_Localitati[judet],"?")&lt;&gt;[@judet],"JUDET NECORESPUNZATOR",""))</f>
        <v/>
      </c>
      <c r="R650">
        <f>IF(XLOOKUP([@categorie],tbl_RegulriTVA[categorie],tbl_RegulriTVA[cota_legala],-1)&lt;&gt;[@cota_tva],"TVA GRESIT","")</f>
        <v/>
      </c>
      <c r="S650">
        <f>IF([@data_scadentei]&lt;[@data_factura],"SCADENTA INAINTEA FACTURII","")</f>
        <v/>
      </c>
      <c r="T650">
        <f>IF(NETWORKDAYS.INTL([@data_factura],[@data_factura],1,tbl_SarbatoriLegale[data])=0,"ZI NELUCRATOARE","")</f>
        <v/>
      </c>
      <c r="U650">
        <f>IF([@motiv_anomalie]="","OK","DE INVESTIGAT")</f>
        <v/>
      </c>
      <c r="V650">
        <f>TEXTJOIN("; ",TRUE,[@flag_oras],[@flag_tva],[@flag_scadenta],[@flag_zi])</f>
        <v/>
      </c>
    </row>
    <row r="651">
      <c r="A651" t="inlineStr">
        <is>
          <t>F-2025-00650</t>
        </is>
      </c>
      <c r="B651" s="12" t="n">
        <v>46043</v>
      </c>
      <c r="C651" t="inlineStr">
        <is>
          <t>SC ELECTROBUILD SRL</t>
        </is>
      </c>
      <c r="D651" t="inlineStr">
        <is>
          <t>Bacău</t>
        </is>
      </c>
      <c r="E651" t="inlineStr">
        <is>
          <t>PRD-010</t>
        </is>
      </c>
      <c r="F651" t="inlineStr">
        <is>
          <t>Licenta Office 365 anuala</t>
        </is>
      </c>
      <c r="G651" t="inlineStr">
        <is>
          <t>Licențe software</t>
        </is>
      </c>
      <c r="H651" t="n">
        <v>50</v>
      </c>
      <c r="I651" t="n">
        <v>352.62</v>
      </c>
      <c r="J651" t="n">
        <v>17631</v>
      </c>
      <c r="K651" s="13" t="n">
        <v>0.19</v>
      </c>
      <c r="L651" t="n">
        <v>3349.89</v>
      </c>
      <c r="M651" t="n">
        <v>20980.89</v>
      </c>
      <c r="N651" t="inlineStr">
        <is>
          <t>EUR</t>
        </is>
      </c>
      <c r="O651" t="inlineStr">
        <is>
          <t>Bacău</t>
        </is>
      </c>
      <c r="P651" s="12" t="n">
        <v>46073</v>
      </c>
      <c r="Q651">
        <f>IF(COUNTIF(tbl_Localitati[oras_oficial],[@oras])=0,"ORAS NEALINIAT",IF(XLOOKUP([@oras],tbl_Localitati[oras_oficial],tbl_Localitati[judet],"?")&lt;&gt;[@judet],"JUDET NECORESPUNZATOR",""))</f>
        <v/>
      </c>
      <c r="R651">
        <f>IF(XLOOKUP([@categorie],tbl_RegulriTVA[categorie],tbl_RegulriTVA[cota_legala],-1)&lt;&gt;[@cota_tva],"TVA GRESIT","")</f>
        <v/>
      </c>
      <c r="S651">
        <f>IF([@data_scadentei]&lt;[@data_factura],"SCADENTA INAINTEA FACTURII","")</f>
        <v/>
      </c>
      <c r="T651">
        <f>IF(NETWORKDAYS.INTL([@data_factura],[@data_factura],1,tbl_SarbatoriLegale[data])=0,"ZI NELUCRATOARE","")</f>
        <v/>
      </c>
      <c r="U651">
        <f>IF([@motiv_anomalie]="","OK","DE INVESTIGAT")</f>
        <v/>
      </c>
      <c r="V651">
        <f>TEXTJOIN("; ",TRUE,[@flag_oras],[@flag_tva],[@flag_scadenta],[@flag_zi])</f>
        <v/>
      </c>
    </row>
    <row r="652">
      <c r="A652" t="inlineStr">
        <is>
          <t>F-2025-00651</t>
        </is>
      </c>
      <c r="B652" s="12" t="n">
        <v>46367</v>
      </c>
      <c r="C652" t="inlineStr">
        <is>
          <t>SC AROMET TRADING SRL</t>
        </is>
      </c>
      <c r="D652" t="inlineStr">
        <is>
          <t>Alba</t>
        </is>
      </c>
      <c r="E652" t="inlineStr">
        <is>
          <t>PRD-006</t>
        </is>
      </c>
      <c r="F652" t="inlineStr">
        <is>
          <t>Licenta ERP contabilitate</t>
        </is>
      </c>
      <c r="G652" t="inlineStr">
        <is>
          <t>Licențe software</t>
        </is>
      </c>
      <c r="H652" t="n">
        <v>1</v>
      </c>
      <c r="I652" t="n">
        <v>750.1799999999999</v>
      </c>
      <c r="J652" t="n">
        <v>750.1799999999999</v>
      </c>
      <c r="K652" s="13" t="n">
        <v>0.19</v>
      </c>
      <c r="L652" t="n">
        <v>142.53</v>
      </c>
      <c r="M652" t="n">
        <v>892.71</v>
      </c>
      <c r="N652" t="inlineStr">
        <is>
          <t>RON</t>
        </is>
      </c>
      <c r="O652" t="inlineStr">
        <is>
          <t>Alba Iulia</t>
        </is>
      </c>
      <c r="P652" s="12" t="n">
        <v>46397</v>
      </c>
      <c r="Q652">
        <f>IF(COUNTIF(tbl_Localitati[oras_oficial],[@oras])=0,"ORAS NEALINIAT",IF(XLOOKUP([@oras],tbl_Localitati[oras_oficial],tbl_Localitati[judet],"?")&lt;&gt;[@judet],"JUDET NECORESPUNZATOR",""))</f>
        <v/>
      </c>
      <c r="R652">
        <f>IF(XLOOKUP([@categorie],tbl_RegulriTVA[categorie],tbl_RegulriTVA[cota_legala],-1)&lt;&gt;[@cota_tva],"TVA GRESIT","")</f>
        <v/>
      </c>
      <c r="S652">
        <f>IF([@data_scadentei]&lt;[@data_factura],"SCADENTA INAINTEA FACTURII","")</f>
        <v/>
      </c>
      <c r="T652">
        <f>IF(NETWORKDAYS.INTL([@data_factura],[@data_factura],1,tbl_SarbatoriLegale[data])=0,"ZI NELUCRATOARE","")</f>
        <v/>
      </c>
      <c r="U652">
        <f>IF([@motiv_anomalie]="","OK","DE INVESTIGAT")</f>
        <v/>
      </c>
      <c r="V652">
        <f>TEXTJOIN("; ",TRUE,[@flag_oras],[@flag_tva],[@flag_scadenta],[@flag_zi])</f>
        <v/>
      </c>
    </row>
    <row r="653">
      <c r="A653" t="inlineStr">
        <is>
          <t>F-2025-00652</t>
        </is>
      </c>
      <c r="B653" s="12" t="n">
        <v>46205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Carte tehnica IT</t>
        </is>
      </c>
      <c r="G653" t="inlineStr">
        <is>
          <t>Cărți și manuale</t>
        </is>
      </c>
      <c r="H653" t="n">
        <v>1</v>
      </c>
      <c r="I653" t="n">
        <v>183.04</v>
      </c>
      <c r="J653" t="n">
        <v>183.04</v>
      </c>
      <c r="K653" s="13" t="n">
        <v>0.05</v>
      </c>
      <c r="L653" t="n">
        <v>9.15</v>
      </c>
      <c r="M653" t="n">
        <v>192.19</v>
      </c>
      <c r="N653" t="inlineStr">
        <is>
          <t>RON</t>
        </is>
      </c>
      <c r="O653" t="inlineStr">
        <is>
          <t>Sibiu</t>
        </is>
      </c>
      <c r="P653" s="12" t="n">
        <v>46235</v>
      </c>
      <c r="Q653">
        <f>IF(COUNTIF(tbl_Localitati[oras_oficial],[@oras])=0,"ORAS NEALINIAT",IF(XLOOKUP([@oras],tbl_Localitati[oras_oficial],tbl_Localitati[judet],"?")&lt;&gt;[@judet],"JUDET NECORESPUNZATOR",""))</f>
        <v/>
      </c>
      <c r="R653">
        <f>IF(XLOOKUP([@categorie],tbl_RegulriTVA[categorie],tbl_RegulriTVA[cota_legala],-1)&lt;&gt;[@cota_tva],"TVA GRESIT","")</f>
        <v/>
      </c>
      <c r="S653">
        <f>IF([@data_scadentei]&lt;[@data_factura],"SCADENTA INAINTEA FACTURII","")</f>
        <v/>
      </c>
      <c r="T653">
        <f>IF(NETWORKDAYS.INTL([@data_factura],[@data_factura],1,tbl_SarbatoriLegale[data])=0,"ZI NELUCRATOARE","")</f>
        <v/>
      </c>
      <c r="U653">
        <f>IF([@motiv_anomalie]="","OK","DE INVESTIGAT")</f>
        <v/>
      </c>
      <c r="V653">
        <f>TEXTJOIN("; ",TRUE,[@flag_oras],[@flag_tva],[@flag_scadenta],[@flag_zi])</f>
        <v/>
      </c>
    </row>
    <row r="654">
      <c r="A654" t="inlineStr">
        <is>
          <t>F-2025-00653</t>
        </is>
      </c>
      <c r="B654" s="12" t="n">
        <v>46128</v>
      </c>
      <c r="C654" t="inlineStr">
        <is>
          <t>SC DACTECH SOLUTIONS SRL</t>
        </is>
      </c>
      <c r="D654" t="inlineStr">
        <is>
          <t>Argeș</t>
        </is>
      </c>
      <c r="E654" t="inlineStr">
        <is>
          <t>PRD-007</t>
        </is>
      </c>
      <c r="F654" t="inlineStr">
        <is>
          <t>Suport tehnic anual</t>
        </is>
      </c>
      <c r="G654" t="inlineStr">
        <is>
          <t>Servicii consultanță</t>
        </is>
      </c>
      <c r="H654" t="n">
        <v>1</v>
      </c>
      <c r="I654" t="n">
        <v>186.97</v>
      </c>
      <c r="J654" t="n">
        <v>186.97</v>
      </c>
      <c r="K654" s="13" t="n">
        <v>0.19</v>
      </c>
      <c r="L654" t="n">
        <v>35.52</v>
      </c>
      <c r="M654" t="n">
        <v>222.49</v>
      </c>
      <c r="N654" t="inlineStr">
        <is>
          <t>RON</t>
        </is>
      </c>
      <c r="O654" t="inlineStr">
        <is>
          <t>Pitești</t>
        </is>
      </c>
      <c r="P654" s="12" t="n">
        <v>46173</v>
      </c>
      <c r="Q654">
        <f>IF(COUNTIF(tbl_Localitati[oras_oficial],[@oras])=0,"ORAS NEALINIAT",IF(XLOOKUP([@oras],tbl_Localitati[oras_oficial],tbl_Localitati[judet],"?")&lt;&gt;[@judet],"JUDET NECORESPUNZATOR",""))</f>
        <v/>
      </c>
      <c r="R654">
        <f>IF(XLOOKUP([@categorie],tbl_RegulriTVA[categorie],tbl_RegulriTVA[cota_legala],-1)&lt;&gt;[@cota_tva],"TVA GRESIT","")</f>
        <v/>
      </c>
      <c r="S654">
        <f>IF([@data_scadentei]&lt;[@data_factura],"SCADENTA INAINTEA FACTURII","")</f>
        <v/>
      </c>
      <c r="T654">
        <f>IF(NETWORKDAYS.INTL([@data_factura],[@data_factura],1,tbl_SarbatoriLegale[data])=0,"ZI NELUCRATOARE","")</f>
        <v/>
      </c>
      <c r="U654">
        <f>IF([@motiv_anomalie]="","OK","DE INVESTIGAT")</f>
        <v/>
      </c>
      <c r="V654">
        <f>TEXTJOIN("; ",TRUE,[@flag_oras],[@flag_tva],[@flag_scadenta],[@flag_zi])</f>
        <v/>
      </c>
    </row>
    <row r="655">
      <c r="A655" t="inlineStr">
        <is>
          <t>F-2025-00654</t>
        </is>
      </c>
      <c r="B655" s="12" t="n">
        <v>46066</v>
      </c>
      <c r="C655" t="inlineStr">
        <is>
          <t>SC NORDIS DISTRIBUTIE SRL</t>
        </is>
      </c>
      <c r="D655" t="inlineStr">
        <is>
          <t>Constanța</t>
        </is>
      </c>
      <c r="E655" t="inlineStr">
        <is>
          <t>PRD-006</t>
        </is>
      </c>
      <c r="F655" t="inlineStr">
        <is>
          <t>Switch gigabit 24p</t>
        </is>
      </c>
      <c r="G655" t="inlineStr">
        <is>
          <t>Hardware IT</t>
        </is>
      </c>
      <c r="H655" t="n">
        <v>1</v>
      </c>
      <c r="I655" t="n">
        <v>717.55</v>
      </c>
      <c r="J655" t="n">
        <v>717.55</v>
      </c>
      <c r="K655" s="13" t="n">
        <v>0.19</v>
      </c>
      <c r="L655" t="n">
        <v>136.33</v>
      </c>
      <c r="M655" t="n">
        <v>853.88</v>
      </c>
      <c r="N655" t="inlineStr">
        <is>
          <t>RON</t>
        </is>
      </c>
      <c r="O655" t="inlineStr">
        <is>
          <t>Mangalia</t>
        </is>
      </c>
      <c r="P655" s="12" t="n">
        <v>46111</v>
      </c>
      <c r="Q655">
        <f>IF(COUNTIF(tbl_Localitati[oras_oficial],[@oras])=0,"ORAS NEALINIAT",IF(XLOOKUP([@oras],tbl_Localitati[oras_oficial],tbl_Localitati[judet],"?")&lt;&gt;[@judet],"JUDET NECORESPUNZATOR",""))</f>
        <v/>
      </c>
      <c r="R655">
        <f>IF(XLOOKUP([@categorie],tbl_RegulriTVA[categorie],tbl_RegulriTVA[cota_legala],-1)&lt;&gt;[@cota_tva],"TVA GRESIT","")</f>
        <v/>
      </c>
      <c r="S655">
        <f>IF([@data_scadentei]&lt;[@data_factura],"SCADENTA INAINTEA FACTURII","")</f>
        <v/>
      </c>
      <c r="T655">
        <f>IF(NETWORKDAYS.INTL([@data_factura],[@data_factura],1,tbl_SarbatoriLegale[data])=0,"ZI NELUCRATOARE","")</f>
        <v/>
      </c>
      <c r="U655">
        <f>IF([@motiv_anomalie]="","OK","DE INVESTIGAT")</f>
        <v/>
      </c>
      <c r="V655">
        <f>TEXTJOIN("; ",TRUE,[@flag_oras],[@flag_tva],[@flag_scadenta],[@flag_zi])</f>
        <v/>
      </c>
    </row>
    <row r="656">
      <c r="A656" t="inlineStr">
        <is>
          <t>F-2025-00655</t>
        </is>
      </c>
      <c r="B656" s="12" t="n">
        <v>46115</v>
      </c>
      <c r="C656" t="inlineStr">
        <is>
          <t>SC METALPLAST INVEST SA</t>
        </is>
      </c>
      <c r="D656" t="inlineStr">
        <is>
          <t>Cluj</t>
        </is>
      </c>
      <c r="E656" t="inlineStr">
        <is>
          <t>PRD-003</t>
        </is>
      </c>
      <c r="F656" t="inlineStr">
        <is>
          <t>Licenta antivirus enterprise</t>
        </is>
      </c>
      <c r="G656" t="inlineStr">
        <is>
          <t>Licențe software</t>
        </is>
      </c>
      <c r="H656" t="n">
        <v>1</v>
      </c>
      <c r="I656" t="n">
        <v>4134.63</v>
      </c>
      <c r="J656" t="n">
        <v>4134.63</v>
      </c>
      <c r="K656" s="13" t="n">
        <v>0.19</v>
      </c>
      <c r="L656" t="n">
        <v>785.58</v>
      </c>
      <c r="M656" t="n">
        <v>4920.21</v>
      </c>
      <c r="N656" t="inlineStr">
        <is>
          <t>RON</t>
        </is>
      </c>
      <c r="O656" t="inlineStr">
        <is>
          <t>Turda</t>
        </is>
      </c>
      <c r="P656" s="12" t="n">
        <v>46130</v>
      </c>
      <c r="Q656">
        <f>IF(COUNTIF(tbl_Localitati[oras_oficial],[@oras])=0,"ORAS NEALINIAT",IF(XLOOKUP([@oras],tbl_Localitati[oras_oficial],tbl_Localitati[judet],"?")&lt;&gt;[@judet],"JUDET NECORESPUNZATOR",""))</f>
        <v/>
      </c>
      <c r="R656">
        <f>IF(XLOOKUP([@categorie],tbl_RegulriTVA[categorie],tbl_RegulriTVA[cota_legala],-1)&lt;&gt;[@cota_tva],"TVA GRESIT","")</f>
        <v/>
      </c>
      <c r="S656">
        <f>IF([@data_scadentei]&lt;[@data_factura],"SCADENTA INAINTEA FACTURII","")</f>
        <v/>
      </c>
      <c r="T656">
        <f>IF(NETWORKDAYS.INTL([@data_factura],[@data_factura],1,tbl_SarbatoriLegale[data])=0,"ZI NELUCRATOARE","")</f>
        <v/>
      </c>
      <c r="U656">
        <f>IF([@motiv_anomalie]="","OK","DE INVESTIGAT")</f>
        <v/>
      </c>
      <c r="V656">
        <f>TEXTJOIN("; ",TRUE,[@flag_oras],[@flag_tva],[@flag_scadenta],[@flag_zi])</f>
        <v/>
      </c>
    </row>
    <row r="657">
      <c r="A657" t="inlineStr">
        <is>
          <t>F-2025-00656</t>
        </is>
      </c>
      <c r="B657" s="12" t="n">
        <v>46112</v>
      </c>
      <c r="C657" t="inlineStr">
        <is>
          <t>SC AROMET TRADING SRL</t>
        </is>
      </c>
      <c r="D657" t="inlineStr">
        <is>
          <t>Alba</t>
        </is>
      </c>
      <c r="E657" t="inlineStr">
        <is>
          <t>PRD-009</t>
        </is>
      </c>
      <c r="F657" t="inlineStr">
        <is>
          <t>Cafea boabe 1kg</t>
        </is>
      </c>
      <c r="G657" t="inlineStr">
        <is>
          <t>Alimente</t>
        </is>
      </c>
      <c r="H657" t="n">
        <v>10</v>
      </c>
      <c r="I657" t="n">
        <v>28.48</v>
      </c>
      <c r="J657" t="n">
        <v>284.8</v>
      </c>
      <c r="K657" s="13" t="n">
        <v>0.09</v>
      </c>
      <c r="L657" t="n">
        <v>25.63</v>
      </c>
      <c r="M657" t="n">
        <v>310.43</v>
      </c>
      <c r="N657" t="inlineStr">
        <is>
          <t>RON</t>
        </is>
      </c>
      <c r="O657" t="inlineStr">
        <is>
          <t>Alba Iulia</t>
        </is>
      </c>
      <c r="P657" s="12" t="n">
        <v>46127</v>
      </c>
      <c r="Q657">
        <f>IF(COUNTIF(tbl_Localitati[oras_oficial],[@oras])=0,"ORAS NEALINIAT",IF(XLOOKUP([@oras],tbl_Localitati[oras_oficial],tbl_Localitati[judet],"?")&lt;&gt;[@judet],"JUDET NECORESPUNZATOR",""))</f>
        <v/>
      </c>
      <c r="R657">
        <f>IF(XLOOKUP([@categorie],tbl_RegulriTVA[categorie],tbl_RegulriTVA[cota_legala],-1)&lt;&gt;[@cota_tva],"TVA GRESIT","")</f>
        <v/>
      </c>
      <c r="S657">
        <f>IF([@data_scadentei]&lt;[@data_factura],"SCADENTA INAINTEA FACTURII","")</f>
        <v/>
      </c>
      <c r="T657">
        <f>IF(NETWORKDAYS.INTL([@data_factura],[@data_factura],1,tbl_SarbatoriLegale[data])=0,"ZI NELUCRATOARE","")</f>
        <v/>
      </c>
      <c r="U657">
        <f>IF([@motiv_anomalie]="","OK","DE INVESTIGAT")</f>
        <v/>
      </c>
      <c r="V657">
        <f>TEXTJOIN("; ",TRUE,[@flag_oras],[@flag_tva],[@flag_scadenta],[@flag_zi])</f>
        <v/>
      </c>
    </row>
    <row r="658">
      <c r="A658" t="inlineStr">
        <is>
          <t>F-2025-00657</t>
        </is>
      </c>
      <c r="B658" s="12" t="n">
        <v>46150</v>
      </c>
      <c r="C658" t="inlineStr">
        <is>
          <t>SC NORDIS DISTRIBUTIE SRL</t>
        </is>
      </c>
      <c r="D658" t="inlineStr">
        <is>
          <t>Constanța</t>
        </is>
      </c>
      <c r="E658" t="inlineStr">
        <is>
          <t>PRD-011</t>
        </is>
      </c>
      <c r="F658" t="inlineStr">
        <is>
          <t>Telefon IP birou</t>
        </is>
      </c>
      <c r="G658" t="inlineStr">
        <is>
          <t>Echipamente birou</t>
        </is>
      </c>
      <c r="H658" t="n">
        <v>20</v>
      </c>
      <c r="I658" t="n">
        <v>43.55</v>
      </c>
      <c r="J658" t="n">
        <v>871</v>
      </c>
      <c r="K658" s="13" t="n">
        <v>0.19</v>
      </c>
      <c r="L658" t="n">
        <v>165.49</v>
      </c>
      <c r="M658" t="n">
        <v>1036.49</v>
      </c>
      <c r="N658" t="inlineStr">
        <is>
          <t>RON</t>
        </is>
      </c>
      <c r="O658" t="inlineStr">
        <is>
          <t>Mangalia</t>
        </is>
      </c>
      <c r="P658" s="12" t="n">
        <v>46210</v>
      </c>
      <c r="Q658">
        <f>IF(COUNTIF(tbl_Localitati[oras_oficial],[@oras])=0,"ORAS NEALINIAT",IF(XLOOKUP([@oras],tbl_Localitati[oras_oficial],tbl_Localitati[judet],"?")&lt;&gt;[@judet],"JUDET NECORESPUNZATOR",""))</f>
        <v/>
      </c>
      <c r="R658">
        <f>IF(XLOOKUP([@categorie],tbl_RegulriTVA[categorie],tbl_RegulriTVA[cota_legala],-1)&lt;&gt;[@cota_tva],"TVA GRESIT","")</f>
        <v/>
      </c>
      <c r="S658">
        <f>IF([@data_scadentei]&lt;[@data_factura],"SCADENTA INAINTEA FACTURII","")</f>
        <v/>
      </c>
      <c r="T658">
        <f>IF(NETWORKDAYS.INTL([@data_factura],[@data_factura],1,tbl_SarbatoriLegale[data])=0,"ZI NELUCRATOARE","")</f>
        <v/>
      </c>
      <c r="U658">
        <f>IF([@motiv_anomalie]="","OK","DE INVESTIGAT")</f>
        <v/>
      </c>
      <c r="V658">
        <f>TEXTJOIN("; ",TRUE,[@flag_oras],[@flag_tva],[@flag_scadenta],[@flag_zi])</f>
        <v/>
      </c>
    </row>
    <row r="659">
      <c r="A659" t="inlineStr">
        <is>
          <t>F-2025-00658</t>
        </is>
      </c>
      <c r="B659" s="12" t="n">
        <v>46279</v>
      </c>
      <c r="C659" t="inlineStr">
        <is>
          <t>SC ZENITH AUTO SRL</t>
        </is>
      </c>
      <c r="D659" t="inlineStr">
        <is>
          <t>București</t>
        </is>
      </c>
      <c r="E659" t="inlineStr">
        <is>
          <t>PRD-003</t>
        </is>
      </c>
      <c r="F659" t="inlineStr">
        <is>
          <t>Laptop business 15"</t>
        </is>
      </c>
      <c r="G659" t="inlineStr">
        <is>
          <t>Hardware IT</t>
        </is>
      </c>
      <c r="H659" t="n">
        <v>10</v>
      </c>
      <c r="I659" t="n">
        <v>4177.95</v>
      </c>
      <c r="J659" t="n">
        <v>41779.5</v>
      </c>
      <c r="K659" s="13" t="n">
        <v>0.19</v>
      </c>
      <c r="L659" t="n">
        <v>7938.11</v>
      </c>
      <c r="M659" t="n">
        <v>49717.61</v>
      </c>
      <c r="N659" t="inlineStr">
        <is>
          <t>RON</t>
        </is>
      </c>
      <c r="O659" t="inlineStr">
        <is>
          <t>București</t>
        </is>
      </c>
      <c r="P659" s="12" t="n">
        <v>46309</v>
      </c>
      <c r="Q659">
        <f>IF(COUNTIF(tbl_Localitati[oras_oficial],[@oras])=0,"ORAS NEALINIAT",IF(XLOOKUP([@oras],tbl_Localitati[oras_oficial],tbl_Localitati[judet],"?")&lt;&gt;[@judet],"JUDET NECORESPUNZATOR",""))</f>
        <v/>
      </c>
      <c r="R659">
        <f>IF(XLOOKUP([@categorie],tbl_RegulriTVA[categorie],tbl_RegulriTVA[cota_legala],-1)&lt;&gt;[@cota_tva],"TVA GRESIT","")</f>
        <v/>
      </c>
      <c r="S659">
        <f>IF([@data_scadentei]&lt;[@data_factura],"SCADENTA INAINTEA FACTURII","")</f>
        <v/>
      </c>
      <c r="T659">
        <f>IF(NETWORKDAYS.INTL([@data_factura],[@data_factura],1,tbl_SarbatoriLegale[data])=0,"ZI NELUCRATOARE","")</f>
        <v/>
      </c>
      <c r="U659">
        <f>IF([@motiv_anomalie]="","OK","DE INVESTIGAT")</f>
        <v/>
      </c>
      <c r="V659">
        <f>TEXTJOIN("; ",TRUE,[@flag_oras],[@flag_tva],[@flag_scadenta],[@flag_zi])</f>
        <v/>
      </c>
    </row>
    <row r="660">
      <c r="A660" t="inlineStr">
        <is>
          <t>F-2025-00659</t>
        </is>
      </c>
      <c r="B660" s="12" t="n">
        <v>46370</v>
      </c>
      <c r="C660" t="inlineStr">
        <is>
          <t>SC OMEGA SOFT SRL</t>
        </is>
      </c>
      <c r="D660" t="inlineStr">
        <is>
          <t>Dolj</t>
        </is>
      </c>
      <c r="E660" t="inlineStr">
        <is>
          <t>PRD-010</t>
        </is>
      </c>
      <c r="F660" t="inlineStr">
        <is>
          <t>Training utilizatori</t>
        </is>
      </c>
      <c r="G660" t="inlineStr">
        <is>
          <t>Servicii consultanță</t>
        </is>
      </c>
      <c r="H660" t="n">
        <v>20</v>
      </c>
      <c r="I660" t="n">
        <v>361.25</v>
      </c>
      <c r="J660" t="n">
        <v>7225</v>
      </c>
      <c r="K660" s="13" t="n">
        <v>0.19</v>
      </c>
      <c r="L660" t="n">
        <v>1372.75</v>
      </c>
      <c r="M660" t="n">
        <v>8597.75</v>
      </c>
      <c r="N660" t="inlineStr">
        <is>
          <t>RON</t>
        </is>
      </c>
      <c r="O660" t="inlineStr">
        <is>
          <t>Craiova</t>
        </is>
      </c>
      <c r="P660" s="12" t="n">
        <v>46400</v>
      </c>
      <c r="Q660">
        <f>IF(COUNTIF(tbl_Localitati[oras_oficial],[@oras])=0,"ORAS NEALINIAT",IF(XLOOKUP([@oras],tbl_Localitati[oras_oficial],tbl_Localitati[judet],"?")&lt;&gt;[@judet],"JUDET NECORESPUNZATOR",""))</f>
        <v/>
      </c>
      <c r="R660">
        <f>IF(XLOOKUP([@categorie],tbl_RegulriTVA[categorie],tbl_RegulriTVA[cota_legala],-1)&lt;&gt;[@cota_tva],"TVA GRESIT","")</f>
        <v/>
      </c>
      <c r="S660">
        <f>IF([@data_scadentei]&lt;[@data_factura],"SCADENTA INAINTEA FACTURII","")</f>
        <v/>
      </c>
      <c r="T660">
        <f>IF(NETWORKDAYS.INTL([@data_factura],[@data_factura],1,tbl_SarbatoriLegale[data])=0,"ZI NELUCRATOARE","")</f>
        <v/>
      </c>
      <c r="U660">
        <f>IF([@motiv_anomalie]="","OK","DE INVESTIGAT")</f>
        <v/>
      </c>
      <c r="V660">
        <f>TEXTJOIN("; ",TRUE,[@flag_oras],[@flag_tva],[@flag_scadenta],[@flag_zi])</f>
        <v/>
      </c>
    </row>
    <row r="661">
      <c r="A661" t="inlineStr">
        <is>
          <t>F-2025-00660</t>
        </is>
      </c>
      <c r="B661" s="12" t="n">
        <v>46372</v>
      </c>
      <c r="C661" t="inlineStr">
        <is>
          <t>SC NORDIS DISTRIBUTIE SRL</t>
        </is>
      </c>
      <c r="D661" t="inlineStr">
        <is>
          <t>Constanța</t>
        </is>
      </c>
      <c r="E661" t="inlineStr">
        <is>
          <t>PRD-003</t>
        </is>
      </c>
      <c r="F661" t="inlineStr">
        <is>
          <t>Ceai cutie 100buc</t>
        </is>
      </c>
      <c r="G661" t="inlineStr">
        <is>
          <t>Alimente</t>
        </is>
      </c>
      <c r="H661" t="n">
        <v>1</v>
      </c>
      <c r="I661" t="n">
        <v>4315.75</v>
      </c>
      <c r="J661" t="n">
        <v>4315.75</v>
      </c>
      <c r="K661" s="13" t="n">
        <v>0.09</v>
      </c>
      <c r="L661" t="n">
        <v>388.42</v>
      </c>
      <c r="M661" t="n">
        <v>4704.17</v>
      </c>
      <c r="N661" t="inlineStr">
        <is>
          <t>RON</t>
        </is>
      </c>
      <c r="O661" t="inlineStr">
        <is>
          <t>Mangalia</t>
        </is>
      </c>
      <c r="P661" s="12" t="n">
        <v>46402</v>
      </c>
      <c r="Q661">
        <f>IF(COUNTIF(tbl_Localitati[oras_oficial],[@oras])=0,"ORAS NEALINIAT",IF(XLOOKUP([@oras],tbl_Localitati[oras_oficial],tbl_Localitati[judet],"?")&lt;&gt;[@judet],"JUDET NECORESPUNZATOR",""))</f>
        <v/>
      </c>
      <c r="R661">
        <f>IF(XLOOKUP([@categorie],tbl_RegulriTVA[categorie],tbl_RegulriTVA[cota_legala],-1)&lt;&gt;[@cota_tva],"TVA GRESIT","")</f>
        <v/>
      </c>
      <c r="S661">
        <f>IF([@data_scadentei]&lt;[@data_factura],"SCADENTA INAINTEA FACTURII","")</f>
        <v/>
      </c>
      <c r="T661">
        <f>IF(NETWORKDAYS.INTL([@data_factura],[@data_factura],1,tbl_SarbatoriLegale[data])=0,"ZI NELUCRATOARE","")</f>
        <v/>
      </c>
      <c r="U661">
        <f>IF([@motiv_anomalie]="","OK","DE INVESTIGAT")</f>
        <v/>
      </c>
      <c r="V661">
        <f>TEXTJOIN("; ",TRUE,[@flag_oras],[@flag_tva],[@flag_scadenta],[@flag_zi])</f>
        <v/>
      </c>
    </row>
    <row r="662">
      <c r="A662" t="inlineStr">
        <is>
          <t>F-2025-00661</t>
        </is>
      </c>
      <c r="B662" s="12" t="n">
        <v>46100</v>
      </c>
      <c r="C662" t="inlineStr">
        <is>
          <t>SC PROVITA MEDICAL SRL</t>
        </is>
      </c>
      <c r="D662" t="inlineStr">
        <is>
          <t>Mureș</t>
        </is>
      </c>
      <c r="E662" t="inlineStr">
        <is>
          <t>PRD-009</t>
        </is>
      </c>
      <c r="F662" t="inlineStr">
        <is>
          <t>Pachet protocol sedinte</t>
        </is>
      </c>
      <c r="G662" t="inlineStr">
        <is>
          <t>Alimente</t>
        </is>
      </c>
      <c r="H662" t="n">
        <v>20</v>
      </c>
      <c r="I662" t="n">
        <v>28.85</v>
      </c>
      <c r="J662" t="n">
        <v>577</v>
      </c>
      <c r="K662" s="13" t="n">
        <v>0.09</v>
      </c>
      <c r="L662" t="n">
        <v>51.93</v>
      </c>
      <c r="M662" t="n">
        <v>628.9299999999999</v>
      </c>
      <c r="N662" t="inlineStr">
        <is>
          <t>RON</t>
        </is>
      </c>
      <c r="O662" t="inlineStr">
        <is>
          <t>Târgu Mureș</t>
        </is>
      </c>
      <c r="P662" s="12" t="n">
        <v>46130</v>
      </c>
      <c r="Q662">
        <f>IF(COUNTIF(tbl_Localitati[oras_oficial],[@oras])=0,"ORAS NEALINIAT",IF(XLOOKUP([@oras],tbl_Localitati[oras_oficial],tbl_Localitati[judet],"?")&lt;&gt;[@judet],"JUDET NECORESPUNZATOR",""))</f>
        <v/>
      </c>
      <c r="R662">
        <f>IF(XLOOKUP([@categorie],tbl_RegulriTVA[categorie],tbl_RegulriTVA[cota_legala],-1)&lt;&gt;[@cota_tva],"TVA GRESIT","")</f>
        <v/>
      </c>
      <c r="S662">
        <f>IF([@data_scadentei]&lt;[@data_factura],"SCADENTA INAINTEA FACTURII","")</f>
        <v/>
      </c>
      <c r="T662">
        <f>IF(NETWORKDAYS.INTL([@data_factura],[@data_factura],1,tbl_SarbatoriLegale[data])=0,"ZI NELUCRATOARE","")</f>
        <v/>
      </c>
      <c r="U662">
        <f>IF([@motiv_anomalie]="","OK","DE INVESTIGAT")</f>
        <v/>
      </c>
      <c r="V662">
        <f>TEXTJOIN("; ",TRUE,[@flag_oras],[@flag_tva],[@flag_scadenta],[@flag_zi])</f>
        <v/>
      </c>
    </row>
    <row r="663">
      <c r="A663" t="inlineStr">
        <is>
          <t>F-2025-00662</t>
        </is>
      </c>
      <c r="B663" s="12" t="n">
        <v>46266</v>
      </c>
      <c r="C663" t="inlineStr">
        <is>
          <t>SC AROMET TRADING SRL</t>
        </is>
      </c>
      <c r="D663" t="inlineStr">
        <is>
          <t>Alba</t>
        </is>
      </c>
      <c r="E663" t="inlineStr">
        <is>
          <t>PRD-001</t>
        </is>
      </c>
      <c r="F663" t="inlineStr">
        <is>
          <t>Licenta Office 365 anuala</t>
        </is>
      </c>
      <c r="G663" t="inlineStr">
        <is>
          <t>Licențe software</t>
        </is>
      </c>
      <c r="H663" t="n">
        <v>1</v>
      </c>
      <c r="J663" t="n">
        <v>2331.71</v>
      </c>
      <c r="K663" s="13" t="n">
        <v>0.19</v>
      </c>
      <c r="L663" t="n">
        <v>443.02</v>
      </c>
      <c r="M663" t="n">
        <v>2774.73</v>
      </c>
      <c r="N663" t="inlineStr">
        <is>
          <t>RON</t>
        </is>
      </c>
      <c r="O663" t="inlineStr">
        <is>
          <t>Alba Iulia</t>
        </is>
      </c>
      <c r="P663" s="12" t="n">
        <v>46281</v>
      </c>
      <c r="Q663">
        <f>IF(COUNTIF(tbl_Localitati[oras_oficial],[@oras])=0,"ORAS NEALINIAT",IF(XLOOKUP([@oras],tbl_Localitati[oras_oficial],tbl_Localitati[judet],"?")&lt;&gt;[@judet],"JUDET NECORESPUNZATOR",""))</f>
        <v/>
      </c>
      <c r="R663">
        <f>IF(XLOOKUP([@categorie],tbl_RegulriTVA[categorie],tbl_RegulriTVA[cota_legala],-1)&lt;&gt;[@cota_tva],"TVA GRESIT","")</f>
        <v/>
      </c>
      <c r="S663">
        <f>IF([@data_scadentei]&lt;[@data_factura],"SCADENTA INAINTEA FACTURII","")</f>
        <v/>
      </c>
      <c r="T663">
        <f>IF(NETWORKDAYS.INTL([@data_factura],[@data_factura],1,tbl_SarbatoriLegale[data])=0,"ZI NELUCRATOARE","")</f>
        <v/>
      </c>
      <c r="U663">
        <f>IF([@motiv_anomalie]="","OK","DE INVESTIGAT")</f>
        <v/>
      </c>
      <c r="V663">
        <f>TEXTJOIN("; ",TRUE,[@flag_oras],[@flag_tva],[@flag_scadenta],[@flag_zi])</f>
        <v/>
      </c>
    </row>
    <row r="664">
      <c r="A664" t="inlineStr">
        <is>
          <t>F-2025-00663</t>
        </is>
      </c>
      <c r="B664" s="12" t="n">
        <v>46239</v>
      </c>
      <c r="C664" t="inlineStr">
        <is>
          <t>SC ZENITH AUTO SRL</t>
        </is>
      </c>
      <c r="D664" t="inlineStr">
        <is>
          <t>București</t>
        </is>
      </c>
      <c r="E664" t="inlineStr">
        <is>
          <t>PRD-002</t>
        </is>
      </c>
      <c r="F664" t="inlineStr">
        <is>
          <t>Cafea boabe 1kg</t>
        </is>
      </c>
      <c r="G664" t="inlineStr">
        <is>
          <t>Alimente</t>
        </is>
      </c>
      <c r="H664" t="n">
        <v>1</v>
      </c>
      <c r="I664" t="n">
        <v>1084.12</v>
      </c>
      <c r="J664" t="n">
        <v>1084.12</v>
      </c>
      <c r="K664" s="13" t="n">
        <v>0.09</v>
      </c>
      <c r="L664" t="n">
        <v>97.56999999999999</v>
      </c>
      <c r="M664" t="n">
        <v>1181.69</v>
      </c>
      <c r="N664" t="inlineStr">
        <is>
          <t>RON</t>
        </is>
      </c>
      <c r="O664" t="inlineStr">
        <is>
          <t>București</t>
        </is>
      </c>
      <c r="P664" s="12" t="n">
        <v>46269</v>
      </c>
      <c r="Q664">
        <f>IF(COUNTIF(tbl_Localitati[oras_oficial],[@oras])=0,"ORAS NEALINIAT",IF(XLOOKUP([@oras],tbl_Localitati[oras_oficial],tbl_Localitati[judet],"?")&lt;&gt;[@judet],"JUDET NECORESPUNZATOR",""))</f>
        <v/>
      </c>
      <c r="R664">
        <f>IF(XLOOKUP([@categorie],tbl_RegulriTVA[categorie],tbl_RegulriTVA[cota_legala],-1)&lt;&gt;[@cota_tva],"TVA GRESIT","")</f>
        <v/>
      </c>
      <c r="S664">
        <f>IF([@data_scadentei]&lt;[@data_factura],"SCADENTA INAINTEA FACTURII","")</f>
        <v/>
      </c>
      <c r="T664">
        <f>IF(NETWORKDAYS.INTL([@data_factura],[@data_factura],1,tbl_SarbatoriLegale[data])=0,"ZI NELUCRATOARE","")</f>
        <v/>
      </c>
      <c r="U664">
        <f>IF([@motiv_anomalie]="","OK","DE INVESTIGAT")</f>
        <v/>
      </c>
      <c r="V664">
        <f>TEXTJOIN("; ",TRUE,[@flag_oras],[@flag_tva],[@flag_scadenta],[@flag_zi])</f>
        <v/>
      </c>
    </row>
    <row r="665">
      <c r="A665" t="inlineStr">
        <is>
          <t>F-2025-00664</t>
        </is>
      </c>
      <c r="B665" s="12" t="n">
        <v>46183</v>
      </c>
      <c r="C665" t="inlineStr">
        <is>
          <t>SC DACTECH SOLUTIONS SRL</t>
        </is>
      </c>
      <c r="D665" t="inlineStr">
        <is>
          <t>Argeș</t>
        </is>
      </c>
      <c r="E665" t="inlineStr">
        <is>
          <t>PRD-003</t>
        </is>
      </c>
      <c r="F665" t="inlineStr">
        <is>
          <t>Laptop business 15"</t>
        </is>
      </c>
      <c r="G665" t="inlineStr">
        <is>
          <t>Hardware IT</t>
        </is>
      </c>
      <c r="H665" t="n">
        <v>1</v>
      </c>
      <c r="I665" t="n">
        <v>4229.6</v>
      </c>
      <c r="J665" t="n">
        <v>4229.6</v>
      </c>
      <c r="K665" s="13" t="n">
        <v>0.19</v>
      </c>
      <c r="L665" t="n">
        <v>803.62</v>
      </c>
      <c r="M665" t="n">
        <v>5033.22</v>
      </c>
      <c r="N665" t="inlineStr">
        <is>
          <t>RON</t>
        </is>
      </c>
      <c r="O665" t="inlineStr">
        <is>
          <t>Pitești</t>
        </is>
      </c>
      <c r="P665" s="12" t="n">
        <v>46213</v>
      </c>
      <c r="Q665">
        <f>IF(COUNTIF(tbl_Localitati[oras_oficial],[@oras])=0,"ORAS NEALINIAT",IF(XLOOKUP([@oras],tbl_Localitati[oras_oficial],tbl_Localitati[judet],"?")&lt;&gt;[@judet],"JUDET NECORESPUNZATOR",""))</f>
        <v/>
      </c>
      <c r="R665">
        <f>IF(XLOOKUP([@categorie],tbl_RegulriTVA[categorie],tbl_RegulriTVA[cota_legala],-1)&lt;&gt;[@cota_tva],"TVA GRESIT","")</f>
        <v/>
      </c>
      <c r="S665">
        <f>IF([@data_scadentei]&lt;[@data_factura],"SCADENTA INAINTEA FACTURII","")</f>
        <v/>
      </c>
      <c r="T665">
        <f>IF(NETWORKDAYS.INTL([@data_factura],[@data_factura],1,tbl_SarbatoriLegale[data])=0,"ZI NELUCRATOARE","")</f>
        <v/>
      </c>
      <c r="U665">
        <f>IF([@motiv_anomalie]="","OK","DE INVESTIGAT")</f>
        <v/>
      </c>
      <c r="V665">
        <f>TEXTJOIN("; ",TRUE,[@flag_oras],[@flag_tva],[@flag_scadenta],[@flag_zi])</f>
        <v/>
      </c>
    </row>
    <row r="666">
      <c r="A666" t="inlineStr">
        <is>
          <t>F-2025-00665</t>
        </is>
      </c>
      <c r="B666" s="12" t="n">
        <v>46316</v>
      </c>
      <c r="C666" t="inlineStr">
        <is>
          <t>SC UNIFOOD DISTRIBUTION SA</t>
        </is>
      </c>
      <c r="D666" t="inlineStr">
        <is>
          <t>Sibiu</t>
        </is>
      </c>
      <c r="E666" t="inlineStr">
        <is>
          <t>PRD-010</t>
        </is>
      </c>
      <c r="F666" t="inlineStr">
        <is>
          <t>Tocator documente</t>
        </is>
      </c>
      <c r="G666" t="inlineStr">
        <is>
          <t>Echipamente birou</t>
        </is>
      </c>
      <c r="H666" t="n">
        <v>10</v>
      </c>
      <c r="I666" t="n">
        <v>340.39</v>
      </c>
      <c r="J666" t="n">
        <v>3403.9</v>
      </c>
      <c r="K666" s="13" t="n">
        <v>0.19</v>
      </c>
      <c r="L666" t="n">
        <v>646.74</v>
      </c>
      <c r="M666" t="n">
        <v>4050.64</v>
      </c>
      <c r="N666" t="inlineStr">
        <is>
          <t>RON</t>
        </is>
      </c>
      <c r="O666" t="inlineStr">
        <is>
          <t>Mediaș</t>
        </is>
      </c>
      <c r="P666" s="12" t="n">
        <v>46346</v>
      </c>
      <c r="Q666">
        <f>IF(COUNTIF(tbl_Localitati[oras_oficial],[@oras])=0,"ORAS NEALINIAT",IF(XLOOKUP([@oras],tbl_Localitati[oras_oficial],tbl_Localitati[judet],"?")&lt;&gt;[@judet],"JUDET NECORESPUNZATOR",""))</f>
        <v/>
      </c>
      <c r="R666">
        <f>IF(XLOOKUP([@categorie],tbl_RegulriTVA[categorie],tbl_RegulriTVA[cota_legala],-1)&lt;&gt;[@cota_tva],"TVA GRESIT","")</f>
        <v/>
      </c>
      <c r="S666">
        <f>IF([@data_scadentei]&lt;[@data_factura],"SCADENTA INAINTEA FACTURII","")</f>
        <v/>
      </c>
      <c r="T666">
        <f>IF(NETWORKDAYS.INTL([@data_factura],[@data_factura],1,tbl_SarbatoriLegale[data])=0,"ZI NELUCRATOARE","")</f>
        <v/>
      </c>
      <c r="U666">
        <f>IF([@motiv_anomalie]="","OK","DE INVESTIGAT")</f>
        <v/>
      </c>
      <c r="V666">
        <f>TEXTJOIN("; ",TRUE,[@flag_oras],[@flag_tva],[@flag_scadenta],[@flag_zi])</f>
        <v/>
      </c>
    </row>
    <row r="667">
      <c r="A667" t="inlineStr">
        <is>
          <t>F-2025-00666</t>
        </is>
      </c>
      <c r="B667" s="12" t="n">
        <v>46384</v>
      </c>
      <c r="C667" t="inlineStr">
        <is>
          <t>SC DACTECH SOLUTIONS SRL</t>
        </is>
      </c>
      <c r="D667" t="inlineStr">
        <is>
          <t>Argeș</t>
        </is>
      </c>
      <c r="E667" t="inlineStr">
        <is>
          <t>PRD-001</t>
        </is>
      </c>
      <c r="F667" t="inlineStr">
        <is>
          <t>Manual proceduri interne</t>
        </is>
      </c>
      <c r="G667" t="inlineStr">
        <is>
          <t>Cărți și manuale</t>
        </is>
      </c>
      <c r="H667" t="n">
        <v>5</v>
      </c>
      <c r="I667" t="n">
        <v>2371.53</v>
      </c>
      <c r="J667" t="n">
        <v>11857.65</v>
      </c>
      <c r="K667" s="13" t="n">
        <v>0.05</v>
      </c>
      <c r="L667" t="n">
        <v>592.88</v>
      </c>
      <c r="M667" t="n">
        <v>12450.53</v>
      </c>
      <c r="N667" t="inlineStr">
        <is>
          <t>RON</t>
        </is>
      </c>
      <c r="O667" t="inlineStr">
        <is>
          <t>Pitești</t>
        </is>
      </c>
      <c r="P667" s="12" t="n">
        <v>46414</v>
      </c>
      <c r="Q667">
        <f>IF(COUNTIF(tbl_Localitati[oras_oficial],[@oras])=0,"ORAS NEALINIAT",IF(XLOOKUP([@oras],tbl_Localitati[oras_oficial],tbl_Localitati[judet],"?")&lt;&gt;[@judet],"JUDET NECORESPUNZATOR",""))</f>
        <v/>
      </c>
      <c r="R667">
        <f>IF(XLOOKUP([@categorie],tbl_RegulriTVA[categorie],tbl_RegulriTVA[cota_legala],-1)&lt;&gt;[@cota_tva],"TVA GRESIT","")</f>
        <v/>
      </c>
      <c r="S667">
        <f>IF([@data_scadentei]&lt;[@data_factura],"SCADENTA INAINTEA FACTURII","")</f>
        <v/>
      </c>
      <c r="T667">
        <f>IF(NETWORKDAYS.INTL([@data_factura],[@data_factura],1,tbl_SarbatoriLegale[data])=0,"ZI NELUCRATOARE","")</f>
        <v/>
      </c>
      <c r="U667">
        <f>IF([@motiv_anomalie]="","OK","DE INVESTIGAT")</f>
        <v/>
      </c>
      <c r="V667">
        <f>TEXTJOIN("; ",TRUE,[@flag_oras],[@flag_tva],[@flag_scadenta],[@flag_zi])</f>
        <v/>
      </c>
    </row>
    <row r="668">
      <c r="A668" t="inlineStr">
        <is>
          <t>F-2025-00667</t>
        </is>
      </c>
      <c r="B668" s="12" t="n">
        <v>46139</v>
      </c>
      <c r="C668" t="inlineStr">
        <is>
          <t>SC INTEGROMED SA</t>
        </is>
      </c>
      <c r="D668" t="inlineStr">
        <is>
          <t>Cluj</t>
        </is>
      </c>
      <c r="E668" t="inlineStr">
        <is>
          <t>PRD-006</t>
        </is>
      </c>
      <c r="F668" t="inlineStr">
        <is>
          <t>Switch gigabit 24p</t>
        </is>
      </c>
      <c r="G668" t="inlineStr">
        <is>
          <t>Hardware IT</t>
        </is>
      </c>
      <c r="H668" t="n">
        <v>1</v>
      </c>
      <c r="I668" t="n">
        <v>728.25</v>
      </c>
      <c r="J668" t="n">
        <v>728.25</v>
      </c>
      <c r="K668" s="13" t="n">
        <v>0.19</v>
      </c>
      <c r="L668" t="n">
        <v>138.37</v>
      </c>
      <c r="M668" t="n">
        <v>866.62</v>
      </c>
      <c r="N668" t="inlineStr">
        <is>
          <t>RON</t>
        </is>
      </c>
      <c r="O668" t="inlineStr">
        <is>
          <t>Cluj-Napoca</t>
        </is>
      </c>
      <c r="P668" s="12" t="n">
        <v>46184</v>
      </c>
      <c r="Q668">
        <f>IF(COUNTIF(tbl_Localitati[oras_oficial],[@oras])=0,"ORAS NEALINIAT",IF(XLOOKUP([@oras],tbl_Localitati[oras_oficial],tbl_Localitati[judet],"?")&lt;&gt;[@judet],"JUDET NECORESPUNZATOR",""))</f>
        <v/>
      </c>
      <c r="R668">
        <f>IF(XLOOKUP([@categorie],tbl_RegulriTVA[categorie],tbl_RegulriTVA[cota_legala],-1)&lt;&gt;[@cota_tva],"TVA GRESIT","")</f>
        <v/>
      </c>
      <c r="S668">
        <f>IF([@data_scadentei]&lt;[@data_factura],"SCADENTA INAINTEA FACTURII","")</f>
        <v/>
      </c>
      <c r="T668">
        <f>IF(NETWORKDAYS.INTL([@data_factura],[@data_factura],1,tbl_SarbatoriLegale[data])=0,"ZI NELUCRATOARE","")</f>
        <v/>
      </c>
      <c r="U668">
        <f>IF([@motiv_anomalie]="","OK","DE INVESTIGAT")</f>
        <v/>
      </c>
      <c r="V668">
        <f>TEXTJOIN("; ",TRUE,[@flag_oras],[@flag_tva],[@flag_scadenta],[@flag_zi])</f>
        <v/>
      </c>
    </row>
    <row r="669">
      <c r="A669" t="inlineStr">
        <is>
          <t>F-2025-00668</t>
        </is>
      </c>
      <c r="B669" s="12" t="n">
        <v>46370</v>
      </c>
      <c r="C669" t="inlineStr">
        <is>
          <t>SC FARMAVITAL DISTRIBUTIE SA</t>
        </is>
      </c>
      <c r="D669" t="inlineStr">
        <is>
          <t>Bihor</t>
        </is>
      </c>
      <c r="E669" t="inlineStr">
        <is>
          <t>PRD-010</t>
        </is>
      </c>
      <c r="F669" t="inlineStr">
        <is>
          <t>Monitor 27" 4K</t>
        </is>
      </c>
      <c r="G669" t="inlineStr">
        <is>
          <t>Hardware IT</t>
        </is>
      </c>
      <c r="H669" t="n">
        <v>5</v>
      </c>
      <c r="I669" t="n">
        <v>361.56</v>
      </c>
      <c r="J669" t="n">
        <v>1807.8</v>
      </c>
      <c r="K669" s="13" t="n">
        <v>0.19</v>
      </c>
      <c r="L669" t="n">
        <v>343.48</v>
      </c>
      <c r="M669" t="n">
        <v>2151.28</v>
      </c>
      <c r="N669" t="inlineStr">
        <is>
          <t>RON</t>
        </is>
      </c>
      <c r="O669" t="inlineStr">
        <is>
          <t>Oradea</t>
        </is>
      </c>
      <c r="P669" s="12" t="n">
        <v>46400</v>
      </c>
      <c r="Q669">
        <f>IF(COUNTIF(tbl_Localitati[oras_oficial],[@oras])=0,"ORAS NEALINIAT",IF(XLOOKUP([@oras],tbl_Localitati[oras_oficial],tbl_Localitati[judet],"?")&lt;&gt;[@judet],"JUDET NECORESPUNZATOR",""))</f>
        <v/>
      </c>
      <c r="R669">
        <f>IF(XLOOKUP([@categorie],tbl_RegulriTVA[categorie],tbl_RegulriTVA[cota_legala],-1)&lt;&gt;[@cota_tva],"TVA GRESIT","")</f>
        <v/>
      </c>
      <c r="S669">
        <f>IF([@data_scadentei]&lt;[@data_factura],"SCADENTA INAINTEA FACTURII","")</f>
        <v/>
      </c>
      <c r="T669">
        <f>IF(NETWORKDAYS.INTL([@data_factura],[@data_factura],1,tbl_SarbatoriLegale[data])=0,"ZI NELUCRATOARE","")</f>
        <v/>
      </c>
      <c r="U669">
        <f>IF([@motiv_anomalie]="","OK","DE INVESTIGAT")</f>
        <v/>
      </c>
      <c r="V669">
        <f>TEXTJOIN("; ",TRUE,[@flag_oras],[@flag_tva],[@flag_scadenta],[@flag_zi])</f>
        <v/>
      </c>
    </row>
    <row r="670">
      <c r="A670" t="inlineStr">
        <is>
          <t>F-2025-00669</t>
        </is>
      </c>
      <c r="B670" s="12" t="n">
        <v>46265</v>
      </c>
      <c r="C670" t="inlineStr">
        <is>
          <t>SC OMEGA SOFT SRL</t>
        </is>
      </c>
      <c r="D670" t="inlineStr">
        <is>
          <t>Dolj</t>
        </is>
      </c>
      <c r="E670" t="inlineStr">
        <is>
          <t>PRD-003</t>
        </is>
      </c>
      <c r="F670" t="inlineStr">
        <is>
          <t>Telefon IP birou</t>
        </is>
      </c>
      <c r="G670" t="inlineStr">
        <is>
          <t>Echipamente birou</t>
        </is>
      </c>
      <c r="H670" t="n">
        <v>1</v>
      </c>
      <c r="I670" t="n">
        <v>4035.6</v>
      </c>
      <c r="J670" t="n">
        <v>4035.6</v>
      </c>
      <c r="K670" s="13" t="n">
        <v>0.19</v>
      </c>
      <c r="L670" t="n">
        <v>766.76</v>
      </c>
      <c r="M670" t="n">
        <v>4802.36</v>
      </c>
      <c r="N670" t="inlineStr">
        <is>
          <t>RON</t>
        </is>
      </c>
      <c r="O670" t="inlineStr">
        <is>
          <t>Craiova</t>
        </is>
      </c>
      <c r="P670" s="12" t="n">
        <v>46310</v>
      </c>
      <c r="Q670">
        <f>IF(COUNTIF(tbl_Localitati[oras_oficial],[@oras])=0,"ORAS NEALINIAT",IF(XLOOKUP([@oras],tbl_Localitati[oras_oficial],tbl_Localitati[judet],"?")&lt;&gt;[@judet],"JUDET NECORESPUNZATOR",""))</f>
        <v/>
      </c>
      <c r="R670">
        <f>IF(XLOOKUP([@categorie],tbl_RegulriTVA[categorie],tbl_RegulriTVA[cota_legala],-1)&lt;&gt;[@cota_tva],"TVA GRESIT","")</f>
        <v/>
      </c>
      <c r="S670">
        <f>IF([@data_scadentei]&lt;[@data_factura],"SCADENTA INAINTEA FACTURII","")</f>
        <v/>
      </c>
      <c r="T670">
        <f>IF(NETWORKDAYS.INTL([@data_factura],[@data_factura],1,tbl_SarbatoriLegale[data])=0,"ZI NELUCRATOARE","")</f>
        <v/>
      </c>
      <c r="U670">
        <f>IF([@motiv_anomalie]="","OK","DE INVESTIGAT")</f>
        <v/>
      </c>
      <c r="V670">
        <f>TEXTJOIN("; ",TRUE,[@flag_oras],[@flag_tva],[@flag_scadenta],[@flag_zi])</f>
        <v/>
      </c>
    </row>
    <row r="671">
      <c r="A671" t="inlineStr">
        <is>
          <t>F-2025-00670</t>
        </is>
      </c>
      <c r="B671" s="12" t="n">
        <v>46338</v>
      </c>
      <c r="C671" t="inlineStr">
        <is>
          <t>SC INTEGROMED SA</t>
        </is>
      </c>
      <c r="D671" t="inlineStr">
        <is>
          <t>Cluj</t>
        </is>
      </c>
      <c r="E671" t="inlineStr">
        <is>
          <t>PRD-009</t>
        </is>
      </c>
      <c r="F671" t="inlineStr">
        <is>
          <t>Server rack 1U</t>
        </is>
      </c>
      <c r="G671" t="inlineStr">
        <is>
          <t>Hardware IT</t>
        </is>
      </c>
      <c r="H671" t="n">
        <v>5</v>
      </c>
      <c r="I671" t="n">
        <v>26.82</v>
      </c>
      <c r="J671" t="n">
        <v>134.1</v>
      </c>
      <c r="K671" s="13" t="n">
        <v>0.19</v>
      </c>
      <c r="L671" t="n">
        <v>25.48</v>
      </c>
      <c r="M671" t="n">
        <v>159.58</v>
      </c>
      <c r="N671" t="inlineStr">
        <is>
          <t>RON</t>
        </is>
      </c>
      <c r="O671" t="inlineStr">
        <is>
          <t>Cluj-Napoca</t>
        </is>
      </c>
      <c r="P671" s="12" t="n">
        <v>46383</v>
      </c>
      <c r="Q671">
        <f>IF(COUNTIF(tbl_Localitati[oras_oficial],[@oras])=0,"ORAS NEALINIAT",IF(XLOOKUP([@oras],tbl_Localitati[oras_oficial],tbl_Localitati[judet],"?")&lt;&gt;[@judet],"JUDET NECORESPUNZATOR",""))</f>
        <v/>
      </c>
      <c r="R671">
        <f>IF(XLOOKUP([@categorie],tbl_RegulriTVA[categorie],tbl_RegulriTVA[cota_legala],-1)&lt;&gt;[@cota_tva],"TVA GRESIT","")</f>
        <v/>
      </c>
      <c r="S671">
        <f>IF([@data_scadentei]&lt;[@data_factura],"SCADENTA INAINTEA FACTURII","")</f>
        <v/>
      </c>
      <c r="T671">
        <f>IF(NETWORKDAYS.INTL([@data_factura],[@data_factura],1,tbl_SarbatoriLegale[data])=0,"ZI NELUCRATOARE","")</f>
        <v/>
      </c>
      <c r="U671">
        <f>IF([@motiv_anomalie]="","OK","DE INVESTIGAT")</f>
        <v/>
      </c>
      <c r="V671">
        <f>TEXTJOIN("; ",TRUE,[@flag_oras],[@flag_tva],[@flag_scadenta],[@flag_zi])</f>
        <v/>
      </c>
    </row>
    <row r="672">
      <c r="A672" t="inlineStr">
        <is>
          <t>F-2025-00671</t>
        </is>
      </c>
      <c r="B672" s="12" t="n">
        <v>46098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Licenta ERP contabilitate</t>
        </is>
      </c>
      <c r="G672" t="inlineStr">
        <is>
          <t>Licențe software</t>
        </is>
      </c>
      <c r="H672" t="n">
        <v>10</v>
      </c>
      <c r="I672" t="n">
        <v>28.62</v>
      </c>
      <c r="J672" t="n">
        <v>286.2</v>
      </c>
      <c r="K672" s="13" t="n">
        <v>0.19</v>
      </c>
      <c r="L672" t="n">
        <v>54.38</v>
      </c>
      <c r="M672" t="n">
        <v>340.58</v>
      </c>
      <c r="N672" t="inlineStr">
        <is>
          <t>RON</t>
        </is>
      </c>
      <c r="O672" t="inlineStr">
        <is>
          <t>Sibiu</t>
        </is>
      </c>
      <c r="P672" s="12" t="n">
        <v>46113</v>
      </c>
      <c r="Q672">
        <f>IF(COUNTIF(tbl_Localitati[oras_oficial],[@oras])=0,"ORAS NEALINIAT",IF(XLOOKUP([@oras],tbl_Localitati[oras_oficial],tbl_Localitati[judet],"?")&lt;&gt;[@judet],"JUDET NECORESPUNZATOR",""))</f>
        <v/>
      </c>
      <c r="R672">
        <f>IF(XLOOKUP([@categorie],tbl_RegulriTVA[categorie],tbl_RegulriTVA[cota_legala],-1)&lt;&gt;[@cota_tva],"TVA GRESIT","")</f>
        <v/>
      </c>
      <c r="S672">
        <f>IF([@data_scadentei]&lt;[@data_factura],"SCADENTA INAINTEA FACTURII","")</f>
        <v/>
      </c>
      <c r="T672">
        <f>IF(NETWORKDAYS.INTL([@data_factura],[@data_factura],1,tbl_SarbatoriLegale[data])=0,"ZI NELUCRATOARE","")</f>
        <v/>
      </c>
      <c r="U672">
        <f>IF([@motiv_anomalie]="","OK","DE INVESTIGAT")</f>
        <v/>
      </c>
      <c r="V672">
        <f>TEXTJOIN("; ",TRUE,[@flag_oras],[@flag_tva],[@flag_scadenta],[@flag_zi])</f>
        <v/>
      </c>
    </row>
    <row r="673">
      <c r="A673" t="inlineStr">
        <is>
          <t>F-2025-00672</t>
        </is>
      </c>
      <c r="B673" s="12" t="n">
        <v>46296</v>
      </c>
      <c r="C673" t="inlineStr">
        <is>
          <t>SC RAPID LOGISTIC SA</t>
        </is>
      </c>
      <c r="D673" t="inlineStr">
        <is>
          <t>Prahova</t>
        </is>
      </c>
      <c r="E673" t="inlineStr">
        <is>
          <t>PRD-003</t>
        </is>
      </c>
      <c r="F673" t="inlineStr">
        <is>
          <t>Monitor 27" 4K</t>
        </is>
      </c>
      <c r="G673" t="inlineStr">
        <is>
          <t>Hardware IT</t>
        </is>
      </c>
      <c r="H673" t="n">
        <v>1</v>
      </c>
      <c r="I673" t="n">
        <v>4244.5</v>
      </c>
      <c r="J673" t="n">
        <v>4244.5</v>
      </c>
      <c r="K673" s="13" t="n">
        <v>0.19</v>
      </c>
      <c r="L673" t="n">
        <v>806.46</v>
      </c>
      <c r="M673" t="n">
        <v>5050.96</v>
      </c>
      <c r="N673" t="inlineStr">
        <is>
          <t>RON</t>
        </is>
      </c>
      <c r="O673" t="inlineStr">
        <is>
          <t>Ploiești</t>
        </is>
      </c>
      <c r="P673" s="12" t="n">
        <v>46326</v>
      </c>
      <c r="Q673">
        <f>IF(COUNTIF(tbl_Localitati[oras_oficial],[@oras])=0,"ORAS NEALINIAT",IF(XLOOKUP([@oras],tbl_Localitati[oras_oficial],tbl_Localitati[judet],"?")&lt;&gt;[@judet],"JUDET NECORESPUNZATOR",""))</f>
        <v/>
      </c>
      <c r="R673">
        <f>IF(XLOOKUP([@categorie],tbl_RegulriTVA[categorie],tbl_RegulriTVA[cota_legala],-1)&lt;&gt;[@cota_tva],"TVA GRESIT","")</f>
        <v/>
      </c>
      <c r="S673">
        <f>IF([@data_scadentei]&lt;[@data_factura],"SCADENTA INAINTEA FACTURII","")</f>
        <v/>
      </c>
      <c r="T673">
        <f>IF(NETWORKDAYS.INTL([@data_factura],[@data_factura],1,tbl_SarbatoriLegale[data])=0,"ZI NELUCRATOARE","")</f>
        <v/>
      </c>
      <c r="U673">
        <f>IF([@motiv_anomalie]="","OK","DE INVESTIGAT")</f>
        <v/>
      </c>
      <c r="V673">
        <f>TEXTJOIN("; ",TRUE,[@flag_oras],[@flag_tva],[@flag_scadenta],[@flag_zi])</f>
        <v/>
      </c>
    </row>
    <row r="674">
      <c r="A674" t="inlineStr">
        <is>
          <t>F-2025-00673</t>
        </is>
      </c>
      <c r="B674" s="12" t="n">
        <v>46094</v>
      </c>
      <c r="C674" t="inlineStr">
        <is>
          <t>SC NORDIS DISTRIBUTIE SRL</t>
        </is>
      </c>
      <c r="D674" t="inlineStr">
        <is>
          <t>Constanța</t>
        </is>
      </c>
      <c r="E674" t="inlineStr">
        <is>
          <t>PRD-005</t>
        </is>
      </c>
      <c r="F674" t="inlineStr">
        <is>
          <t>Masti protectie cutie</t>
        </is>
      </c>
      <c r="G674" t="inlineStr">
        <is>
          <t>Produse farmaceutice</t>
        </is>
      </c>
      <c r="H674" t="n">
        <v>1</v>
      </c>
      <c r="I674" t="n">
        <v>262.29</v>
      </c>
      <c r="J674" t="n">
        <v>262.29</v>
      </c>
      <c r="K674" s="13" t="n">
        <v>0.09</v>
      </c>
      <c r="L674" t="n">
        <v>23.61</v>
      </c>
      <c r="M674" t="n">
        <v>285.9</v>
      </c>
      <c r="N674" t="inlineStr">
        <is>
          <t>RON</t>
        </is>
      </c>
      <c r="O674" t="inlineStr">
        <is>
          <t>Mangalia</t>
        </is>
      </c>
      <c r="P674" s="12" t="n">
        <v>46109</v>
      </c>
      <c r="Q674">
        <f>IF(COUNTIF(tbl_Localitati[oras_oficial],[@oras])=0,"ORAS NEALINIAT",IF(XLOOKUP([@oras],tbl_Localitati[oras_oficial],tbl_Localitati[judet],"?")&lt;&gt;[@judet],"JUDET NECORESPUNZATOR",""))</f>
        <v/>
      </c>
      <c r="R674">
        <f>IF(XLOOKUP([@categorie],tbl_RegulriTVA[categorie],tbl_RegulriTVA[cota_legala],-1)&lt;&gt;[@cota_tva],"TVA GRESIT","")</f>
        <v/>
      </c>
      <c r="S674">
        <f>IF([@data_scadentei]&lt;[@data_factura],"SCADENTA INAINTEA FACTURII","")</f>
        <v/>
      </c>
      <c r="T674">
        <f>IF(NETWORKDAYS.INTL([@data_factura],[@data_factura],1,tbl_SarbatoriLegale[data])=0,"ZI NELUCRATOARE","")</f>
        <v/>
      </c>
      <c r="U674">
        <f>IF([@motiv_anomalie]="","OK","DE INVESTIGAT")</f>
        <v/>
      </c>
      <c r="V674">
        <f>TEXTJOIN("; ",TRUE,[@flag_oras],[@flag_tva],[@flag_scadenta],[@flag_zi])</f>
        <v/>
      </c>
    </row>
    <row r="675">
      <c r="A675" t="inlineStr">
        <is>
          <t>F-2025-00674</t>
        </is>
      </c>
      <c r="B675" s="12" t="n">
        <v>46238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Licenta antivirus enterprise</t>
        </is>
      </c>
      <c r="G675" t="inlineStr">
        <is>
          <t>Licențe software</t>
        </is>
      </c>
      <c r="H675" t="n">
        <v>10</v>
      </c>
      <c r="I675" t="n">
        <v>179.11</v>
      </c>
      <c r="J675" t="n">
        <v>1791.1</v>
      </c>
      <c r="K675" s="13" t="n">
        <v>0.19</v>
      </c>
      <c r="L675" t="n">
        <v>340.31</v>
      </c>
      <c r="M675" t="n">
        <v>2131.41</v>
      </c>
      <c r="N675" t="inlineStr">
        <is>
          <t>EUR</t>
        </is>
      </c>
      <c r="O675" t="inlineStr">
        <is>
          <t>Sibiu</t>
        </is>
      </c>
      <c r="P675" s="12" t="n">
        <v>46298</v>
      </c>
      <c r="Q675">
        <f>IF(COUNTIF(tbl_Localitati[oras_oficial],[@oras])=0,"ORAS NEALINIAT",IF(XLOOKUP([@oras],tbl_Localitati[oras_oficial],tbl_Localitati[judet],"?")&lt;&gt;[@judet],"JUDET NECORESPUNZATOR",""))</f>
        <v/>
      </c>
      <c r="R675">
        <f>IF(XLOOKUP([@categorie],tbl_RegulriTVA[categorie],tbl_RegulriTVA[cota_legala],-1)&lt;&gt;[@cota_tva],"TVA GRESIT","")</f>
        <v/>
      </c>
      <c r="S675">
        <f>IF([@data_scadentei]&lt;[@data_factura],"SCADENTA INAINTEA FACTURII","")</f>
        <v/>
      </c>
      <c r="T675">
        <f>IF(NETWORKDAYS.INTL([@data_factura],[@data_factura],1,tbl_SarbatoriLegale[data])=0,"ZI NELUCRATOARE","")</f>
        <v/>
      </c>
      <c r="U675">
        <f>IF([@motiv_anomalie]="","OK","DE INVESTIGAT")</f>
        <v/>
      </c>
      <c r="V675">
        <f>TEXTJOIN("; ",TRUE,[@flag_oras],[@flag_tva],[@flag_scadenta],[@flag_zi])</f>
        <v/>
      </c>
    </row>
    <row r="676">
      <c r="A676" t="inlineStr">
        <is>
          <t>F-2025-00675</t>
        </is>
      </c>
      <c r="B676" s="12" t="n">
        <v>46253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Server rack 1U</t>
        </is>
      </c>
      <c r="G676" t="inlineStr">
        <is>
          <t>Hardware IT</t>
        </is>
      </c>
      <c r="H676" t="n">
        <v>3</v>
      </c>
      <c r="I676" t="n">
        <v>2285.7</v>
      </c>
      <c r="J676" t="n">
        <v>6857.1</v>
      </c>
      <c r="K676" s="13" t="n">
        <v>0.19</v>
      </c>
      <c r="L676" t="n">
        <v>1302.85</v>
      </c>
      <c r="M676" t="n">
        <v>8159.95</v>
      </c>
      <c r="N676" t="inlineStr">
        <is>
          <t>RON</t>
        </is>
      </c>
      <c r="O676" t="inlineStr">
        <is>
          <t>Sibiu</t>
        </is>
      </c>
      <c r="P676" s="12" t="n">
        <v>46313</v>
      </c>
      <c r="Q676">
        <f>IF(COUNTIF(tbl_Localitati[oras_oficial],[@oras])=0,"ORAS NEALINIAT",IF(XLOOKUP([@oras],tbl_Localitati[oras_oficial],tbl_Localitati[judet],"?")&lt;&gt;[@judet],"JUDET NECORESPUNZATOR",""))</f>
        <v/>
      </c>
      <c r="R676">
        <f>IF(XLOOKUP([@categorie],tbl_RegulriTVA[categorie],tbl_RegulriTVA[cota_legala],-1)&lt;&gt;[@cota_tva],"TVA GRESIT","")</f>
        <v/>
      </c>
      <c r="S676">
        <f>IF([@data_scadentei]&lt;[@data_factura],"SCADENTA INAINTEA FACTURII","")</f>
        <v/>
      </c>
      <c r="T676">
        <f>IF(NETWORKDAYS.INTL([@data_factura],[@data_factura],1,tbl_SarbatoriLegale[data])=0,"ZI NELUCRATOARE","")</f>
        <v/>
      </c>
      <c r="U676">
        <f>IF([@motiv_anomalie]="","OK","DE INVESTIGAT")</f>
        <v/>
      </c>
      <c r="V676">
        <f>TEXTJOIN("; ",TRUE,[@flag_oras],[@flag_tva],[@flag_scadenta],[@flag_zi])</f>
        <v/>
      </c>
    </row>
    <row r="677">
      <c r="A677" t="inlineStr">
        <is>
          <t>F-2025-00676</t>
        </is>
      </c>
      <c r="B677" s="12" t="n">
        <v>46218</v>
      </c>
      <c r="C677" t="inlineStr">
        <is>
          <t>SC INTEGROMED SA</t>
        </is>
      </c>
      <c r="D677" t="inlineStr">
        <is>
          <t>Cluj</t>
        </is>
      </c>
      <c r="E677" t="inlineStr">
        <is>
          <t>PRD-011</t>
        </is>
      </c>
      <c r="F677" t="inlineStr">
        <is>
          <t>Multifunctionala laser</t>
        </is>
      </c>
      <c r="G677" t="inlineStr">
        <is>
          <t>Echipamente birou</t>
        </is>
      </c>
      <c r="H677" t="n">
        <v>20</v>
      </c>
      <c r="I677" t="n">
        <v>45.25</v>
      </c>
      <c r="J677" t="n">
        <v>905</v>
      </c>
      <c r="K677" s="13" t="n">
        <v>0.19</v>
      </c>
      <c r="L677" t="n">
        <v>171.95</v>
      </c>
      <c r="M677" t="n">
        <v>1076.95</v>
      </c>
      <c r="N677" t="inlineStr">
        <is>
          <t>RON</t>
        </is>
      </c>
      <c r="O677" t="inlineStr">
        <is>
          <t>Cluj-Napoca</t>
        </is>
      </c>
      <c r="P677" s="12" t="n">
        <v>46248</v>
      </c>
      <c r="Q677">
        <f>IF(COUNTIF(tbl_Localitati[oras_oficial],[@oras])=0,"ORAS NEALINIAT",IF(XLOOKUP([@oras],tbl_Localitati[oras_oficial],tbl_Localitati[judet],"?")&lt;&gt;[@judet],"JUDET NECORESPUNZATOR",""))</f>
        <v/>
      </c>
      <c r="R677">
        <f>IF(XLOOKUP([@categorie],tbl_RegulriTVA[categorie],tbl_RegulriTVA[cota_legala],-1)&lt;&gt;[@cota_tva],"TVA GRESIT","")</f>
        <v/>
      </c>
      <c r="S677">
        <f>IF([@data_scadentei]&lt;[@data_factura],"SCADENTA INAINTEA FACTURII","")</f>
        <v/>
      </c>
      <c r="T677">
        <f>IF(NETWORKDAYS.INTL([@data_factura],[@data_factura],1,tbl_SarbatoriLegale[data])=0,"ZI NELUCRATOARE","")</f>
        <v/>
      </c>
      <c r="U677">
        <f>IF([@motiv_anomalie]="","OK","DE INVESTIGAT")</f>
        <v/>
      </c>
      <c r="V677">
        <f>TEXTJOIN("; ",TRUE,[@flag_oras],[@flag_tva],[@flag_scadenta],[@flag_zi])</f>
        <v/>
      </c>
    </row>
    <row r="678">
      <c r="A678" t="inlineStr">
        <is>
          <t>F-2025-00677</t>
        </is>
      </c>
      <c r="B678" s="12" t="n">
        <v>46274</v>
      </c>
      <c r="C678" t="inlineStr">
        <is>
          <t>SC NORDIS DISTRIBUTIE SRL</t>
        </is>
      </c>
      <c r="D678" t="inlineStr">
        <is>
          <t>Constanța</t>
        </is>
      </c>
      <c r="E678" t="inlineStr">
        <is>
          <t>PRD-010</t>
        </is>
      </c>
      <c r="F678" t="inlineStr">
        <is>
          <t>Tocator documente</t>
        </is>
      </c>
      <c r="G678" t="inlineStr">
        <is>
          <t>Echipamente birou</t>
        </is>
      </c>
      <c r="H678" t="n">
        <v>5</v>
      </c>
      <c r="I678" t="n">
        <v>358.15</v>
      </c>
      <c r="J678" t="n">
        <v>1790.75</v>
      </c>
      <c r="K678" s="13" t="n">
        <v>0.19</v>
      </c>
      <c r="L678" t="n">
        <v>340.24</v>
      </c>
      <c r="M678" t="n">
        <v>2130.99</v>
      </c>
      <c r="N678" t="inlineStr">
        <is>
          <t>RON</t>
        </is>
      </c>
      <c r="O678" t="inlineStr">
        <is>
          <t>Mangalia</t>
        </is>
      </c>
      <c r="P678" s="12" t="n">
        <v>46289</v>
      </c>
      <c r="Q678">
        <f>IF(COUNTIF(tbl_Localitati[oras_oficial],[@oras])=0,"ORAS NEALINIAT",IF(XLOOKUP([@oras],tbl_Localitati[oras_oficial],tbl_Localitati[judet],"?")&lt;&gt;[@judet],"JUDET NECORESPUNZATOR",""))</f>
        <v/>
      </c>
      <c r="R678">
        <f>IF(XLOOKUP([@categorie],tbl_RegulriTVA[categorie],tbl_RegulriTVA[cota_legala],-1)&lt;&gt;[@cota_tva],"TVA GRESIT","")</f>
        <v/>
      </c>
      <c r="S678">
        <f>IF([@data_scadentei]&lt;[@data_factura],"SCADENTA INAINTEA FACTURII","")</f>
        <v/>
      </c>
      <c r="T678">
        <f>IF(NETWORKDAYS.INTL([@data_factura],[@data_factura],1,tbl_SarbatoriLegale[data])=0,"ZI NELUCRATOARE","")</f>
        <v/>
      </c>
      <c r="U678">
        <f>IF([@motiv_anomalie]="","OK","DE INVESTIGAT")</f>
        <v/>
      </c>
      <c r="V678">
        <f>TEXTJOIN("; ",TRUE,[@flag_oras],[@flag_tva],[@flag_scadenta],[@flag_zi])</f>
        <v/>
      </c>
    </row>
    <row r="679">
      <c r="A679" t="inlineStr">
        <is>
          <t>F-2025-00678</t>
        </is>
      </c>
      <c r="B679" s="12" t="n">
        <v>46205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Statie de lucru desktop</t>
        </is>
      </c>
      <c r="G679" t="inlineStr">
        <is>
          <t>Hardware IT</t>
        </is>
      </c>
      <c r="H679" t="n">
        <v>1</v>
      </c>
      <c r="I679" t="n">
        <v>2417.64</v>
      </c>
      <c r="J679" t="n">
        <v>2417.64</v>
      </c>
      <c r="K679" s="13" t="n">
        <v>0.19</v>
      </c>
      <c r="L679" t="n">
        <v>459.35</v>
      </c>
      <c r="M679" t="n">
        <v>2876.99</v>
      </c>
      <c r="N679" t="inlineStr">
        <is>
          <t>RON</t>
        </is>
      </c>
      <c r="O679" t="inlineStr">
        <is>
          <t>Sibiu</t>
        </is>
      </c>
      <c r="P679" s="12" t="n">
        <v>46235</v>
      </c>
      <c r="Q679">
        <f>IF(COUNTIF(tbl_Localitati[oras_oficial],[@oras])=0,"ORAS NEALINIAT",IF(XLOOKUP([@oras],tbl_Localitati[oras_oficial],tbl_Localitati[judet],"?")&lt;&gt;[@judet],"JUDET NECORESPUNZATOR",""))</f>
        <v/>
      </c>
      <c r="R679">
        <f>IF(XLOOKUP([@categorie],tbl_RegulriTVA[categorie],tbl_RegulriTVA[cota_legala],-1)&lt;&gt;[@cota_tva],"TVA GRESIT","")</f>
        <v/>
      </c>
      <c r="S679">
        <f>IF([@data_scadentei]&lt;[@data_factura],"SCADENTA INAINTEA FACTURII","")</f>
        <v/>
      </c>
      <c r="T679">
        <f>IF(NETWORKDAYS.INTL([@data_factura],[@data_factura],1,tbl_SarbatoriLegale[data])=0,"ZI NELUCRATOARE","")</f>
        <v/>
      </c>
      <c r="U679">
        <f>IF([@motiv_anomalie]="","OK","DE INVESTIGAT")</f>
        <v/>
      </c>
      <c r="V679">
        <f>TEXTJOIN("; ",TRUE,[@flag_oras],[@flag_tva],[@flag_scadenta],[@flag_zi])</f>
        <v/>
      </c>
    </row>
    <row r="680">
      <c r="A680" t="inlineStr">
        <is>
          <t>F-2025-00679</t>
        </is>
      </c>
      <c r="B680" s="12" t="n">
        <v>46121</v>
      </c>
      <c r="C680" t="inlineStr">
        <is>
          <t>SC UNIFOOD DISTRIBUTION SA</t>
        </is>
      </c>
      <c r="D680" t="inlineStr">
        <is>
          <t>Sibiu</t>
        </is>
      </c>
      <c r="E680" t="inlineStr">
        <is>
          <t>PRD-005</t>
        </is>
      </c>
      <c r="F680" t="inlineStr">
        <is>
          <t>Statie de lucru desktop</t>
        </is>
      </c>
      <c r="G680" t="inlineStr">
        <is>
          <t>Hardware IT</t>
        </is>
      </c>
      <c r="H680" t="n">
        <v>2</v>
      </c>
      <c r="I680" t="n">
        <v>250.84</v>
      </c>
      <c r="J680" t="n">
        <v>501.68</v>
      </c>
      <c r="K680" s="13" t="n">
        <v>0.19</v>
      </c>
      <c r="L680" t="n">
        <v>95.31999999999999</v>
      </c>
      <c r="M680" t="n">
        <v>597</v>
      </c>
      <c r="N680" t="inlineStr">
        <is>
          <t>RON</t>
        </is>
      </c>
      <c r="O680" t="inlineStr">
        <is>
          <t>Mediaș</t>
        </is>
      </c>
      <c r="P680" s="12" t="n">
        <v>46151</v>
      </c>
      <c r="Q680">
        <f>IF(COUNTIF(tbl_Localitati[oras_oficial],[@oras])=0,"ORAS NEALINIAT",IF(XLOOKUP([@oras],tbl_Localitati[oras_oficial],tbl_Localitati[judet],"?")&lt;&gt;[@judet],"JUDET NECORESPUNZATOR",""))</f>
        <v/>
      </c>
      <c r="R680">
        <f>IF(XLOOKUP([@categorie],tbl_RegulriTVA[categorie],tbl_RegulriTVA[cota_legala],-1)&lt;&gt;[@cota_tva],"TVA GRESIT","")</f>
        <v/>
      </c>
      <c r="S680">
        <f>IF([@data_scadentei]&lt;[@data_factura],"SCADENTA INAINTEA FACTURII","")</f>
        <v/>
      </c>
      <c r="T680">
        <f>IF(NETWORKDAYS.INTL([@data_factura],[@data_factura],1,tbl_SarbatoriLegale[data])=0,"ZI NELUCRATOARE","")</f>
        <v/>
      </c>
      <c r="U680">
        <f>IF([@motiv_anomalie]="","OK","DE INVESTIGAT")</f>
        <v/>
      </c>
      <c r="V680">
        <f>TEXTJOIN("; ",TRUE,[@flag_oras],[@flag_tva],[@flag_scadenta],[@flag_zi])</f>
        <v/>
      </c>
    </row>
    <row r="681">
      <c r="A681" t="inlineStr">
        <is>
          <t>F-2025-00680</t>
        </is>
      </c>
      <c r="B681" s="12" t="n">
        <v>46303</v>
      </c>
      <c r="C681" t="inlineStr">
        <is>
          <t>SC AROMET TRADING SRL</t>
        </is>
      </c>
      <c r="D681" t="inlineStr">
        <is>
          <t>Alba</t>
        </is>
      </c>
      <c r="E681" t="inlineStr">
        <is>
          <t>PRD-009</t>
        </is>
      </c>
      <c r="F681" t="inlineStr">
        <is>
          <t>Videoproiector sala</t>
        </is>
      </c>
      <c r="G681" t="inlineStr">
        <is>
          <t>Echipamente birou</t>
        </is>
      </c>
      <c r="H681" t="n">
        <v>100</v>
      </c>
      <c r="I681" t="n">
        <v>27.1</v>
      </c>
      <c r="J681" t="n">
        <v>2710</v>
      </c>
      <c r="K681" s="13" t="n">
        <v>0.19</v>
      </c>
      <c r="L681" t="n">
        <v>514.9</v>
      </c>
      <c r="M681" t="n">
        <v>3224.9</v>
      </c>
      <c r="N681" t="inlineStr">
        <is>
          <t>RON</t>
        </is>
      </c>
      <c r="O681" t="inlineStr">
        <is>
          <t>Alba Iulia</t>
        </is>
      </c>
      <c r="P681" s="12" t="n">
        <v>46333</v>
      </c>
      <c r="Q681">
        <f>IF(COUNTIF(tbl_Localitati[oras_oficial],[@oras])=0,"ORAS NEALINIAT",IF(XLOOKUP([@oras],tbl_Localitati[oras_oficial],tbl_Localitati[judet],"?")&lt;&gt;[@judet],"JUDET NECORESPUNZATOR",""))</f>
        <v/>
      </c>
      <c r="R681">
        <f>IF(XLOOKUP([@categorie],tbl_RegulriTVA[categorie],tbl_RegulriTVA[cota_legala],-1)&lt;&gt;[@cota_tva],"TVA GRESIT","")</f>
        <v/>
      </c>
      <c r="S681">
        <f>IF([@data_scadentei]&lt;[@data_factura],"SCADENTA INAINTEA FACTURII","")</f>
        <v/>
      </c>
      <c r="T681">
        <f>IF(NETWORKDAYS.INTL([@data_factura],[@data_factura],1,tbl_SarbatoriLegale[data])=0,"ZI NELUCRATOARE","")</f>
        <v/>
      </c>
      <c r="U681">
        <f>IF([@motiv_anomalie]="","OK","DE INVESTIGAT")</f>
        <v/>
      </c>
      <c r="V681">
        <f>TEXTJOIN("; ",TRUE,[@flag_oras],[@flag_tva],[@flag_scadenta],[@flag_zi])</f>
        <v/>
      </c>
    </row>
    <row r="682">
      <c r="A682" t="inlineStr">
        <is>
          <t>F-2025-00681</t>
        </is>
      </c>
      <c r="B682" s="12" t="n">
        <v>46244</v>
      </c>
      <c r="C682" t="inlineStr">
        <is>
          <t>SC NORDIS DISTRIBUTIE SRL</t>
        </is>
      </c>
      <c r="D682" t="inlineStr">
        <is>
          <t>Constanța</t>
        </is>
      </c>
      <c r="E682" t="inlineStr">
        <is>
          <t>PRD-001</t>
        </is>
      </c>
      <c r="F682" t="inlineStr">
        <is>
          <t>Licenta Office 365 anuala</t>
        </is>
      </c>
      <c r="G682" t="inlineStr">
        <is>
          <t>Licențe software</t>
        </is>
      </c>
      <c r="H682" t="n">
        <v>2</v>
      </c>
      <c r="I682" t="n">
        <v>2448.66</v>
      </c>
      <c r="J682" t="n">
        <v>4897.32</v>
      </c>
      <c r="K682" s="13" t="n">
        <v>0.19</v>
      </c>
      <c r="L682" t="n">
        <v>930.49</v>
      </c>
      <c r="M682" t="n">
        <v>5827.81</v>
      </c>
      <c r="N682" t="inlineStr">
        <is>
          <t>RON</t>
        </is>
      </c>
      <c r="O682" t="inlineStr">
        <is>
          <t>Mangalia</t>
        </is>
      </c>
      <c r="P682" s="12" t="n">
        <v>46304</v>
      </c>
      <c r="Q682">
        <f>IF(COUNTIF(tbl_Localitati[oras_oficial],[@oras])=0,"ORAS NEALINIAT",IF(XLOOKUP([@oras],tbl_Localitati[oras_oficial],tbl_Localitati[judet],"?")&lt;&gt;[@judet],"JUDET NECORESPUNZATOR",""))</f>
        <v/>
      </c>
      <c r="R682">
        <f>IF(XLOOKUP([@categorie],tbl_RegulriTVA[categorie],tbl_RegulriTVA[cota_legala],-1)&lt;&gt;[@cota_tva],"TVA GRESIT","")</f>
        <v/>
      </c>
      <c r="S682">
        <f>IF([@data_scadentei]&lt;[@data_factura],"SCADENTA INAINTEA FACTURII","")</f>
        <v/>
      </c>
      <c r="T682">
        <f>IF(NETWORKDAYS.INTL([@data_factura],[@data_factura],1,tbl_SarbatoriLegale[data])=0,"ZI NELUCRATOARE","")</f>
        <v/>
      </c>
      <c r="U682">
        <f>IF([@motiv_anomalie]="","OK","DE INVESTIGAT")</f>
        <v/>
      </c>
      <c r="V682">
        <f>TEXTJOIN("; ",TRUE,[@flag_oras],[@flag_tva],[@flag_scadenta],[@flag_zi])</f>
        <v/>
      </c>
    </row>
    <row r="683">
      <c r="A683" t="inlineStr">
        <is>
          <t>F-2025-00682</t>
        </is>
      </c>
      <c r="B683" s="12" t="n">
        <v>46268</v>
      </c>
      <c r="C683" t="inlineStr">
        <is>
          <t>SC INTEGROMED SA</t>
        </is>
      </c>
      <c r="D683" t="inlineStr">
        <is>
          <t>Cluj</t>
        </is>
      </c>
      <c r="E683" t="inlineStr">
        <is>
          <t>PRD-011</t>
        </is>
      </c>
      <c r="F683" t="inlineStr">
        <is>
          <t>Licenta antivirus enterprise</t>
        </is>
      </c>
      <c r="G683" t="inlineStr">
        <is>
          <t>Licențe software</t>
        </is>
      </c>
      <c r="H683" t="n">
        <v>50</v>
      </c>
      <c r="I683" t="n">
        <v>44.85</v>
      </c>
      <c r="J683" t="n">
        <v>2242.5</v>
      </c>
      <c r="K683" s="13" t="n">
        <v>0.19</v>
      </c>
      <c r="L683" t="n">
        <v>426.07</v>
      </c>
      <c r="M683" t="n">
        <v>2668.57</v>
      </c>
      <c r="N683" t="inlineStr">
        <is>
          <t>RON</t>
        </is>
      </c>
      <c r="O683" t="inlineStr">
        <is>
          <t>Cluj-Napoca</t>
        </is>
      </c>
      <c r="P683" s="12" t="n">
        <v>46298</v>
      </c>
      <c r="Q683">
        <f>IF(COUNTIF(tbl_Localitati[oras_oficial],[@oras])=0,"ORAS NEALINIAT",IF(XLOOKUP([@oras],tbl_Localitati[oras_oficial],tbl_Localitati[judet],"?")&lt;&gt;[@judet],"JUDET NECORESPUNZATOR",""))</f>
        <v/>
      </c>
      <c r="R683">
        <f>IF(XLOOKUP([@categorie],tbl_RegulriTVA[categorie],tbl_RegulriTVA[cota_legala],-1)&lt;&gt;[@cota_tva],"TVA GRESIT","")</f>
        <v/>
      </c>
      <c r="S683">
        <f>IF([@data_scadentei]&lt;[@data_factura],"SCADENTA INAINTEA FACTURII","")</f>
        <v/>
      </c>
      <c r="T683">
        <f>IF(NETWORKDAYS.INTL([@data_factura],[@data_factura],1,tbl_SarbatoriLegale[data])=0,"ZI NELUCRATOARE","")</f>
        <v/>
      </c>
      <c r="U683">
        <f>IF([@motiv_anomalie]="","OK","DE INVESTIGAT")</f>
        <v/>
      </c>
      <c r="V683">
        <f>TEXTJOIN("; ",TRUE,[@flag_oras],[@flag_tva],[@flag_scadenta],[@flag_zi])</f>
        <v/>
      </c>
    </row>
    <row r="684">
      <c r="A684" t="inlineStr">
        <is>
          <t>F-2025-00683</t>
        </is>
      </c>
      <c r="B684" s="12" t="n">
        <v>46273</v>
      </c>
      <c r="C684" t="inlineStr">
        <is>
          <t>SC DACTECH SOLUTIONS SRL</t>
        </is>
      </c>
      <c r="D684" t="inlineStr">
        <is>
          <t>Brașov</t>
        </is>
      </c>
      <c r="E684" t="inlineStr">
        <is>
          <t>PRD-001</t>
        </is>
      </c>
      <c r="F684" t="inlineStr">
        <is>
          <t>Server rack 1U</t>
        </is>
      </c>
      <c r="G684" t="inlineStr">
        <is>
          <t>Hardware IT</t>
        </is>
      </c>
      <c r="H684" t="n">
        <v>2</v>
      </c>
      <c r="I684" t="n">
        <v>2357.88</v>
      </c>
      <c r="J684" t="n">
        <v>4715.76</v>
      </c>
      <c r="K684" s="13" t="n">
        <v>0.19</v>
      </c>
      <c r="L684" t="n">
        <v>895.99</v>
      </c>
      <c r="M684" t="n">
        <v>5611.75</v>
      </c>
      <c r="N684" t="inlineStr">
        <is>
          <t>RON</t>
        </is>
      </c>
      <c r="O684" t="inlineStr">
        <is>
          <t>Pitești</t>
        </is>
      </c>
      <c r="P684" s="12" t="n">
        <v>46288</v>
      </c>
      <c r="Q684">
        <f>IF(COUNTIF(tbl_Localitati[oras_oficial],[@oras])=0,"ORAS NEALINIAT",IF(XLOOKUP([@oras],tbl_Localitati[oras_oficial],tbl_Localitati[judet],"?")&lt;&gt;[@judet],"JUDET NECORESPUNZATOR",""))</f>
        <v/>
      </c>
      <c r="R684">
        <f>IF(XLOOKUP([@categorie],tbl_RegulriTVA[categorie],tbl_RegulriTVA[cota_legala],-1)&lt;&gt;[@cota_tva],"TVA GRESIT","")</f>
        <v/>
      </c>
      <c r="S684">
        <f>IF([@data_scadentei]&lt;[@data_factura],"SCADENTA INAINTEA FACTURII","")</f>
        <v/>
      </c>
      <c r="T684">
        <f>IF(NETWORKDAYS.INTL([@data_factura],[@data_factura],1,tbl_SarbatoriLegale[data])=0,"ZI NELUCRATOARE","")</f>
        <v/>
      </c>
      <c r="U684">
        <f>IF([@motiv_anomalie]="","OK","DE INVESTIGAT")</f>
        <v/>
      </c>
      <c r="V684">
        <f>TEXTJOIN("; ",TRUE,[@flag_oras],[@flag_tva],[@flag_scadenta],[@flag_zi])</f>
        <v/>
      </c>
    </row>
    <row r="685">
      <c r="A685" t="inlineStr">
        <is>
          <t>F-2025-00684</t>
        </is>
      </c>
      <c r="B685" s="12" t="n">
        <v>46085</v>
      </c>
      <c r="C685" t="inlineStr">
        <is>
          <t>SC SOLARIS ENERGY SRL</t>
        </is>
      </c>
      <c r="D685" t="inlineStr">
        <is>
          <t>Prahova</t>
        </is>
      </c>
      <c r="E685" t="inlineStr">
        <is>
          <t>PRD-003</t>
        </is>
      </c>
      <c r="F685" t="inlineStr">
        <is>
          <t>Licenta ERP contabilitate</t>
        </is>
      </c>
      <c r="G685" t="inlineStr">
        <is>
          <t>Licențe software</t>
        </is>
      </c>
      <c r="H685" t="n">
        <v>10</v>
      </c>
      <c r="I685" t="n">
        <v>4397.61</v>
      </c>
      <c r="J685" t="n">
        <v>43976.1</v>
      </c>
      <c r="K685" s="13" t="n">
        <v>0.19</v>
      </c>
      <c r="L685" t="n">
        <v>8355.459999999999</v>
      </c>
      <c r="M685" t="n">
        <v>52331.56</v>
      </c>
      <c r="N685" t="inlineStr">
        <is>
          <t>RON</t>
        </is>
      </c>
      <c r="O685" t="inlineStr">
        <is>
          <t>Câmpina</t>
        </is>
      </c>
      <c r="P685" s="12" t="n">
        <v>46115</v>
      </c>
      <c r="Q685">
        <f>IF(COUNTIF(tbl_Localitati[oras_oficial],[@oras])=0,"ORAS NEALINIAT",IF(XLOOKUP([@oras],tbl_Localitati[oras_oficial],tbl_Localitati[judet],"?")&lt;&gt;[@judet],"JUDET NECORESPUNZATOR",""))</f>
        <v/>
      </c>
      <c r="R685">
        <f>IF(XLOOKUP([@categorie],tbl_RegulriTVA[categorie],tbl_RegulriTVA[cota_legala],-1)&lt;&gt;[@cota_tva],"TVA GRESIT","")</f>
        <v/>
      </c>
      <c r="S685">
        <f>IF([@data_scadentei]&lt;[@data_factura],"SCADENTA INAINTEA FACTURII","")</f>
        <v/>
      </c>
      <c r="T685">
        <f>IF(NETWORKDAYS.INTL([@data_factura],[@data_factura],1,tbl_SarbatoriLegale[data])=0,"ZI NELUCRATOARE","")</f>
        <v/>
      </c>
      <c r="U685">
        <f>IF([@motiv_anomalie]="","OK","DE INVESTIGAT")</f>
        <v/>
      </c>
      <c r="V685">
        <f>TEXTJOIN("; ",TRUE,[@flag_oras],[@flag_tva],[@flag_scadenta],[@flag_zi])</f>
        <v/>
      </c>
    </row>
    <row r="686">
      <c r="A686" t="inlineStr">
        <is>
          <t>F-2025-00685</t>
        </is>
      </c>
      <c r="B686" s="12" t="n">
        <v>46071</v>
      </c>
      <c r="C686" t="inlineStr">
        <is>
          <t>SC AROMET TRADING SRL</t>
        </is>
      </c>
      <c r="D686" t="inlineStr">
        <is>
          <t>Alba</t>
        </is>
      </c>
      <c r="E686" t="inlineStr">
        <is>
          <t>PRD-005</t>
        </is>
      </c>
      <c r="F686" t="inlineStr">
        <is>
          <t>Masti protectie cutie</t>
        </is>
      </c>
      <c r="G686" t="inlineStr">
        <is>
          <t>Produse farmaceutice</t>
        </is>
      </c>
      <c r="H686" t="n">
        <v>2</v>
      </c>
      <c r="I686" t="n">
        <v>251.77</v>
      </c>
      <c r="J686" t="n">
        <v>503.54</v>
      </c>
      <c r="K686" s="13" t="n">
        <v>0.09</v>
      </c>
      <c r="L686" t="n">
        <v>45.32</v>
      </c>
      <c r="M686" t="n">
        <v>548.86</v>
      </c>
      <c r="N686" t="inlineStr">
        <is>
          <t>RON</t>
        </is>
      </c>
      <c r="O686" t="inlineStr">
        <is>
          <t>Alba Iulia</t>
        </is>
      </c>
      <c r="P686" s="12" t="n">
        <v>46131</v>
      </c>
      <c r="Q686">
        <f>IF(COUNTIF(tbl_Localitati[oras_oficial],[@oras])=0,"ORAS NEALINIAT",IF(XLOOKUP([@oras],tbl_Localitati[oras_oficial],tbl_Localitati[judet],"?")&lt;&gt;[@judet],"JUDET NECORESPUNZATOR",""))</f>
        <v/>
      </c>
      <c r="R686">
        <f>IF(XLOOKUP([@categorie],tbl_RegulriTVA[categorie],tbl_RegulriTVA[cota_legala],-1)&lt;&gt;[@cota_tva],"TVA GRESIT","")</f>
        <v/>
      </c>
      <c r="S686">
        <f>IF([@data_scadentei]&lt;[@data_factura],"SCADENTA INAINTEA FACTURII","")</f>
        <v/>
      </c>
      <c r="T686">
        <f>IF(NETWORKDAYS.INTL([@data_factura],[@data_factura],1,tbl_SarbatoriLegale[data])=0,"ZI NELUCRATOARE","")</f>
        <v/>
      </c>
      <c r="U686">
        <f>IF([@motiv_anomalie]="","OK","DE INVESTIGAT")</f>
        <v/>
      </c>
      <c r="V686">
        <f>TEXTJOIN("; ",TRUE,[@flag_oras],[@flag_tva],[@flag_scadenta],[@flag_zi])</f>
        <v/>
      </c>
    </row>
    <row r="687">
      <c r="A687" t="inlineStr">
        <is>
          <t>F-2025-00686</t>
        </is>
      </c>
      <c r="B687" s="12" t="n">
        <v>46254</v>
      </c>
      <c r="C687" t="inlineStr">
        <is>
          <t>SC METALPLAST INVEST SA</t>
        </is>
      </c>
      <c r="D687" t="inlineStr">
        <is>
          <t>Cluj</t>
        </is>
      </c>
      <c r="E687" t="inlineStr">
        <is>
          <t>PRD-003</t>
        </is>
      </c>
      <c r="F687" t="inlineStr">
        <is>
          <t>Licenta antivirus enterprise</t>
        </is>
      </c>
      <c r="G687" t="inlineStr">
        <is>
          <t>Licențe software</t>
        </is>
      </c>
      <c r="H687" t="n">
        <v>5</v>
      </c>
      <c r="I687" t="n">
        <v>4321.61</v>
      </c>
      <c r="J687" t="n">
        <v>21608.05</v>
      </c>
      <c r="K687" s="13" t="n">
        <v>0.19</v>
      </c>
      <c r="L687" t="n">
        <v>4105.53</v>
      </c>
      <c r="M687" t="n">
        <v>25713.58</v>
      </c>
      <c r="N687" t="inlineStr">
        <is>
          <t>RON</t>
        </is>
      </c>
      <c r="O687" t="inlineStr">
        <is>
          <t>Turda</t>
        </is>
      </c>
      <c r="P687" s="12" t="n">
        <v>46284</v>
      </c>
      <c r="Q687">
        <f>IF(COUNTIF(tbl_Localitati[oras_oficial],[@oras])=0,"ORAS NEALINIAT",IF(XLOOKUP([@oras],tbl_Localitati[oras_oficial],tbl_Localitati[judet],"?")&lt;&gt;[@judet],"JUDET NECORESPUNZATOR",""))</f>
        <v/>
      </c>
      <c r="R687">
        <f>IF(XLOOKUP([@categorie],tbl_RegulriTVA[categorie],tbl_RegulriTVA[cota_legala],-1)&lt;&gt;[@cota_tva],"TVA GRESIT","")</f>
        <v/>
      </c>
      <c r="S687">
        <f>IF([@data_scadentei]&lt;[@data_factura],"SCADENTA INAINTEA FACTURII","")</f>
        <v/>
      </c>
      <c r="T687">
        <f>IF(NETWORKDAYS.INTL([@data_factura],[@data_factura],1,tbl_SarbatoriLegale[data])=0,"ZI NELUCRATOARE","")</f>
        <v/>
      </c>
      <c r="U687">
        <f>IF([@motiv_anomalie]="","OK","DE INVESTIGAT")</f>
        <v/>
      </c>
      <c r="V687">
        <f>TEXTJOIN("; ",TRUE,[@flag_oras],[@flag_tva],[@flag_scadenta],[@flag_zi])</f>
        <v/>
      </c>
    </row>
    <row r="688">
      <c r="A688" t="inlineStr">
        <is>
          <t>F-2025-00687</t>
        </is>
      </c>
      <c r="B688" s="12" t="n">
        <v>46205</v>
      </c>
      <c r="C688" t="inlineStr">
        <is>
          <t>SC AROMET TRADING SRL</t>
        </is>
      </c>
      <c r="D688" t="inlineStr">
        <is>
          <t>Alba</t>
        </is>
      </c>
      <c r="E688" t="inlineStr">
        <is>
          <t>PRD-008</t>
        </is>
      </c>
      <c r="F688" t="inlineStr">
        <is>
          <t>Server rack 1U</t>
        </is>
      </c>
      <c r="G688" t="inlineStr">
        <is>
          <t>Hardware IT</t>
        </is>
      </c>
      <c r="H688" t="n">
        <v>5</v>
      </c>
      <c r="I688" t="n">
        <v>432.03</v>
      </c>
      <c r="J688" t="n">
        <v>2160.15</v>
      </c>
      <c r="K688" s="13" t="n">
        <v>0.19</v>
      </c>
      <c r="L688" t="n">
        <v>410.43</v>
      </c>
      <c r="M688" t="n">
        <v>2570.58</v>
      </c>
      <c r="N688" t="inlineStr">
        <is>
          <t>RON</t>
        </is>
      </c>
      <c r="O688" t="inlineStr">
        <is>
          <t>Alba Iulia</t>
        </is>
      </c>
      <c r="P688" s="12" t="n">
        <v>46235</v>
      </c>
      <c r="Q688">
        <f>IF(COUNTIF(tbl_Localitati[oras_oficial],[@oras])=0,"ORAS NEALINIAT",IF(XLOOKUP([@oras],tbl_Localitati[oras_oficial],tbl_Localitati[judet],"?")&lt;&gt;[@judet],"JUDET NECORESPUNZATOR",""))</f>
        <v/>
      </c>
      <c r="R688">
        <f>IF(XLOOKUP([@categorie],tbl_RegulriTVA[categorie],tbl_RegulriTVA[cota_legala],-1)&lt;&gt;[@cota_tva],"TVA GRESIT","")</f>
        <v/>
      </c>
      <c r="S688">
        <f>IF([@data_scadentei]&lt;[@data_factura],"SCADENTA INAINTEA FACTURII","")</f>
        <v/>
      </c>
      <c r="T688">
        <f>IF(NETWORKDAYS.INTL([@data_factura],[@data_factura],1,tbl_SarbatoriLegale[data])=0,"ZI NELUCRATOARE","")</f>
        <v/>
      </c>
      <c r="U688">
        <f>IF([@motiv_anomalie]="","OK","DE INVESTIGAT")</f>
        <v/>
      </c>
      <c r="V688">
        <f>TEXTJOIN("; ",TRUE,[@flag_oras],[@flag_tva],[@flag_scadenta],[@flag_zi])</f>
        <v/>
      </c>
    </row>
    <row r="689">
      <c r="A689" t="inlineStr">
        <is>
          <t>F-2025-00688</t>
        </is>
      </c>
      <c r="B689" s="12" t="n">
        <v>46252</v>
      </c>
      <c r="C689" t="inlineStr">
        <is>
          <t>SC ZENITH AUTO SRL</t>
        </is>
      </c>
      <c r="D689" t="inlineStr">
        <is>
          <t>București</t>
        </is>
      </c>
      <c r="E689" t="inlineStr">
        <is>
          <t>PRD-007</t>
        </is>
      </c>
      <c r="F689" t="inlineStr">
        <is>
          <t>Set carti formare</t>
        </is>
      </c>
      <c r="G689" t="inlineStr">
        <is>
          <t>Cărți și manuale</t>
        </is>
      </c>
      <c r="H689" t="n">
        <v>1</v>
      </c>
      <c r="I689" t="n">
        <v>182.24</v>
      </c>
      <c r="J689" t="n">
        <v>182.24</v>
      </c>
      <c r="K689" s="13" t="n">
        <v>0.05</v>
      </c>
      <c r="L689" t="n">
        <v>9.109999999999999</v>
      </c>
      <c r="M689" t="n">
        <v>191.35</v>
      </c>
      <c r="N689" t="inlineStr">
        <is>
          <t>RON</t>
        </is>
      </c>
      <c r="O689" t="inlineStr">
        <is>
          <t>București</t>
        </is>
      </c>
      <c r="P689" s="12" t="n">
        <v>46282</v>
      </c>
      <c r="Q689">
        <f>IF(COUNTIF(tbl_Localitati[oras_oficial],[@oras])=0,"ORAS NEALINIAT",IF(XLOOKUP([@oras],tbl_Localitati[oras_oficial],tbl_Localitati[judet],"?")&lt;&gt;[@judet],"JUDET NECORESPUNZATOR",""))</f>
        <v/>
      </c>
      <c r="R689">
        <f>IF(XLOOKUP([@categorie],tbl_RegulriTVA[categorie],tbl_RegulriTVA[cota_legala],-1)&lt;&gt;[@cota_tva],"TVA GRESIT","")</f>
        <v/>
      </c>
      <c r="S689">
        <f>IF([@data_scadentei]&lt;[@data_factura],"SCADENTA INAINTEA FACTURII","")</f>
        <v/>
      </c>
      <c r="T689">
        <f>IF(NETWORKDAYS.INTL([@data_factura],[@data_factura],1,tbl_SarbatoriLegale[data])=0,"ZI NELUCRATOARE","")</f>
        <v/>
      </c>
      <c r="U689">
        <f>IF([@motiv_anomalie]="","OK","DE INVESTIGAT")</f>
        <v/>
      </c>
      <c r="V689">
        <f>TEXTJOIN("; ",TRUE,[@flag_oras],[@flag_tva],[@flag_scadenta],[@flag_zi])</f>
        <v/>
      </c>
    </row>
    <row r="690">
      <c r="A690" t="inlineStr">
        <is>
          <t>F-2025-00689</t>
        </is>
      </c>
      <c r="B690" s="12" t="n">
        <v>46231</v>
      </c>
      <c r="C690" t="inlineStr">
        <is>
          <t>SC VECTOR CONSULT SRL</t>
        </is>
      </c>
      <c r="D690" t="inlineStr">
        <is>
          <t>Timiș</t>
        </is>
      </c>
      <c r="E690" t="inlineStr">
        <is>
          <t>PRD-006</t>
        </is>
      </c>
      <c r="F690" t="inlineStr">
        <is>
          <t>Dezinfectant maini 5L</t>
        </is>
      </c>
      <c r="G690" t="inlineStr">
        <is>
          <t>Produse farmaceutice</t>
        </is>
      </c>
      <c r="H690" t="n">
        <v>25</v>
      </c>
      <c r="I690" t="n">
        <v>744.1799999999999</v>
      </c>
      <c r="J690" t="n">
        <v>18604.5</v>
      </c>
      <c r="K690" s="13" t="n">
        <v>0.09</v>
      </c>
      <c r="L690" t="n">
        <v>1674.4</v>
      </c>
      <c r="M690" t="n">
        <v>20278.9</v>
      </c>
      <c r="N690" t="inlineStr">
        <is>
          <t>RON</t>
        </is>
      </c>
      <c r="O690" t="inlineStr">
        <is>
          <t>Timișoara</t>
        </is>
      </c>
      <c r="P690" s="12" t="n">
        <v>46261</v>
      </c>
      <c r="Q690">
        <f>IF(COUNTIF(tbl_Localitati[oras_oficial],[@oras])=0,"ORAS NEALINIAT",IF(XLOOKUP([@oras],tbl_Localitati[oras_oficial],tbl_Localitati[judet],"?")&lt;&gt;[@judet],"JUDET NECORESPUNZATOR",""))</f>
        <v/>
      </c>
      <c r="R690">
        <f>IF(XLOOKUP([@categorie],tbl_RegulriTVA[categorie],tbl_RegulriTVA[cota_legala],-1)&lt;&gt;[@cota_tva],"TVA GRESIT","")</f>
        <v/>
      </c>
      <c r="S690">
        <f>IF([@data_scadentei]&lt;[@data_factura],"SCADENTA INAINTEA FACTURII","")</f>
        <v/>
      </c>
      <c r="T690">
        <f>IF(NETWORKDAYS.INTL([@data_factura],[@data_factura],1,tbl_SarbatoriLegale[data])=0,"ZI NELUCRATOARE","")</f>
        <v/>
      </c>
      <c r="U690">
        <f>IF([@motiv_anomalie]="","OK","DE INVESTIGAT")</f>
        <v/>
      </c>
      <c r="V690">
        <f>TEXTJOIN("; ",TRUE,[@flag_oras],[@flag_tva],[@flag_scadenta],[@flag_zi])</f>
        <v/>
      </c>
    </row>
    <row r="691">
      <c r="A691" t="inlineStr">
        <is>
          <t>F-2025-00690</t>
        </is>
      </c>
      <c r="B691" s="12" t="n">
        <v>46243</v>
      </c>
      <c r="C691" t="inlineStr">
        <is>
          <t>SC OMEGA SOFT SRL</t>
        </is>
      </c>
      <c r="D691" t="inlineStr">
        <is>
          <t>Dolj</t>
        </is>
      </c>
      <c r="E691" t="inlineStr">
        <is>
          <t>PRD-009</t>
        </is>
      </c>
      <c r="F691" t="inlineStr">
        <is>
          <t>Manual proceduri interne</t>
        </is>
      </c>
      <c r="G691" t="inlineStr">
        <is>
          <t>Cărți și manuale</t>
        </is>
      </c>
      <c r="H691" t="n">
        <v>20</v>
      </c>
      <c r="I691" t="n">
        <v>28.56</v>
      </c>
      <c r="J691" t="n">
        <v>571.2</v>
      </c>
      <c r="K691" s="13" t="n">
        <v>0.05</v>
      </c>
      <c r="L691" t="n">
        <v>28.56</v>
      </c>
      <c r="M691" t="n">
        <v>599.76</v>
      </c>
      <c r="N691" t="inlineStr">
        <is>
          <t>RON</t>
        </is>
      </c>
      <c r="O691" t="inlineStr">
        <is>
          <t>Craiova</t>
        </is>
      </c>
      <c r="P691" s="12" t="n">
        <v>46273</v>
      </c>
      <c r="Q691">
        <f>IF(COUNTIF(tbl_Localitati[oras_oficial],[@oras])=0,"ORAS NEALINIAT",IF(XLOOKUP([@oras],tbl_Localitati[oras_oficial],tbl_Localitati[judet],"?")&lt;&gt;[@judet],"JUDET NECORESPUNZATOR",""))</f>
        <v/>
      </c>
      <c r="R691">
        <f>IF(XLOOKUP([@categorie],tbl_RegulriTVA[categorie],tbl_RegulriTVA[cota_legala],-1)&lt;&gt;[@cota_tva],"TVA GRESIT","")</f>
        <v/>
      </c>
      <c r="S691">
        <f>IF([@data_scadentei]&lt;[@data_factura],"SCADENTA INAINTEA FACTURII","")</f>
        <v/>
      </c>
      <c r="T691">
        <f>IF(NETWORKDAYS.INTL([@data_factura],[@data_factura],1,tbl_SarbatoriLegale[data])=0,"ZI NELUCRATOARE","")</f>
        <v/>
      </c>
      <c r="U691">
        <f>IF([@motiv_anomalie]="","OK","DE INVESTIGAT")</f>
        <v/>
      </c>
      <c r="V691">
        <f>TEXTJOIN("; ",TRUE,[@flag_oras],[@flag_tva],[@flag_scadenta],[@flag_zi])</f>
        <v/>
      </c>
    </row>
    <row r="692">
      <c r="A692" t="inlineStr">
        <is>
          <t>F-2025-00691</t>
        </is>
      </c>
      <c r="B692" s="12" t="n">
        <v>46195</v>
      </c>
      <c r="C692" t="inlineStr">
        <is>
          <t>SC NORDIS DISTRIBUTIE SRL</t>
        </is>
      </c>
      <c r="D692" t="inlineStr">
        <is>
          <t>Constanța</t>
        </is>
      </c>
      <c r="E692" t="inlineStr">
        <is>
          <t>PRD-005</t>
        </is>
      </c>
      <c r="F692" t="inlineStr">
        <is>
          <t>Suport tehnic anual</t>
        </is>
      </c>
      <c r="G692" t="inlineStr">
        <is>
          <t>Servicii consultanță</t>
        </is>
      </c>
      <c r="H692" t="n">
        <v>1</v>
      </c>
      <c r="I692" t="n">
        <v>249.69</v>
      </c>
      <c r="J692" t="n">
        <v>249.69</v>
      </c>
      <c r="K692" s="13" t="n">
        <v>0.19</v>
      </c>
      <c r="L692" t="n">
        <v>47.44</v>
      </c>
      <c r="M692" t="n">
        <v>297.13</v>
      </c>
      <c r="N692" t="inlineStr">
        <is>
          <t>RON</t>
        </is>
      </c>
      <c r="O692" t="inlineStr">
        <is>
          <t>Mangalia</t>
        </is>
      </c>
      <c r="P692" s="12" t="n">
        <v>46240</v>
      </c>
      <c r="Q692">
        <f>IF(COUNTIF(tbl_Localitati[oras_oficial],[@oras])=0,"ORAS NEALINIAT",IF(XLOOKUP([@oras],tbl_Localitati[oras_oficial],tbl_Localitati[judet],"?")&lt;&gt;[@judet],"JUDET NECORESPUNZATOR",""))</f>
        <v/>
      </c>
      <c r="R692">
        <f>IF(XLOOKUP([@categorie],tbl_RegulriTVA[categorie],tbl_RegulriTVA[cota_legala],-1)&lt;&gt;[@cota_tva],"TVA GRESIT","")</f>
        <v/>
      </c>
      <c r="S692">
        <f>IF([@data_scadentei]&lt;[@data_factura],"SCADENTA INAINTEA FACTURII","")</f>
        <v/>
      </c>
      <c r="T692">
        <f>IF(NETWORKDAYS.INTL([@data_factura],[@data_factura],1,tbl_SarbatoriLegale[data])=0,"ZI NELUCRATOARE","")</f>
        <v/>
      </c>
      <c r="U692">
        <f>IF([@motiv_anomalie]="","OK","DE INVESTIGAT")</f>
        <v/>
      </c>
      <c r="V692">
        <f>TEXTJOIN("; ",TRUE,[@flag_oras],[@flag_tva],[@flag_scadenta],[@flag_zi])</f>
        <v/>
      </c>
    </row>
    <row r="693">
      <c r="A693" t="inlineStr">
        <is>
          <t>F-2025-00692</t>
        </is>
      </c>
      <c r="B693" s="12" t="n">
        <v>46365</v>
      </c>
      <c r="C693" t="inlineStr">
        <is>
          <t>SC VECTOR CONSULT SRL</t>
        </is>
      </c>
      <c r="D693" t="inlineStr">
        <is>
          <t>Timiș</t>
        </is>
      </c>
      <c r="E693" t="inlineStr">
        <is>
          <t>PRD-010</t>
        </is>
      </c>
      <c r="F693" t="inlineStr">
        <is>
          <t>Laptop business 15"</t>
        </is>
      </c>
      <c r="G693" t="inlineStr">
        <is>
          <t>Hardware IT</t>
        </is>
      </c>
      <c r="H693" t="n">
        <v>20</v>
      </c>
      <c r="I693" t="n">
        <v>347.39</v>
      </c>
      <c r="J693" t="n">
        <v>6947.8</v>
      </c>
      <c r="K693" s="13" t="n">
        <v>0.19</v>
      </c>
      <c r="L693" t="n">
        <v>1320.08</v>
      </c>
      <c r="M693" t="n">
        <v>8267.879999999999</v>
      </c>
      <c r="N693" t="inlineStr">
        <is>
          <t>RON</t>
        </is>
      </c>
      <c r="O693" t="inlineStr">
        <is>
          <t>Timișoara</t>
        </is>
      </c>
      <c r="P693" s="12" t="n">
        <v>46410</v>
      </c>
      <c r="Q693">
        <f>IF(COUNTIF(tbl_Localitati[oras_oficial],[@oras])=0,"ORAS NEALINIAT",IF(XLOOKUP([@oras],tbl_Localitati[oras_oficial],tbl_Localitati[judet],"?")&lt;&gt;[@judet],"JUDET NECORESPUNZATOR",""))</f>
        <v/>
      </c>
      <c r="R693">
        <f>IF(XLOOKUP([@categorie],tbl_RegulriTVA[categorie],tbl_RegulriTVA[cota_legala],-1)&lt;&gt;[@cota_tva],"TVA GRESIT","")</f>
        <v/>
      </c>
      <c r="S693">
        <f>IF([@data_scadentei]&lt;[@data_factura],"SCADENTA INAINTEA FACTURII","")</f>
        <v/>
      </c>
      <c r="T693">
        <f>IF(NETWORKDAYS.INTL([@data_factura],[@data_factura],1,tbl_SarbatoriLegale[data])=0,"ZI NELUCRATOARE","")</f>
        <v/>
      </c>
      <c r="U693">
        <f>IF([@motiv_anomalie]="","OK","DE INVESTIGAT")</f>
        <v/>
      </c>
      <c r="V693">
        <f>TEXTJOIN("; ",TRUE,[@flag_oras],[@flag_tva],[@flag_scadenta],[@flag_zi])</f>
        <v/>
      </c>
    </row>
    <row r="694">
      <c r="A694" t="inlineStr">
        <is>
          <t>F-2025-00693</t>
        </is>
      </c>
      <c r="B694" s="12" t="n">
        <v>46331</v>
      </c>
      <c r="C694" t="inlineStr">
        <is>
          <t>SC RAPID LOGISTIC SA</t>
        </is>
      </c>
      <c r="D694" t="inlineStr">
        <is>
          <t>Prahova</t>
        </is>
      </c>
      <c r="E694" t="inlineStr">
        <is>
          <t>PRD-011</t>
        </is>
      </c>
      <c r="F694" t="inlineStr">
        <is>
          <t>Switch gigabit 24p</t>
        </is>
      </c>
      <c r="G694" t="inlineStr">
        <is>
          <t>Hardware IT</t>
        </is>
      </c>
      <c r="H694" t="n">
        <v>20</v>
      </c>
      <c r="I694" t="n">
        <v>46.02</v>
      </c>
      <c r="J694" t="n">
        <v>920.4</v>
      </c>
      <c r="K694" s="13" t="n">
        <v>0.19</v>
      </c>
      <c r="L694" t="n">
        <v>174.88</v>
      </c>
      <c r="M694" t="n">
        <v>1095.28</v>
      </c>
      <c r="N694" t="inlineStr">
        <is>
          <t>RON</t>
        </is>
      </c>
      <c r="O694" t="inlineStr">
        <is>
          <t>Ploiești</t>
        </is>
      </c>
      <c r="P694" s="12" t="n">
        <v>46376</v>
      </c>
      <c r="Q694">
        <f>IF(COUNTIF(tbl_Localitati[oras_oficial],[@oras])=0,"ORAS NEALINIAT",IF(XLOOKUP([@oras],tbl_Localitati[oras_oficial],tbl_Localitati[judet],"?")&lt;&gt;[@judet],"JUDET NECORESPUNZATOR",""))</f>
        <v/>
      </c>
      <c r="R694">
        <f>IF(XLOOKUP([@categorie],tbl_RegulriTVA[categorie],tbl_RegulriTVA[cota_legala],-1)&lt;&gt;[@cota_tva],"TVA GRESIT","")</f>
        <v/>
      </c>
      <c r="S694">
        <f>IF([@data_scadentei]&lt;[@data_factura],"SCADENTA INAINTEA FACTURII","")</f>
        <v/>
      </c>
      <c r="T694">
        <f>IF(NETWORKDAYS.INTL([@data_factura],[@data_factura],1,tbl_SarbatoriLegale[data])=0,"ZI NELUCRATOARE","")</f>
        <v/>
      </c>
      <c r="U694">
        <f>IF([@motiv_anomalie]="","OK","DE INVESTIGAT")</f>
        <v/>
      </c>
      <c r="V694">
        <f>TEXTJOIN("; ",TRUE,[@flag_oras],[@flag_tva],[@flag_scadenta],[@flag_zi])</f>
        <v/>
      </c>
    </row>
    <row r="695">
      <c r="A695" t="inlineStr">
        <is>
          <t>F-2025-00694</t>
        </is>
      </c>
      <c r="B695" s="12" t="n">
        <v>46239</v>
      </c>
      <c r="C695" t="inlineStr">
        <is>
          <t>SC DACTECH SOLUTIONS SRL</t>
        </is>
      </c>
      <c r="D695" t="inlineStr">
        <is>
          <t>Argeș</t>
        </is>
      </c>
      <c r="E695" t="inlineStr">
        <is>
          <t>PRD-009</t>
        </is>
      </c>
      <c r="F695" t="inlineStr">
        <is>
          <t>Statie de lucru desktop</t>
        </is>
      </c>
      <c r="G695" t="inlineStr">
        <is>
          <t>Hardware IT</t>
        </is>
      </c>
      <c r="H695" t="n">
        <v>50</v>
      </c>
      <c r="I695" t="n">
        <v>27.18</v>
      </c>
      <c r="J695" t="n">
        <v>1359</v>
      </c>
      <c r="K695" s="13" t="n">
        <v>0.19</v>
      </c>
      <c r="L695" t="n">
        <v>258.21</v>
      </c>
      <c r="M695" t="n">
        <v>1617.21</v>
      </c>
      <c r="N695" t="inlineStr">
        <is>
          <t>RON</t>
        </is>
      </c>
      <c r="O695" t="inlineStr">
        <is>
          <t>Pitești</t>
        </is>
      </c>
      <c r="P695" s="12" t="n">
        <v>46284</v>
      </c>
      <c r="Q695">
        <f>IF(COUNTIF(tbl_Localitati[oras_oficial],[@oras])=0,"ORAS NEALINIAT",IF(XLOOKUP([@oras],tbl_Localitati[oras_oficial],tbl_Localitati[judet],"?")&lt;&gt;[@judet],"JUDET NECORESPUNZATOR",""))</f>
        <v/>
      </c>
      <c r="R695">
        <f>IF(XLOOKUP([@categorie],tbl_RegulriTVA[categorie],tbl_RegulriTVA[cota_legala],-1)&lt;&gt;[@cota_tva],"TVA GRESIT","")</f>
        <v/>
      </c>
      <c r="S695">
        <f>IF([@data_scadentei]&lt;[@data_factura],"SCADENTA INAINTEA FACTURII","")</f>
        <v/>
      </c>
      <c r="T695">
        <f>IF(NETWORKDAYS.INTL([@data_factura],[@data_factura],1,tbl_SarbatoriLegale[data])=0,"ZI NELUCRATOARE","")</f>
        <v/>
      </c>
      <c r="U695">
        <f>IF([@motiv_anomalie]="","OK","DE INVESTIGAT")</f>
        <v/>
      </c>
      <c r="V695">
        <f>TEXTJOIN("; ",TRUE,[@flag_oras],[@flag_tva],[@flag_scadenta],[@flag_zi])</f>
        <v/>
      </c>
    </row>
    <row r="696">
      <c r="A696" t="inlineStr">
        <is>
          <t>F-2025-00695</t>
        </is>
      </c>
      <c r="B696" s="12" t="n">
        <v>46149</v>
      </c>
      <c r="C696" t="inlineStr">
        <is>
          <t>SC ZENITH AUTO SRL</t>
        </is>
      </c>
      <c r="D696" t="inlineStr">
        <is>
          <t>București</t>
        </is>
      </c>
      <c r="E696" t="inlineStr">
        <is>
          <t>PRD-005</t>
        </is>
      </c>
      <c r="F696" t="inlineStr">
        <is>
          <t>Server rack 1U</t>
        </is>
      </c>
      <c r="G696" t="inlineStr">
        <is>
          <t>Hardware IT</t>
        </is>
      </c>
      <c r="H696" t="n">
        <v>1</v>
      </c>
      <c r="I696" t="n">
        <v>255.21</v>
      </c>
      <c r="J696" t="n">
        <v>255.21</v>
      </c>
      <c r="K696" s="13" t="n">
        <v>0.19</v>
      </c>
      <c r="L696" t="n">
        <v>48.49</v>
      </c>
      <c r="M696" t="n">
        <v>303.7</v>
      </c>
      <c r="N696" t="inlineStr">
        <is>
          <t>RON</t>
        </is>
      </c>
      <c r="O696" t="inlineStr">
        <is>
          <t>București</t>
        </is>
      </c>
      <c r="P696" s="12" t="n">
        <v>46139</v>
      </c>
      <c r="Q696">
        <f>IF(COUNTIF(tbl_Localitati[oras_oficial],[@oras])=0,"ORAS NEALINIAT",IF(XLOOKUP([@oras],tbl_Localitati[oras_oficial],tbl_Localitati[judet],"?")&lt;&gt;[@judet],"JUDET NECORESPUNZATOR",""))</f>
        <v/>
      </c>
      <c r="R696">
        <f>IF(XLOOKUP([@categorie],tbl_RegulriTVA[categorie],tbl_RegulriTVA[cota_legala],-1)&lt;&gt;[@cota_tva],"TVA GRESIT","")</f>
        <v/>
      </c>
      <c r="S696">
        <f>IF([@data_scadentei]&lt;[@data_factura],"SCADENTA INAINTEA FACTURII","")</f>
        <v/>
      </c>
      <c r="T696">
        <f>IF(NETWORKDAYS.INTL([@data_factura],[@data_factura],1,tbl_SarbatoriLegale[data])=0,"ZI NELUCRATOARE","")</f>
        <v/>
      </c>
      <c r="U696">
        <f>IF([@motiv_anomalie]="","OK","DE INVESTIGAT")</f>
        <v/>
      </c>
      <c r="V696">
        <f>TEXTJOIN("; ",TRUE,[@flag_oras],[@flag_tva],[@flag_scadenta],[@flag_zi])</f>
        <v/>
      </c>
    </row>
    <row r="697">
      <c r="A697" t="inlineStr">
        <is>
          <t>F-2025-00696</t>
        </is>
      </c>
      <c r="B697" s="12" t="n">
        <v>46279</v>
      </c>
      <c r="C697" t="inlineStr">
        <is>
          <t>SC METALPLAST INVEST SA</t>
        </is>
      </c>
      <c r="D697" t="inlineStr">
        <is>
          <t>Cluj</t>
        </is>
      </c>
      <c r="E697" t="inlineStr">
        <is>
          <t>PRD-009</t>
        </is>
      </c>
      <c r="F697" t="inlineStr">
        <is>
          <t>Switch gigabit 24p</t>
        </is>
      </c>
      <c r="G697" t="inlineStr">
        <is>
          <t>Hardware IT</t>
        </is>
      </c>
      <c r="H697" t="n">
        <v>50</v>
      </c>
      <c r="I697" t="n">
        <v>28.21</v>
      </c>
      <c r="J697" t="n">
        <v>1410.5</v>
      </c>
      <c r="K697" s="13" t="n">
        <v>0.19</v>
      </c>
      <c r="L697" t="n">
        <v>268</v>
      </c>
      <c r="M697" t="n">
        <v>1678.5</v>
      </c>
      <c r="N697" t="inlineStr">
        <is>
          <t>RON</t>
        </is>
      </c>
      <c r="O697" t="inlineStr">
        <is>
          <t>Turda</t>
        </is>
      </c>
      <c r="P697" s="12" t="n">
        <v>46309</v>
      </c>
      <c r="Q697">
        <f>IF(COUNTIF(tbl_Localitati[oras_oficial],[@oras])=0,"ORAS NEALINIAT",IF(XLOOKUP([@oras],tbl_Localitati[oras_oficial],tbl_Localitati[judet],"?")&lt;&gt;[@judet],"JUDET NECORESPUNZATOR",""))</f>
        <v/>
      </c>
      <c r="R697">
        <f>IF(XLOOKUP([@categorie],tbl_RegulriTVA[categorie],tbl_RegulriTVA[cota_legala],-1)&lt;&gt;[@cota_tva],"TVA GRESIT","")</f>
        <v/>
      </c>
      <c r="S697">
        <f>IF([@data_scadentei]&lt;[@data_factura],"SCADENTA INAINTEA FACTURII","")</f>
        <v/>
      </c>
      <c r="T697">
        <f>IF(NETWORKDAYS.INTL([@data_factura],[@data_factura],1,tbl_SarbatoriLegale[data])=0,"ZI NELUCRATOARE","")</f>
        <v/>
      </c>
      <c r="U697">
        <f>IF([@motiv_anomalie]="","OK","DE INVESTIGAT")</f>
        <v/>
      </c>
      <c r="V697">
        <f>TEXTJOIN("; ",TRUE,[@flag_oras],[@flag_tva],[@flag_scadenta],[@flag_zi])</f>
        <v/>
      </c>
    </row>
    <row r="698">
      <c r="A698" t="inlineStr">
        <is>
          <t>F-2025-00697</t>
        </is>
      </c>
      <c r="B698" s="12" t="n">
        <v>46062</v>
      </c>
      <c r="C698" t="inlineStr">
        <is>
          <t>SC FARMAVITAL DISTRIBUTIE SA</t>
        </is>
      </c>
      <c r="D698" t="inlineStr">
        <is>
          <t>Bihor</t>
        </is>
      </c>
      <c r="E698" t="inlineStr">
        <is>
          <t>PRD-012</t>
        </is>
      </c>
      <c r="F698" t="inlineStr">
        <is>
          <t>Telefon IP birou</t>
        </is>
      </c>
      <c r="G698" t="inlineStr">
        <is>
          <t>Echipamente birou</t>
        </is>
      </c>
      <c r="H698" t="n">
        <v>4</v>
      </c>
      <c r="I698" t="n">
        <v>181.35</v>
      </c>
      <c r="J698" t="n">
        <v>725.4</v>
      </c>
      <c r="K698" s="13" t="n">
        <v>0.19</v>
      </c>
      <c r="L698" t="n">
        <v>137.83</v>
      </c>
      <c r="M698" t="n">
        <v>863.23</v>
      </c>
      <c r="N698" t="inlineStr">
        <is>
          <t>RON</t>
        </is>
      </c>
      <c r="O698" t="inlineStr">
        <is>
          <t>Oradea</t>
        </is>
      </c>
      <c r="P698" s="12" t="n">
        <v>46107</v>
      </c>
      <c r="Q698">
        <f>IF(COUNTIF(tbl_Localitati[oras_oficial],[@oras])=0,"ORAS NEALINIAT",IF(XLOOKUP([@oras],tbl_Localitati[oras_oficial],tbl_Localitati[judet],"?")&lt;&gt;[@judet],"JUDET NECORESPUNZATOR",""))</f>
        <v/>
      </c>
      <c r="R698">
        <f>IF(XLOOKUP([@categorie],tbl_RegulriTVA[categorie],tbl_RegulriTVA[cota_legala],-1)&lt;&gt;[@cota_tva],"TVA GRESIT","")</f>
        <v/>
      </c>
      <c r="S698">
        <f>IF([@data_scadentei]&lt;[@data_factura],"SCADENTA INAINTEA FACTURII","")</f>
        <v/>
      </c>
      <c r="T698">
        <f>IF(NETWORKDAYS.INTL([@data_factura],[@data_factura],1,tbl_SarbatoriLegale[data])=0,"ZI NELUCRATOARE","")</f>
        <v/>
      </c>
      <c r="U698">
        <f>IF([@motiv_anomalie]="","OK","DE INVESTIGAT")</f>
        <v/>
      </c>
      <c r="V698">
        <f>TEXTJOIN("; ",TRUE,[@flag_oras],[@flag_tva],[@flag_scadenta],[@flag_zi])</f>
        <v/>
      </c>
    </row>
    <row r="699">
      <c r="A699" t="inlineStr">
        <is>
          <t>F-2025-00698</t>
        </is>
      </c>
      <c r="B699" s="12" t="n">
        <v>46197</v>
      </c>
      <c r="C699" t="inlineStr">
        <is>
          <t>SC UNIFOOD DISTRIBUTION SA</t>
        </is>
      </c>
      <c r="D699" t="inlineStr">
        <is>
          <t>Sibiu</t>
        </is>
      </c>
      <c r="E699" t="inlineStr">
        <is>
          <t>PRD-005</t>
        </is>
      </c>
      <c r="F699" t="inlineStr">
        <is>
          <t>Switch gigabit 24p</t>
        </is>
      </c>
      <c r="G699" t="inlineStr">
        <is>
          <t>Hardware IT</t>
        </is>
      </c>
      <c r="H699" t="n">
        <v>2</v>
      </c>
      <c r="I699" t="n">
        <v>261.64</v>
      </c>
      <c r="J699" t="n">
        <v>523.28</v>
      </c>
      <c r="K699" s="13" t="n">
        <v>0.19</v>
      </c>
      <c r="L699" t="n">
        <v>99.42</v>
      </c>
      <c r="M699" t="n">
        <v>622.7</v>
      </c>
      <c r="N699" t="inlineStr">
        <is>
          <t>RON</t>
        </is>
      </c>
      <c r="O699" t="inlineStr">
        <is>
          <t>Mediaș</t>
        </is>
      </c>
      <c r="P699" s="12" t="n">
        <v>46227</v>
      </c>
      <c r="Q699">
        <f>IF(COUNTIF(tbl_Localitati[oras_oficial],[@oras])=0,"ORAS NEALINIAT",IF(XLOOKUP([@oras],tbl_Localitati[oras_oficial],tbl_Localitati[judet],"?")&lt;&gt;[@judet],"JUDET NECORESPUNZATOR",""))</f>
        <v/>
      </c>
      <c r="R699">
        <f>IF(XLOOKUP([@categorie],tbl_RegulriTVA[categorie],tbl_RegulriTVA[cota_legala],-1)&lt;&gt;[@cota_tva],"TVA GRESIT","")</f>
        <v/>
      </c>
      <c r="S699">
        <f>IF([@data_scadentei]&lt;[@data_factura],"SCADENTA INAINTEA FACTURII","")</f>
        <v/>
      </c>
      <c r="T699">
        <f>IF(NETWORKDAYS.INTL([@data_factura],[@data_factura],1,tbl_SarbatoriLegale[data])=0,"ZI NELUCRATOARE","")</f>
        <v/>
      </c>
      <c r="U699">
        <f>IF([@motiv_anomalie]="","OK","DE INVESTIGAT")</f>
        <v/>
      </c>
      <c r="V699">
        <f>TEXTJOIN("; ",TRUE,[@flag_oras],[@flag_tva],[@flag_scadenta],[@flag_zi])</f>
        <v/>
      </c>
    </row>
    <row r="700">
      <c r="A700" t="inlineStr">
        <is>
          <t>F-2025-00699</t>
        </is>
      </c>
      <c r="B700" s="12" t="n">
        <v>46197</v>
      </c>
      <c r="C700" t="inlineStr">
        <is>
          <t>SC FARMAVITAL DISTRIBUTIE SA</t>
        </is>
      </c>
      <c r="D700" t="inlineStr">
        <is>
          <t>Bihor</t>
        </is>
      </c>
      <c r="E700" t="inlineStr">
        <is>
          <t>PRD-001</t>
        </is>
      </c>
      <c r="F700" t="inlineStr">
        <is>
          <t>Multifunctionala laser</t>
        </is>
      </c>
      <c r="G700" t="inlineStr">
        <is>
          <t>Echipamente birou</t>
        </is>
      </c>
      <c r="H700" t="n">
        <v>2</v>
      </c>
      <c r="I700" t="n">
        <v>2300.23</v>
      </c>
      <c r="J700" t="n">
        <v>4600.46</v>
      </c>
      <c r="K700" s="13" t="n">
        <v>0.19</v>
      </c>
      <c r="L700" t="n">
        <v>874.09</v>
      </c>
      <c r="M700" t="n">
        <v>5474.55</v>
      </c>
      <c r="N700" t="inlineStr">
        <is>
          <t>RON</t>
        </is>
      </c>
      <c r="O700" t="inlineStr">
        <is>
          <t>Oradea</t>
        </is>
      </c>
      <c r="P700" s="12" t="n">
        <v>46242</v>
      </c>
      <c r="Q700">
        <f>IF(COUNTIF(tbl_Localitati[oras_oficial],[@oras])=0,"ORAS NEALINIAT",IF(XLOOKUP([@oras],tbl_Localitati[oras_oficial],tbl_Localitati[judet],"?")&lt;&gt;[@judet],"JUDET NECORESPUNZATOR",""))</f>
        <v/>
      </c>
      <c r="R700">
        <f>IF(XLOOKUP([@categorie],tbl_RegulriTVA[categorie],tbl_RegulriTVA[cota_legala],-1)&lt;&gt;[@cota_tva],"TVA GRESIT","")</f>
        <v/>
      </c>
      <c r="S700">
        <f>IF([@data_scadentei]&lt;[@data_factura],"SCADENTA INAINTEA FACTURII","")</f>
        <v/>
      </c>
      <c r="T700">
        <f>IF(NETWORKDAYS.INTL([@data_factura],[@data_factura],1,tbl_SarbatoriLegale[data])=0,"ZI NELUCRATOARE","")</f>
        <v/>
      </c>
      <c r="U700">
        <f>IF([@motiv_anomalie]="","OK","DE INVESTIGAT")</f>
        <v/>
      </c>
      <c r="V700">
        <f>TEXTJOIN("; ",TRUE,[@flag_oras],[@flag_tva],[@flag_scadenta],[@flag_zi])</f>
        <v/>
      </c>
    </row>
    <row r="701">
      <c r="A701" t="inlineStr">
        <is>
          <t>F-2025-00700</t>
        </is>
      </c>
      <c r="B701" s="12" t="n">
        <v>46199</v>
      </c>
      <c r="C701" t="inlineStr">
        <is>
          <t>SC NORDIS DISTRIBUTIE SRL</t>
        </is>
      </c>
      <c r="D701" t="inlineStr">
        <is>
          <t>Constanța</t>
        </is>
      </c>
      <c r="E701" t="inlineStr">
        <is>
          <t>PRD-001</t>
        </is>
      </c>
      <c r="F701" t="inlineStr">
        <is>
          <t>Suport tehnic anual</t>
        </is>
      </c>
      <c r="G701" t="inlineStr">
        <is>
          <t>Servicii consultanță</t>
        </is>
      </c>
      <c r="H701" t="n">
        <v>2</v>
      </c>
      <c r="I701" t="n">
        <v>2350.3</v>
      </c>
      <c r="J701" t="n">
        <v>4700.6</v>
      </c>
      <c r="K701" s="13" t="n">
        <v>0.19</v>
      </c>
      <c r="L701" t="n">
        <v>893.11</v>
      </c>
      <c r="M701" t="n">
        <v>5593.71</v>
      </c>
      <c r="N701" t="inlineStr">
        <is>
          <t>RON</t>
        </is>
      </c>
      <c r="O701" t="inlineStr">
        <is>
          <t>Mangalia</t>
        </is>
      </c>
      <c r="P701" s="12" t="n">
        <v>46259</v>
      </c>
      <c r="Q701">
        <f>IF(COUNTIF(tbl_Localitati[oras_oficial],[@oras])=0,"ORAS NEALINIAT",IF(XLOOKUP([@oras],tbl_Localitati[oras_oficial],tbl_Localitati[judet],"?")&lt;&gt;[@judet],"JUDET NECORESPUNZATOR",""))</f>
        <v/>
      </c>
      <c r="R701">
        <f>IF(XLOOKUP([@categorie],tbl_RegulriTVA[categorie],tbl_RegulriTVA[cota_legala],-1)&lt;&gt;[@cota_tva],"TVA GRESIT","")</f>
        <v/>
      </c>
      <c r="S701">
        <f>IF([@data_scadentei]&lt;[@data_factura],"SCADENTA INAINTEA FACTURII","")</f>
        <v/>
      </c>
      <c r="T701">
        <f>IF(NETWORKDAYS.INTL([@data_factura],[@data_factura],1,tbl_SarbatoriLegale[data])=0,"ZI NELUCRATOARE","")</f>
        <v/>
      </c>
      <c r="U701">
        <f>IF([@motiv_anomalie]="","OK","DE INVESTIGAT")</f>
        <v/>
      </c>
      <c r="V701">
        <f>TEXTJOIN("; ",TRUE,[@flag_oras],[@flag_tva],[@flag_scadenta],[@flag_zi])</f>
        <v/>
      </c>
    </row>
    <row r="702">
      <c r="A702" t="inlineStr">
        <is>
          <t>F-2025-00701</t>
        </is>
      </c>
      <c r="B702" s="12" t="n">
        <v>46036</v>
      </c>
      <c r="C702" t="inlineStr">
        <is>
          <t>SC ELECTROBUILD SRL</t>
        </is>
      </c>
      <c r="D702" t="inlineStr">
        <is>
          <t>Bacău</t>
        </is>
      </c>
      <c r="E702" t="inlineStr">
        <is>
          <t>PRD-001</t>
        </is>
      </c>
      <c r="F702" t="inlineStr">
        <is>
          <t>Masti protectie cutie</t>
        </is>
      </c>
      <c r="G702" t="inlineStr">
        <is>
          <t>Produse farmaceutice</t>
        </is>
      </c>
      <c r="H702" t="n">
        <v>3</v>
      </c>
      <c r="I702" t="n">
        <v>2297.13</v>
      </c>
      <c r="J702" t="n">
        <v>6891.39</v>
      </c>
      <c r="K702" s="13" t="n">
        <v>0.09</v>
      </c>
      <c r="L702" t="n">
        <v>620.23</v>
      </c>
      <c r="M702" t="n">
        <v>7511.62</v>
      </c>
      <c r="N702" t="inlineStr">
        <is>
          <t>RON</t>
        </is>
      </c>
      <c r="O702" t="inlineStr">
        <is>
          <t>Bacău</t>
        </is>
      </c>
      <c r="P702" s="12" t="n">
        <v>46066</v>
      </c>
      <c r="Q702">
        <f>IF(COUNTIF(tbl_Localitati[oras_oficial],[@oras])=0,"ORAS NEALINIAT",IF(XLOOKUP([@oras],tbl_Localitati[oras_oficial],tbl_Localitati[judet],"?")&lt;&gt;[@judet],"JUDET NECORESPUNZATOR",""))</f>
        <v/>
      </c>
      <c r="R702">
        <f>IF(XLOOKUP([@categorie],tbl_RegulriTVA[categorie],tbl_RegulriTVA[cota_legala],-1)&lt;&gt;[@cota_tva],"TVA GRESIT","")</f>
        <v/>
      </c>
      <c r="S702">
        <f>IF([@data_scadentei]&lt;[@data_factura],"SCADENTA INAINTEA FACTURII","")</f>
        <v/>
      </c>
      <c r="T702">
        <f>IF(NETWORKDAYS.INTL([@data_factura],[@data_factura],1,tbl_SarbatoriLegale[data])=0,"ZI NELUCRATOARE","")</f>
        <v/>
      </c>
      <c r="U702">
        <f>IF([@motiv_anomalie]="","OK","DE INVESTIGAT")</f>
        <v/>
      </c>
      <c r="V702">
        <f>TEXTJOIN("; ",TRUE,[@flag_oras],[@flag_tva],[@flag_scadenta],[@flag_zi])</f>
        <v/>
      </c>
    </row>
    <row r="703">
      <c r="A703" t="inlineStr">
        <is>
          <t>F-2025-00702</t>
        </is>
      </c>
      <c r="B703" s="12" t="n">
        <v>46301</v>
      </c>
      <c r="C703" t="inlineStr">
        <is>
          <t>SC OMEGA SOFT SRL</t>
        </is>
      </c>
      <c r="D703" t="inlineStr">
        <is>
          <t>Dolj</t>
        </is>
      </c>
      <c r="E703" t="inlineStr">
        <is>
          <t>PRD-001</t>
        </is>
      </c>
      <c r="F703" t="inlineStr">
        <is>
          <t>Switch gigabit 24p</t>
        </is>
      </c>
      <c r="G703" t="inlineStr">
        <is>
          <t>Hardware IT</t>
        </is>
      </c>
      <c r="H703" t="n">
        <v>2</v>
      </c>
      <c r="I703" t="n">
        <v>2448.32</v>
      </c>
      <c r="J703" t="n">
        <v>4896.64</v>
      </c>
      <c r="K703" s="13" t="n">
        <v>0.19</v>
      </c>
      <c r="L703" t="n">
        <v>930.36</v>
      </c>
      <c r="M703" t="n">
        <v>5827</v>
      </c>
      <c r="N703" t="inlineStr">
        <is>
          <t>RON</t>
        </is>
      </c>
      <c r="O703" t="inlineStr">
        <is>
          <t>Craiova</t>
        </is>
      </c>
      <c r="P703" s="12" t="n">
        <v>46331</v>
      </c>
      <c r="Q703">
        <f>IF(COUNTIF(tbl_Localitati[oras_oficial],[@oras])=0,"ORAS NEALINIAT",IF(XLOOKUP([@oras],tbl_Localitati[oras_oficial],tbl_Localitati[judet],"?")&lt;&gt;[@judet],"JUDET NECORESPUNZATOR",""))</f>
        <v/>
      </c>
      <c r="R703">
        <f>IF(XLOOKUP([@categorie],tbl_RegulriTVA[categorie],tbl_RegulriTVA[cota_legala],-1)&lt;&gt;[@cota_tva],"TVA GRESIT","")</f>
        <v/>
      </c>
      <c r="S703">
        <f>IF([@data_scadentei]&lt;[@data_factura],"SCADENTA INAINTEA FACTURII","")</f>
        <v/>
      </c>
      <c r="T703">
        <f>IF(NETWORKDAYS.INTL([@data_factura],[@data_factura],1,tbl_SarbatoriLegale[data])=0,"ZI NELUCRATOARE","")</f>
        <v/>
      </c>
      <c r="U703">
        <f>IF([@motiv_anomalie]="","OK","DE INVESTIGAT")</f>
        <v/>
      </c>
      <c r="V703">
        <f>TEXTJOIN("; ",TRUE,[@flag_oras],[@flag_tva],[@flag_scadenta],[@flag_zi])</f>
        <v/>
      </c>
    </row>
    <row r="704">
      <c r="A704" t="inlineStr">
        <is>
          <t>F-2025-00703</t>
        </is>
      </c>
      <c r="B704" s="12" t="n">
        <v>46044</v>
      </c>
      <c r="C704" t="inlineStr">
        <is>
          <t>SC OMEGA SOFT SRL</t>
        </is>
      </c>
      <c r="D704" t="inlineStr">
        <is>
          <t>Dolj</t>
        </is>
      </c>
      <c r="E704" t="inlineStr">
        <is>
          <t>PRD-010</t>
        </is>
      </c>
      <c r="F704" t="inlineStr">
        <is>
          <t>Monitor 27" 4K</t>
        </is>
      </c>
      <c r="G704" t="inlineStr">
        <is>
          <t>Hardware IT</t>
        </is>
      </c>
      <c r="H704" t="n">
        <v>10</v>
      </c>
      <c r="I704" t="n">
        <v>340.93</v>
      </c>
      <c r="J704" t="n">
        <v>3409.3</v>
      </c>
      <c r="K704" s="13" t="n">
        <v>0.19</v>
      </c>
      <c r="L704" t="n">
        <v>647.77</v>
      </c>
      <c r="M704" t="n">
        <v>4057.07</v>
      </c>
      <c r="N704" t="inlineStr">
        <is>
          <t>RON</t>
        </is>
      </c>
      <c r="O704" t="inlineStr">
        <is>
          <t>Craiova</t>
        </is>
      </c>
      <c r="P704" s="12" t="n">
        <v>46074</v>
      </c>
      <c r="Q704">
        <f>IF(COUNTIF(tbl_Localitati[oras_oficial],[@oras])=0,"ORAS NEALINIAT",IF(XLOOKUP([@oras],tbl_Localitati[oras_oficial],tbl_Localitati[judet],"?")&lt;&gt;[@judet],"JUDET NECORESPUNZATOR",""))</f>
        <v/>
      </c>
      <c r="R704">
        <f>IF(XLOOKUP([@categorie],tbl_RegulriTVA[categorie],tbl_RegulriTVA[cota_legala],-1)&lt;&gt;[@cota_tva],"TVA GRESIT","")</f>
        <v/>
      </c>
      <c r="S704">
        <f>IF([@data_scadentei]&lt;[@data_factura],"SCADENTA INAINTEA FACTURII","")</f>
        <v/>
      </c>
      <c r="T704">
        <f>IF(NETWORKDAYS.INTL([@data_factura],[@data_factura],1,tbl_SarbatoriLegale[data])=0,"ZI NELUCRATOARE","")</f>
        <v/>
      </c>
      <c r="U704">
        <f>IF([@motiv_anomalie]="","OK","DE INVESTIGAT")</f>
        <v/>
      </c>
      <c r="V704">
        <f>TEXTJOIN("; ",TRUE,[@flag_oras],[@flag_tva],[@flag_scadenta],[@flag_zi])</f>
        <v/>
      </c>
    </row>
    <row r="705">
      <c r="A705" t="inlineStr">
        <is>
          <t>F-2025-00704</t>
        </is>
      </c>
      <c r="B705" s="12" t="n">
        <v>46051</v>
      </c>
      <c r="C705" t="inlineStr">
        <is>
          <t>SC NORDIS DISTRIBUTIE SRL</t>
        </is>
      </c>
      <c r="D705" t="inlineStr">
        <is>
          <t>Constanța</t>
        </is>
      </c>
      <c r="E705" t="inlineStr">
        <is>
          <t>PRD-008</t>
        </is>
      </c>
      <c r="F705" t="inlineStr">
        <is>
          <t>Trusa prim ajutor</t>
        </is>
      </c>
      <c r="G705" t="inlineStr">
        <is>
          <t>Produse farmaceutice</t>
        </is>
      </c>
      <c r="H705" t="n">
        <v>10</v>
      </c>
      <c r="I705" t="n">
        <v>432.56</v>
      </c>
      <c r="J705" t="n">
        <v>4325.6</v>
      </c>
      <c r="K705" s="13" t="n">
        <v>0.09</v>
      </c>
      <c r="L705" t="n">
        <v>389.3</v>
      </c>
      <c r="M705" t="n">
        <v>4714.9</v>
      </c>
      <c r="N705" t="inlineStr">
        <is>
          <t>RON</t>
        </is>
      </c>
      <c r="O705" t="inlineStr">
        <is>
          <t>Mangalia</t>
        </is>
      </c>
      <c r="P705" s="12" t="n">
        <v>46096</v>
      </c>
      <c r="Q705">
        <f>IF(COUNTIF(tbl_Localitati[oras_oficial],[@oras])=0,"ORAS NEALINIAT",IF(XLOOKUP([@oras],tbl_Localitati[oras_oficial],tbl_Localitati[judet],"?")&lt;&gt;[@judet],"JUDET NECORESPUNZATOR",""))</f>
        <v/>
      </c>
      <c r="R705">
        <f>IF(XLOOKUP([@categorie],tbl_RegulriTVA[categorie],tbl_RegulriTVA[cota_legala],-1)&lt;&gt;[@cota_tva],"TVA GRESIT","")</f>
        <v/>
      </c>
      <c r="S705">
        <f>IF([@data_scadentei]&lt;[@data_factura],"SCADENTA INAINTEA FACTURII","")</f>
        <v/>
      </c>
      <c r="T705">
        <f>IF(NETWORKDAYS.INTL([@data_factura],[@data_factura],1,tbl_SarbatoriLegale[data])=0,"ZI NELUCRATOARE","")</f>
        <v/>
      </c>
      <c r="U705">
        <f>IF([@motiv_anomalie]="","OK","DE INVESTIGAT")</f>
        <v/>
      </c>
      <c r="V705">
        <f>TEXTJOIN("; ",TRUE,[@flag_oras],[@flag_tva],[@flag_scadenta],[@flag_zi])</f>
        <v/>
      </c>
    </row>
    <row r="706">
      <c r="A706" t="inlineStr">
        <is>
          <t>F-2025-00705</t>
        </is>
      </c>
      <c r="B706" s="12" t="n">
        <v>46372</v>
      </c>
      <c r="C706" t="inlineStr">
        <is>
          <t>SC RAPID LOGISTIC SA</t>
        </is>
      </c>
      <c r="D706" t="inlineStr">
        <is>
          <t>Prahova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 IT</t>
        </is>
      </c>
      <c r="H706" t="n">
        <v>3</v>
      </c>
      <c r="I706" t="n">
        <v>2338.33</v>
      </c>
      <c r="J706" t="n">
        <v>7014.99</v>
      </c>
      <c r="K706" s="13" t="n">
        <v>0.19</v>
      </c>
      <c r="L706" t="n">
        <v>1332.85</v>
      </c>
      <c r="M706" t="n">
        <v>8347.84</v>
      </c>
      <c r="N706" t="inlineStr">
        <is>
          <t>RON</t>
        </is>
      </c>
      <c r="O706" t="inlineStr">
        <is>
          <t>Ploiești</t>
        </is>
      </c>
      <c r="P706" s="12" t="n">
        <v>46402</v>
      </c>
      <c r="Q706">
        <f>IF(COUNTIF(tbl_Localitati[oras_oficial],[@oras])=0,"ORAS NEALINIAT",IF(XLOOKUP([@oras],tbl_Localitati[oras_oficial],tbl_Localitati[judet],"?")&lt;&gt;[@judet],"JUDET NECORESPUNZATOR",""))</f>
        <v/>
      </c>
      <c r="R706">
        <f>IF(XLOOKUP([@categorie],tbl_RegulriTVA[categorie],tbl_RegulriTVA[cota_legala],-1)&lt;&gt;[@cota_tva],"TVA GRESIT","")</f>
        <v/>
      </c>
      <c r="S706">
        <f>IF([@data_scadentei]&lt;[@data_factura],"SCADENTA INAINTEA FACTURII","")</f>
        <v/>
      </c>
      <c r="T706">
        <f>IF(NETWORKDAYS.INTL([@data_factura],[@data_factura],1,tbl_SarbatoriLegale[data])=0,"ZI NELUCRATOARE","")</f>
        <v/>
      </c>
      <c r="U706">
        <f>IF([@motiv_anomalie]="","OK","DE INVESTIGAT")</f>
        <v/>
      </c>
      <c r="V706">
        <f>TEXTJOIN("; ",TRUE,[@flag_oras],[@flag_tva],[@flag_scadenta],[@flag_zi])</f>
        <v/>
      </c>
    </row>
    <row r="707">
      <c r="A707" t="inlineStr">
        <is>
          <t>F-2025-00706</t>
        </is>
      </c>
      <c r="B707" s="12" t="n">
        <v>46181</v>
      </c>
      <c r="C707" t="inlineStr">
        <is>
          <t>SC AROMET TRADING SRL</t>
        </is>
      </c>
      <c r="D707" t="inlineStr">
        <is>
          <t>Alba</t>
        </is>
      </c>
      <c r="E707" t="inlineStr">
        <is>
          <t>PRD-006</t>
        </is>
      </c>
      <c r="F707" t="inlineStr">
        <is>
          <t>Licenta antivirus enterprise</t>
        </is>
      </c>
      <c r="G707" t="inlineStr">
        <is>
          <t>Licențe software</t>
        </is>
      </c>
      <c r="H707" t="n">
        <v>5</v>
      </c>
      <c r="I707" t="n">
        <v>740.63</v>
      </c>
      <c r="J707" t="n">
        <v>3703.15</v>
      </c>
      <c r="K707" s="13" t="n">
        <v>0.19</v>
      </c>
      <c r="L707" t="n">
        <v>703.6</v>
      </c>
      <c r="M707" t="n">
        <v>4406.75</v>
      </c>
      <c r="N707" t="inlineStr">
        <is>
          <t>RON</t>
        </is>
      </c>
      <c r="O707" t="inlineStr">
        <is>
          <t>Alba Iulia</t>
        </is>
      </c>
      <c r="P707" s="12" t="n">
        <v>46211</v>
      </c>
      <c r="Q707">
        <f>IF(COUNTIF(tbl_Localitati[oras_oficial],[@oras])=0,"ORAS NEALINIAT",IF(XLOOKUP([@oras],tbl_Localitati[oras_oficial],tbl_Localitati[judet],"?")&lt;&gt;[@judet],"JUDET NECORESPUNZATOR",""))</f>
        <v/>
      </c>
      <c r="R707">
        <f>IF(XLOOKUP([@categorie],tbl_RegulriTVA[categorie],tbl_RegulriTVA[cota_legala],-1)&lt;&gt;[@cota_tva],"TVA GRESIT","")</f>
        <v/>
      </c>
      <c r="S707">
        <f>IF([@data_scadentei]&lt;[@data_factura],"SCADENTA INAINTEA FACTURII","")</f>
        <v/>
      </c>
      <c r="T707">
        <f>IF(NETWORKDAYS.INTL([@data_factura],[@data_factura],1,tbl_SarbatoriLegale[data])=0,"ZI NELUCRATOARE","")</f>
        <v/>
      </c>
      <c r="U707">
        <f>IF([@motiv_anomalie]="","OK","DE INVESTIGAT")</f>
        <v/>
      </c>
      <c r="V707">
        <f>TEXTJOIN("; ",TRUE,[@flag_oras],[@flag_tva],[@flag_scadenta],[@flag_zi])</f>
        <v/>
      </c>
    </row>
    <row r="708">
      <c r="A708" t="inlineStr">
        <is>
          <t>F-2025-00707</t>
        </is>
      </c>
      <c r="B708" s="12" t="n">
        <v>46265</v>
      </c>
      <c r="C708" t="inlineStr">
        <is>
          <t>SC PROVITA MEDICAL SRL</t>
        </is>
      </c>
      <c r="D708" t="inlineStr">
        <is>
          <t>Mureș</t>
        </is>
      </c>
      <c r="E708" t="inlineStr">
        <is>
          <t>PRD-003</t>
        </is>
      </c>
      <c r="F708" t="inlineStr">
        <is>
          <t>Set carti formare</t>
        </is>
      </c>
      <c r="G708" t="inlineStr">
        <is>
          <t>Cărți și manuale</t>
        </is>
      </c>
      <c r="H708" t="n">
        <v>2</v>
      </c>
      <c r="I708" t="n">
        <v>4213.42</v>
      </c>
      <c r="J708" t="n">
        <v>8426.84</v>
      </c>
      <c r="K708" s="13" t="n">
        <v>0.05</v>
      </c>
      <c r="L708" t="n">
        <v>421.34</v>
      </c>
      <c r="M708" t="n">
        <v>8848.18</v>
      </c>
      <c r="N708" t="inlineStr">
        <is>
          <t>RON</t>
        </is>
      </c>
      <c r="O708" t="inlineStr">
        <is>
          <t>Târgu Mureș</t>
        </is>
      </c>
      <c r="P708" s="12" t="n">
        <v>46325</v>
      </c>
      <c r="Q708">
        <f>IF(COUNTIF(tbl_Localitati[oras_oficial],[@oras])=0,"ORAS NEALINIAT",IF(XLOOKUP([@oras],tbl_Localitati[oras_oficial],tbl_Localitati[judet],"?")&lt;&gt;[@judet],"JUDET NECORESPUNZATOR",""))</f>
        <v/>
      </c>
      <c r="R708">
        <f>IF(XLOOKUP([@categorie],tbl_RegulriTVA[categorie],tbl_RegulriTVA[cota_legala],-1)&lt;&gt;[@cota_tva],"TVA GRESIT","")</f>
        <v/>
      </c>
      <c r="S708">
        <f>IF([@data_scadentei]&lt;[@data_factura],"SCADENTA INAINTEA FACTURII","")</f>
        <v/>
      </c>
      <c r="T708">
        <f>IF(NETWORKDAYS.INTL([@data_factura],[@data_factura],1,tbl_SarbatoriLegale[data])=0,"ZI NELUCRATOARE","")</f>
        <v/>
      </c>
      <c r="U708">
        <f>IF([@motiv_anomalie]="","OK","DE INVESTIGAT")</f>
        <v/>
      </c>
      <c r="V708">
        <f>TEXTJOIN("; ",TRUE,[@flag_oras],[@flag_tva],[@flag_scadenta],[@flag_zi])</f>
        <v/>
      </c>
    </row>
    <row r="709">
      <c r="A709" t="inlineStr">
        <is>
          <t>F-2025-00708</t>
        </is>
      </c>
      <c r="B709" s="12" t="n">
        <v>46353</v>
      </c>
      <c r="C709" t="inlineStr">
        <is>
          <t>SC INTEGROMED SA</t>
        </is>
      </c>
      <c r="D709" t="inlineStr">
        <is>
          <t>Cluj</t>
        </is>
      </c>
      <c r="E709" t="inlineStr">
        <is>
          <t>PRD-002</t>
        </is>
      </c>
      <c r="F709" t="inlineStr">
        <is>
          <t>Abonament suita cloud</t>
        </is>
      </c>
      <c r="G709" t="inlineStr">
        <is>
          <t>Licențe software</t>
        </is>
      </c>
      <c r="H709" t="n">
        <v>1</v>
      </c>
      <c r="I709" t="n">
        <v>1107.86</v>
      </c>
      <c r="J709" t="n">
        <v>1107.86</v>
      </c>
      <c r="K709" s="13" t="n">
        <v>0.19</v>
      </c>
      <c r="L709" t="n">
        <v>210.49</v>
      </c>
      <c r="M709" t="n">
        <v>1318.35</v>
      </c>
      <c r="N709" t="inlineStr">
        <is>
          <t>RON</t>
        </is>
      </c>
      <c r="O709" t="inlineStr">
        <is>
          <t>Cluj-Napoca</t>
        </is>
      </c>
      <c r="P709" s="12" t="n">
        <v>46383</v>
      </c>
      <c r="Q709">
        <f>IF(COUNTIF(tbl_Localitati[oras_oficial],[@oras])=0,"ORAS NEALINIAT",IF(XLOOKUP([@oras],tbl_Localitati[oras_oficial],tbl_Localitati[judet],"?")&lt;&gt;[@judet],"JUDET NECORESPUNZATOR",""))</f>
        <v/>
      </c>
      <c r="R709">
        <f>IF(XLOOKUP([@categorie],tbl_RegulriTVA[categorie],tbl_RegulriTVA[cota_legala],-1)&lt;&gt;[@cota_tva],"TVA GRESIT","")</f>
        <v/>
      </c>
      <c r="S709">
        <f>IF([@data_scadentei]&lt;[@data_factura],"SCADENTA INAINTEA FACTURII","")</f>
        <v/>
      </c>
      <c r="T709">
        <f>IF(NETWORKDAYS.INTL([@data_factura],[@data_factura],1,tbl_SarbatoriLegale[data])=0,"ZI NELUCRATOARE","")</f>
        <v/>
      </c>
      <c r="U709">
        <f>IF([@motiv_anomalie]="","OK","DE INVESTIGAT")</f>
        <v/>
      </c>
      <c r="V709">
        <f>TEXTJOIN("; ",TRUE,[@flag_oras],[@flag_tva],[@flag_scadenta],[@flag_zi])</f>
        <v/>
      </c>
    </row>
    <row r="710">
      <c r="A710" t="inlineStr">
        <is>
          <t>F-2025-00709</t>
        </is>
      </c>
      <c r="B710" s="12" t="n">
        <v>46168</v>
      </c>
      <c r="C710" t="inlineStr">
        <is>
          <t>SC NORDIS DISTRIBUTIE SRL</t>
        </is>
      </c>
      <c r="D710" t="inlineStr">
        <is>
          <t>Constanța</t>
        </is>
      </c>
      <c r="E710" t="inlineStr">
        <is>
          <t>PRD-002</t>
        </is>
      </c>
      <c r="F710" t="inlineStr">
        <is>
          <t>Tocator documente</t>
        </is>
      </c>
      <c r="G710" t="inlineStr">
        <is>
          <t>Echipamente birou</t>
        </is>
      </c>
      <c r="H710" t="n">
        <v>1</v>
      </c>
      <c r="I710" t="n">
        <v>1135</v>
      </c>
      <c r="J710" t="n">
        <v>1135</v>
      </c>
      <c r="K710" s="13" t="n">
        <v>0.19</v>
      </c>
      <c r="L710" t="n">
        <v>215.65</v>
      </c>
      <c r="M710" t="n">
        <v>1350.65</v>
      </c>
      <c r="N710" t="inlineStr">
        <is>
          <t>RON</t>
        </is>
      </c>
      <c r="O710" t="inlineStr">
        <is>
          <t>Mangalia</t>
        </is>
      </c>
      <c r="P710" s="12" t="n">
        <v>46183</v>
      </c>
      <c r="Q710">
        <f>IF(COUNTIF(tbl_Localitati[oras_oficial],[@oras])=0,"ORAS NEALINIAT",IF(XLOOKUP([@oras],tbl_Localitati[oras_oficial],tbl_Localitati[judet],"?")&lt;&gt;[@judet],"JUDET NECORESPUNZATOR",""))</f>
        <v/>
      </c>
      <c r="R710">
        <f>IF(XLOOKUP([@categorie],tbl_RegulriTVA[categorie],tbl_RegulriTVA[cota_legala],-1)&lt;&gt;[@cota_tva],"TVA GRESIT","")</f>
        <v/>
      </c>
      <c r="S710">
        <f>IF([@data_scadentei]&lt;[@data_factura],"SCADENTA INAINTEA FACTURII","")</f>
        <v/>
      </c>
      <c r="T710">
        <f>IF(NETWORKDAYS.INTL([@data_factura],[@data_factura],1,tbl_SarbatoriLegale[data])=0,"ZI NELUCRATOARE","")</f>
        <v/>
      </c>
      <c r="U710">
        <f>IF([@motiv_anomalie]="","OK","DE INVESTIGAT")</f>
        <v/>
      </c>
      <c r="V710">
        <f>TEXTJOIN("; ",TRUE,[@flag_oras],[@flag_tva],[@flag_scadenta],[@flag_zi])</f>
        <v/>
      </c>
    </row>
    <row r="711">
      <c r="A711" t="inlineStr">
        <is>
          <t>F-2025-00710</t>
        </is>
      </c>
      <c r="B711" s="12" t="n">
        <v>46343</v>
      </c>
      <c r="C711" t="inlineStr">
        <is>
          <t>SC RAPID LOGISTIC SA</t>
        </is>
      </c>
      <c r="D711" t="inlineStr">
        <is>
          <t>Prahova</t>
        </is>
      </c>
      <c r="E711" t="inlineStr">
        <is>
          <t>PRD-009</t>
        </is>
      </c>
      <c r="F711" t="inlineStr">
        <is>
          <t>Cafea boabe 1kg</t>
        </is>
      </c>
      <c r="G711" t="inlineStr">
        <is>
          <t>Alimente</t>
        </is>
      </c>
      <c r="H711" t="n">
        <v>5</v>
      </c>
      <c r="I711" t="n">
        <v>28.31</v>
      </c>
      <c r="J711" t="n">
        <v>141.55</v>
      </c>
      <c r="K711" s="13" t="n">
        <v>0.09</v>
      </c>
      <c r="L711" t="n">
        <v>12.74</v>
      </c>
      <c r="M711" t="n">
        <v>154.29</v>
      </c>
      <c r="N711" t="inlineStr">
        <is>
          <t>RON</t>
        </is>
      </c>
      <c r="O711" t="inlineStr">
        <is>
          <t>Ploiești</t>
        </is>
      </c>
      <c r="P711" s="12" t="n">
        <v>46373</v>
      </c>
      <c r="Q711">
        <f>IF(COUNTIF(tbl_Localitati[oras_oficial],[@oras])=0,"ORAS NEALINIAT",IF(XLOOKUP([@oras],tbl_Localitati[oras_oficial],tbl_Localitati[judet],"?")&lt;&gt;[@judet],"JUDET NECORESPUNZATOR",""))</f>
        <v/>
      </c>
      <c r="R711">
        <f>IF(XLOOKUP([@categorie],tbl_RegulriTVA[categorie],tbl_RegulriTVA[cota_legala],-1)&lt;&gt;[@cota_tva],"TVA GRESIT","")</f>
        <v/>
      </c>
      <c r="S711">
        <f>IF([@data_scadentei]&lt;[@data_factura],"SCADENTA INAINTEA FACTURII","")</f>
        <v/>
      </c>
      <c r="T711">
        <f>IF(NETWORKDAYS.INTL([@data_factura],[@data_factura],1,tbl_SarbatoriLegale[data])=0,"ZI NELUCRATOARE","")</f>
        <v/>
      </c>
      <c r="U711">
        <f>IF([@motiv_anomalie]="","OK","DE INVESTIGAT")</f>
        <v/>
      </c>
      <c r="V711">
        <f>TEXTJOIN("; ",TRUE,[@flag_oras],[@flag_tva],[@flag_scadenta],[@flag_zi])</f>
        <v/>
      </c>
    </row>
    <row r="712">
      <c r="A712" t="inlineStr">
        <is>
          <t>F-2025-00711</t>
        </is>
      </c>
      <c r="B712" s="12" t="n">
        <v>46226</v>
      </c>
      <c r="C712" t="inlineStr">
        <is>
          <t>SC PROVITA MEDICAL SRL</t>
        </is>
      </c>
      <c r="D712" t="inlineStr">
        <is>
          <t>Mureș</t>
        </is>
      </c>
      <c r="E712" t="inlineStr">
        <is>
          <t>PRD-006</t>
        </is>
      </c>
      <c r="F712" t="inlineStr">
        <is>
          <t>Switch gigabit 24p</t>
        </is>
      </c>
      <c r="G712" t="inlineStr">
        <is>
          <t>Hardware IT</t>
        </is>
      </c>
      <c r="H712" t="n">
        <v>5</v>
      </c>
      <c r="I712" t="n">
        <v>722.73</v>
      </c>
      <c r="J712" t="n">
        <v>3613.65</v>
      </c>
      <c r="K712" s="13" t="n">
        <v>0.19</v>
      </c>
      <c r="L712" t="n">
        <v>686.59</v>
      </c>
      <c r="M712" t="n">
        <v>4300.24</v>
      </c>
      <c r="N712" t="inlineStr">
        <is>
          <t>RON</t>
        </is>
      </c>
      <c r="O712" t="inlineStr">
        <is>
          <t>Târgu Mureș</t>
        </is>
      </c>
      <c r="P712" s="12" t="n">
        <v>46256</v>
      </c>
      <c r="Q712">
        <f>IF(COUNTIF(tbl_Localitati[oras_oficial],[@oras])=0,"ORAS NEALINIAT",IF(XLOOKUP([@oras],tbl_Localitati[oras_oficial],tbl_Localitati[judet],"?")&lt;&gt;[@judet],"JUDET NECORESPUNZATOR",""))</f>
        <v/>
      </c>
      <c r="R712">
        <f>IF(XLOOKUP([@categorie],tbl_RegulriTVA[categorie],tbl_RegulriTVA[cota_legala],-1)&lt;&gt;[@cota_tva],"TVA GRESIT","")</f>
        <v/>
      </c>
      <c r="S712">
        <f>IF([@data_scadentei]&lt;[@data_factura],"SCADENTA INAINTEA FACTURII","")</f>
        <v/>
      </c>
      <c r="T712">
        <f>IF(NETWORKDAYS.INTL([@data_factura],[@data_factura],1,tbl_SarbatoriLegale[data])=0,"ZI NELUCRATOARE","")</f>
        <v/>
      </c>
      <c r="U712">
        <f>IF([@motiv_anomalie]="","OK","DE INVESTIGAT")</f>
        <v/>
      </c>
      <c r="V712">
        <f>TEXTJOIN("; ",TRUE,[@flag_oras],[@flag_tva],[@flag_scadenta],[@flag_zi])</f>
        <v/>
      </c>
    </row>
    <row r="713">
      <c r="A713" t="inlineStr">
        <is>
          <t>F-2025-00712</t>
        </is>
      </c>
      <c r="B713" s="12" t="n">
        <v>46295</v>
      </c>
      <c r="C713" t="inlineStr">
        <is>
          <t>SC AROMET TRADING SRL</t>
        </is>
      </c>
      <c r="D713" t="inlineStr">
        <is>
          <t>Alba</t>
        </is>
      </c>
      <c r="E713" t="inlineStr">
        <is>
          <t>PRD-006</t>
        </is>
      </c>
      <c r="F713" t="inlineStr">
        <is>
          <t>Laptop business 15"</t>
        </is>
      </c>
      <c r="G713" t="inlineStr">
        <is>
          <t>Hardware IT</t>
        </is>
      </c>
      <c r="H713" t="n">
        <v>1</v>
      </c>
      <c r="I713" t="n">
        <v>778.98</v>
      </c>
      <c r="J713" t="n">
        <v>778.98</v>
      </c>
      <c r="K713" s="13" t="n">
        <v>0.09</v>
      </c>
      <c r="L713" t="n">
        <v>70.11</v>
      </c>
      <c r="M713" t="n">
        <v>849.09</v>
      </c>
      <c r="N713" t="inlineStr">
        <is>
          <t>RON</t>
        </is>
      </c>
      <c r="O713" t="inlineStr">
        <is>
          <t>Alba Iulia</t>
        </is>
      </c>
      <c r="P713" s="12" t="n">
        <v>46325</v>
      </c>
      <c r="Q713">
        <f>IF(COUNTIF(tbl_Localitati[oras_oficial],[@oras])=0,"ORAS NEALINIAT",IF(XLOOKUP([@oras],tbl_Localitati[oras_oficial],tbl_Localitati[judet],"?")&lt;&gt;[@judet],"JUDET NECORESPUNZATOR",""))</f>
        <v/>
      </c>
      <c r="R713">
        <f>IF(XLOOKUP([@categorie],tbl_RegulriTVA[categorie],tbl_RegulriTVA[cota_legala],-1)&lt;&gt;[@cota_tva],"TVA GRESIT","")</f>
        <v/>
      </c>
      <c r="S713">
        <f>IF([@data_scadentei]&lt;[@data_factura],"SCADENTA INAINTEA FACTURII","")</f>
        <v/>
      </c>
      <c r="T713">
        <f>IF(NETWORKDAYS.INTL([@data_factura],[@data_factura],1,tbl_SarbatoriLegale[data])=0,"ZI NELUCRATOARE","")</f>
        <v/>
      </c>
      <c r="U713">
        <f>IF([@motiv_anomalie]="","OK","DE INVESTIGAT")</f>
        <v/>
      </c>
      <c r="V713">
        <f>TEXTJOIN("; ",TRUE,[@flag_oras],[@flag_tva],[@flag_scadenta],[@flag_zi])</f>
        <v/>
      </c>
    </row>
    <row r="714">
      <c r="A714" t="inlineStr">
        <is>
          <t>F-2025-00713</t>
        </is>
      </c>
      <c r="B714" s="12" t="n">
        <v>46036</v>
      </c>
      <c r="C714" t="inlineStr">
        <is>
          <t>SC SOLARIS ENERGY SRL</t>
        </is>
      </c>
      <c r="D714" t="inlineStr">
        <is>
          <t>Prahova</t>
        </is>
      </c>
      <c r="E714" t="inlineStr">
        <is>
          <t>PRD-007</t>
        </is>
      </c>
      <c r="F714" t="inlineStr">
        <is>
          <t>Set carti formare</t>
        </is>
      </c>
      <c r="G714" t="inlineStr">
        <is>
          <t>Cărți și manuale</t>
        </is>
      </c>
      <c r="H714" t="n">
        <v>5</v>
      </c>
      <c r="I714" t="n">
        <v>174.02</v>
      </c>
      <c r="J714" t="n">
        <v>870.1</v>
      </c>
      <c r="K714" s="13" t="n">
        <v>0.05</v>
      </c>
      <c r="L714" t="n">
        <v>43.51</v>
      </c>
      <c r="M714" t="n">
        <v>913.61</v>
      </c>
      <c r="N714" t="inlineStr">
        <is>
          <t>RON</t>
        </is>
      </c>
      <c r="O714" t="inlineStr">
        <is>
          <t>Câmpina</t>
        </is>
      </c>
      <c r="P714" s="12" t="n">
        <v>46066</v>
      </c>
      <c r="Q714">
        <f>IF(COUNTIF(tbl_Localitati[oras_oficial],[@oras])=0,"ORAS NEALINIAT",IF(XLOOKUP([@oras],tbl_Localitati[oras_oficial],tbl_Localitati[judet],"?")&lt;&gt;[@judet],"JUDET NECORESPUNZATOR",""))</f>
        <v/>
      </c>
      <c r="R714">
        <f>IF(XLOOKUP([@categorie],tbl_RegulriTVA[categorie],tbl_RegulriTVA[cota_legala],-1)&lt;&gt;[@cota_tva],"TVA GRESIT","")</f>
        <v/>
      </c>
      <c r="S714">
        <f>IF([@data_scadentei]&lt;[@data_factura],"SCADENTA INAINTEA FACTURII","")</f>
        <v/>
      </c>
      <c r="T714">
        <f>IF(NETWORKDAYS.INTL([@data_factura],[@data_factura],1,tbl_SarbatoriLegale[data])=0,"ZI NELUCRATOARE","")</f>
        <v/>
      </c>
      <c r="U714">
        <f>IF([@motiv_anomalie]="","OK","DE INVESTIGAT")</f>
        <v/>
      </c>
      <c r="V714">
        <f>TEXTJOIN("; ",TRUE,[@flag_oras],[@flag_tva],[@flag_scadenta],[@flag_zi])</f>
        <v/>
      </c>
    </row>
    <row r="715">
      <c r="A715" t="inlineStr">
        <is>
          <t>F-2025-00714</t>
        </is>
      </c>
      <c r="B715" s="12" t="n">
        <v>46293</v>
      </c>
      <c r="C715" t="inlineStr">
        <is>
          <t>SC AROMET TRADING SRL</t>
        </is>
      </c>
      <c r="D715" t="inlineStr">
        <is>
          <t>Alba</t>
        </is>
      </c>
      <c r="E715" t="inlineStr">
        <is>
          <t>PRD-011</t>
        </is>
      </c>
      <c r="F715" t="inlineStr">
        <is>
          <t>Ceai cutie 100buc</t>
        </is>
      </c>
      <c r="G715" t="inlineStr">
        <is>
          <t>Alimente</t>
        </is>
      </c>
      <c r="H715" t="n">
        <v>20</v>
      </c>
      <c r="I715" t="n">
        <v>44.69</v>
      </c>
      <c r="J715" t="n">
        <v>893.8</v>
      </c>
      <c r="K715" s="13" t="n">
        <v>0.09</v>
      </c>
      <c r="L715" t="n">
        <v>80.44</v>
      </c>
      <c r="M715" t="n">
        <v>974.24</v>
      </c>
      <c r="N715" t="inlineStr">
        <is>
          <t>RON</t>
        </is>
      </c>
      <c r="O715" t="inlineStr">
        <is>
          <t>Alba Iulia</t>
        </is>
      </c>
      <c r="P715" s="12" t="n">
        <v>46338</v>
      </c>
      <c r="Q715">
        <f>IF(COUNTIF(tbl_Localitati[oras_oficial],[@oras])=0,"ORAS NEALINIAT",IF(XLOOKUP([@oras],tbl_Localitati[oras_oficial],tbl_Localitati[judet],"?")&lt;&gt;[@judet],"JUDET NECORESPUNZATOR",""))</f>
        <v/>
      </c>
      <c r="R715">
        <f>IF(XLOOKUP([@categorie],tbl_RegulriTVA[categorie],tbl_RegulriTVA[cota_legala],-1)&lt;&gt;[@cota_tva],"TVA GRESIT","")</f>
        <v/>
      </c>
      <c r="S715">
        <f>IF([@data_scadentei]&lt;[@data_factura],"SCADENTA INAINTEA FACTURII","")</f>
        <v/>
      </c>
      <c r="T715">
        <f>IF(NETWORKDAYS.INTL([@data_factura],[@data_factura],1,tbl_SarbatoriLegale[data])=0,"ZI NELUCRATOARE","")</f>
        <v/>
      </c>
      <c r="U715">
        <f>IF([@motiv_anomalie]="","OK","DE INVESTIGAT")</f>
        <v/>
      </c>
      <c r="V715">
        <f>TEXTJOIN("; ",TRUE,[@flag_oras],[@flag_tva],[@flag_scadenta],[@flag_zi])</f>
        <v/>
      </c>
    </row>
    <row r="716">
      <c r="A716" t="inlineStr">
        <is>
          <t>F-2025-00715</t>
        </is>
      </c>
      <c r="B716" s="12" t="n">
        <v>46169</v>
      </c>
      <c r="C716" t="inlineStr">
        <is>
          <t>SC RAPID LOGISTIC SA</t>
        </is>
      </c>
      <c r="D716" t="inlineStr">
        <is>
          <t>Prahova</t>
        </is>
      </c>
      <c r="E716" t="inlineStr">
        <is>
          <t>PRD-002</t>
        </is>
      </c>
      <c r="F716" t="inlineStr">
        <is>
          <t>Audit infrastructura</t>
        </is>
      </c>
      <c r="G716" t="inlineStr">
        <is>
          <t>Servicii consultanță</t>
        </is>
      </c>
      <c r="H716" t="n">
        <v>1</v>
      </c>
      <c r="I716" t="n">
        <v>1103.86</v>
      </c>
      <c r="J716" t="n">
        <v>1103.86</v>
      </c>
      <c r="K716" s="13" t="n">
        <v>0.19</v>
      </c>
      <c r="L716" t="n">
        <v>209.73</v>
      </c>
      <c r="M716" t="n">
        <v>1313.59</v>
      </c>
      <c r="N716" t="inlineStr">
        <is>
          <t>RON</t>
        </is>
      </c>
      <c r="O716" t="inlineStr">
        <is>
          <t>Ploiești</t>
        </is>
      </c>
      <c r="P716" s="12" t="n">
        <v>46199</v>
      </c>
      <c r="Q716">
        <f>IF(COUNTIF(tbl_Localitati[oras_oficial],[@oras])=0,"ORAS NEALINIAT",IF(XLOOKUP([@oras],tbl_Localitati[oras_oficial],tbl_Localitati[judet],"?")&lt;&gt;[@judet],"JUDET NECORESPUNZATOR",""))</f>
        <v/>
      </c>
      <c r="R716">
        <f>IF(XLOOKUP([@categorie],tbl_RegulriTVA[categorie],tbl_RegulriTVA[cota_legala],-1)&lt;&gt;[@cota_tva],"TVA GRESIT","")</f>
        <v/>
      </c>
      <c r="S716">
        <f>IF([@data_scadentei]&lt;[@data_factura],"SCADENTA INAINTEA FACTURII","")</f>
        <v/>
      </c>
      <c r="T716">
        <f>IF(NETWORKDAYS.INTL([@data_factura],[@data_factura],1,tbl_SarbatoriLegale[data])=0,"ZI NELUCRATOARE","")</f>
        <v/>
      </c>
      <c r="U716">
        <f>IF([@motiv_anomalie]="","OK","DE INVESTIGAT")</f>
        <v/>
      </c>
      <c r="V716">
        <f>TEXTJOIN("; ",TRUE,[@flag_oras],[@flag_tva],[@flag_scadenta],[@flag_zi])</f>
        <v/>
      </c>
    </row>
    <row r="717">
      <c r="A717" t="inlineStr">
        <is>
          <t>F-2025-00716</t>
        </is>
      </c>
      <c r="B717" s="12" t="n">
        <v>46156</v>
      </c>
      <c r="C717" t="inlineStr">
        <is>
          <t>SC INTEGROMED SA</t>
        </is>
      </c>
      <c r="D717" t="inlineStr">
        <is>
          <t>Cluj</t>
        </is>
      </c>
      <c r="E717" t="inlineStr">
        <is>
          <t>PRD-003</t>
        </is>
      </c>
      <c r="F717" t="inlineStr">
        <is>
          <t>Videoproiector sala</t>
        </is>
      </c>
      <c r="G717" t="inlineStr">
        <is>
          <t>Echipamente birou</t>
        </is>
      </c>
      <c r="H717" t="n">
        <v>2</v>
      </c>
      <c r="I717" t="n">
        <v>4090.62</v>
      </c>
      <c r="J717" t="n">
        <v>8181.24</v>
      </c>
      <c r="K717" s="13" t="n">
        <v>0.19</v>
      </c>
      <c r="L717" t="n">
        <v>1554.44</v>
      </c>
      <c r="M717" t="n">
        <v>9735.68</v>
      </c>
      <c r="N717" t="inlineStr">
        <is>
          <t>RON</t>
        </is>
      </c>
      <c r="O717" t="inlineStr">
        <is>
          <t>Cluj-Napoca</t>
        </is>
      </c>
      <c r="P717" s="12" t="n">
        <v>46186</v>
      </c>
      <c r="Q717">
        <f>IF(COUNTIF(tbl_Localitati[oras_oficial],[@oras])=0,"ORAS NEALINIAT",IF(XLOOKUP([@oras],tbl_Localitati[oras_oficial],tbl_Localitati[judet],"?")&lt;&gt;[@judet],"JUDET NECORESPUNZATOR",""))</f>
        <v/>
      </c>
      <c r="R717">
        <f>IF(XLOOKUP([@categorie],tbl_RegulriTVA[categorie],tbl_RegulriTVA[cota_legala],-1)&lt;&gt;[@cota_tva],"TVA GRESIT","")</f>
        <v/>
      </c>
      <c r="S717">
        <f>IF([@data_scadentei]&lt;[@data_factura],"SCADENTA INAINTEA FACTURII","")</f>
        <v/>
      </c>
      <c r="T717">
        <f>IF(NETWORKDAYS.INTL([@data_factura],[@data_factura],1,tbl_SarbatoriLegale[data])=0,"ZI NELUCRATOARE","")</f>
        <v/>
      </c>
      <c r="U717">
        <f>IF([@motiv_anomalie]="","OK","DE INVESTIGAT")</f>
        <v/>
      </c>
      <c r="V717">
        <f>TEXTJOIN("; ",TRUE,[@flag_oras],[@flag_tva],[@flag_scadenta],[@flag_zi])</f>
        <v/>
      </c>
    </row>
    <row r="718">
      <c r="A718" t="inlineStr">
        <is>
          <t>F-2025-00717</t>
        </is>
      </c>
      <c r="B718" s="12" t="n">
        <v>46372</v>
      </c>
      <c r="C718" t="inlineStr">
        <is>
          <t>SC DACTECH SOLUTIONS SRL</t>
        </is>
      </c>
      <c r="D718" t="inlineStr">
        <is>
          <t>Argeș</t>
        </is>
      </c>
      <c r="E718" t="inlineStr">
        <is>
          <t>PRD-005</t>
        </is>
      </c>
      <c r="F718" t="inlineStr">
        <is>
          <t>Laptop business 15"</t>
        </is>
      </c>
      <c r="G718" t="inlineStr">
        <is>
          <t>Hardware IT</t>
        </is>
      </c>
      <c r="H718" t="n">
        <v>1</v>
      </c>
      <c r="I718" t="n">
        <v>261.86</v>
      </c>
      <c r="J718" t="n">
        <v>261.86</v>
      </c>
      <c r="K718" s="13" t="n">
        <v>0.19</v>
      </c>
      <c r="L718" t="n">
        <v>49.75</v>
      </c>
      <c r="M718" t="n">
        <v>311.61</v>
      </c>
      <c r="N718" t="inlineStr">
        <is>
          <t>RON</t>
        </is>
      </c>
      <c r="O718" t="inlineStr">
        <is>
          <t>Pitești</t>
        </is>
      </c>
      <c r="P718" s="12" t="n">
        <v>46432</v>
      </c>
      <c r="Q718">
        <f>IF(COUNTIF(tbl_Localitati[oras_oficial],[@oras])=0,"ORAS NEALINIAT",IF(XLOOKUP([@oras],tbl_Localitati[oras_oficial],tbl_Localitati[judet],"?")&lt;&gt;[@judet],"JUDET NECORESPUNZATOR",""))</f>
        <v/>
      </c>
      <c r="R718">
        <f>IF(XLOOKUP([@categorie],tbl_RegulriTVA[categorie],tbl_RegulriTVA[cota_legala],-1)&lt;&gt;[@cota_tva],"TVA GRESIT","")</f>
        <v/>
      </c>
      <c r="S718">
        <f>IF([@data_scadentei]&lt;[@data_factura],"SCADENTA INAINTEA FACTURII","")</f>
        <v/>
      </c>
      <c r="T718">
        <f>IF(NETWORKDAYS.INTL([@data_factura],[@data_factura],1,tbl_SarbatoriLegale[data])=0,"ZI NELUCRATOARE","")</f>
        <v/>
      </c>
      <c r="U718">
        <f>IF([@motiv_anomalie]="","OK","DE INVESTIGAT")</f>
        <v/>
      </c>
      <c r="V718">
        <f>TEXTJOIN("; ",TRUE,[@flag_oras],[@flag_tva],[@flag_scadenta],[@flag_zi])</f>
        <v/>
      </c>
    </row>
    <row r="719">
      <c r="A719" t="inlineStr">
        <is>
          <t>F-2025-00718</t>
        </is>
      </c>
      <c r="B719" s="12" t="n">
        <v>46324</v>
      </c>
      <c r="C719" t="inlineStr">
        <is>
          <t>SC TEHNOPLUS SERVICE SRL</t>
        </is>
      </c>
      <c r="D719" t="inlineStr">
        <is>
          <t>Cluj</t>
        </is>
      </c>
      <c r="E719" t="inlineStr">
        <is>
          <t>PRD-001</t>
        </is>
      </c>
      <c r="F719" t="inlineStr">
        <is>
          <t>Server rack 1U</t>
        </is>
      </c>
      <c r="G719" t="inlineStr">
        <is>
          <t>Hardware IT</t>
        </is>
      </c>
      <c r="H719" t="n">
        <v>3</v>
      </c>
      <c r="I719" t="n">
        <v>2306.71</v>
      </c>
      <c r="J719" t="n">
        <v>6920.13</v>
      </c>
      <c r="K719" s="13" t="n">
        <v>0.19</v>
      </c>
      <c r="L719" t="n">
        <v>1314.82</v>
      </c>
      <c r="M719" t="n">
        <v>8234.950000000001</v>
      </c>
      <c r="N719" t="inlineStr">
        <is>
          <t>RON</t>
        </is>
      </c>
      <c r="O719" t="inlineStr">
        <is>
          <t>Sibiu</t>
        </is>
      </c>
      <c r="P719" s="12" t="n">
        <v>46384</v>
      </c>
      <c r="Q719">
        <f>IF(COUNTIF(tbl_Localitati[oras_oficial],[@oras])=0,"ORAS NEALINIAT",IF(XLOOKUP([@oras],tbl_Localitati[oras_oficial],tbl_Localitati[judet],"?")&lt;&gt;[@judet],"JUDET NECORESPUNZATOR",""))</f>
        <v/>
      </c>
      <c r="R719">
        <f>IF(XLOOKUP([@categorie],tbl_RegulriTVA[categorie],tbl_RegulriTVA[cota_legala],-1)&lt;&gt;[@cota_tva],"TVA GRESIT","")</f>
        <v/>
      </c>
      <c r="S719">
        <f>IF([@data_scadentei]&lt;[@data_factura],"SCADENTA INAINTEA FACTURII","")</f>
        <v/>
      </c>
      <c r="T719">
        <f>IF(NETWORKDAYS.INTL([@data_factura],[@data_factura],1,tbl_SarbatoriLegale[data])=0,"ZI NELUCRATOARE","")</f>
        <v/>
      </c>
      <c r="U719">
        <f>IF([@motiv_anomalie]="","OK","DE INVESTIGAT")</f>
        <v/>
      </c>
      <c r="V719">
        <f>TEXTJOIN("; ",TRUE,[@flag_oras],[@flag_tva],[@flag_scadenta],[@flag_zi])</f>
        <v/>
      </c>
    </row>
    <row r="720">
      <c r="A720" t="inlineStr">
        <is>
          <t>F-2025-00719</t>
        </is>
      </c>
      <c r="B720" s="12" t="n">
        <v>46309</v>
      </c>
      <c r="C720" t="inlineStr">
        <is>
          <t>SC UNIFOOD DISTRIBUTION SA</t>
        </is>
      </c>
      <c r="D720" t="inlineStr">
        <is>
          <t>Sibiu</t>
        </is>
      </c>
      <c r="E720" t="inlineStr">
        <is>
          <t>PRD-002</t>
        </is>
      </c>
      <c r="F720" t="inlineStr">
        <is>
          <t>Apa plata bax</t>
        </is>
      </c>
      <c r="G720" t="inlineStr">
        <is>
          <t>Alimente</t>
        </is>
      </c>
      <c r="H720" t="n">
        <v>1</v>
      </c>
      <c r="I720" t="n">
        <v>1131.14</v>
      </c>
      <c r="J720" t="n">
        <v>1131.14</v>
      </c>
      <c r="K720" s="13" t="n">
        <v>0.09</v>
      </c>
      <c r="L720" t="n">
        <v>101.8</v>
      </c>
      <c r="M720" t="n">
        <v>1232.94</v>
      </c>
      <c r="N720" t="inlineStr">
        <is>
          <t>RON</t>
        </is>
      </c>
      <c r="O720" t="inlineStr">
        <is>
          <t>Mediaș</t>
        </is>
      </c>
      <c r="P720" s="12" t="n">
        <v>46324</v>
      </c>
      <c r="Q720">
        <f>IF(COUNTIF(tbl_Localitati[oras_oficial],[@oras])=0,"ORAS NEALINIAT",IF(XLOOKUP([@oras],tbl_Localitati[oras_oficial],tbl_Localitati[judet],"?")&lt;&gt;[@judet],"JUDET NECORESPUNZATOR",""))</f>
        <v/>
      </c>
      <c r="R720">
        <f>IF(XLOOKUP([@categorie],tbl_RegulriTVA[categorie],tbl_RegulriTVA[cota_legala],-1)&lt;&gt;[@cota_tva],"TVA GRESIT","")</f>
        <v/>
      </c>
      <c r="S720">
        <f>IF([@data_scadentei]&lt;[@data_factura],"SCADENTA INAINTEA FACTURII","")</f>
        <v/>
      </c>
      <c r="T720">
        <f>IF(NETWORKDAYS.INTL([@data_factura],[@data_factura],1,tbl_SarbatoriLegale[data])=0,"ZI NELUCRATOARE","")</f>
        <v/>
      </c>
      <c r="U720">
        <f>IF([@motiv_anomalie]="","OK","DE INVESTIGAT")</f>
        <v/>
      </c>
      <c r="V720">
        <f>TEXTJOIN("; ",TRUE,[@flag_oras],[@flag_tva],[@flag_scadenta],[@flag_zi])</f>
        <v/>
      </c>
    </row>
    <row r="721">
      <c r="A721" t="inlineStr">
        <is>
          <t>F-2025-00720</t>
        </is>
      </c>
      <c r="B721" s="12" t="n">
        <v>46052</v>
      </c>
      <c r="C721" t="inlineStr">
        <is>
          <t>SC AROMET TRADING SRL</t>
        </is>
      </c>
      <c r="D721" t="inlineStr">
        <is>
          <t>Alba</t>
        </is>
      </c>
      <c r="E721" t="inlineStr">
        <is>
          <t>PRD-001</t>
        </is>
      </c>
      <c r="F721" t="inlineStr">
        <is>
          <t>Switch gigabit 24p</t>
        </is>
      </c>
      <c r="G721" t="inlineStr">
        <is>
          <t>Hardware IT</t>
        </is>
      </c>
      <c r="H721" t="n">
        <v>1</v>
      </c>
      <c r="I721" t="n">
        <v>2432.08</v>
      </c>
      <c r="J721" t="n">
        <v>2432.08</v>
      </c>
      <c r="K721" s="13" t="n">
        <v>0.19</v>
      </c>
      <c r="L721" t="n">
        <v>462.1</v>
      </c>
      <c r="M721" t="n">
        <v>2894.18</v>
      </c>
      <c r="N721" t="inlineStr">
        <is>
          <t>RON</t>
        </is>
      </c>
      <c r="O721" t="inlineStr">
        <is>
          <t>Alba Iulia</t>
        </is>
      </c>
      <c r="P721" s="12" t="n">
        <v>46067</v>
      </c>
      <c r="Q721">
        <f>IF(COUNTIF(tbl_Localitati[oras_oficial],[@oras])=0,"ORAS NEALINIAT",IF(XLOOKUP([@oras],tbl_Localitati[oras_oficial],tbl_Localitati[judet],"?")&lt;&gt;[@judet],"JUDET NECORESPUNZATOR",""))</f>
        <v/>
      </c>
      <c r="R721">
        <f>IF(XLOOKUP([@categorie],tbl_RegulriTVA[categorie],tbl_RegulriTVA[cota_legala],-1)&lt;&gt;[@cota_tva],"TVA GRESIT","")</f>
        <v/>
      </c>
      <c r="S721">
        <f>IF([@data_scadentei]&lt;[@data_factura],"SCADENTA INAINTEA FACTURII","")</f>
        <v/>
      </c>
      <c r="T721">
        <f>IF(NETWORKDAYS.INTL([@data_factura],[@data_factura],1,tbl_SarbatoriLegale[data])=0,"ZI NELUCRATOARE","")</f>
        <v/>
      </c>
      <c r="U721">
        <f>IF([@motiv_anomalie]="","OK","DE INVESTIGAT")</f>
        <v/>
      </c>
      <c r="V721">
        <f>TEXTJOIN("; ",TRUE,[@flag_oras],[@flag_tva],[@flag_scadenta],[@flag_zi])</f>
        <v/>
      </c>
    </row>
    <row r="722">
      <c r="A722" t="inlineStr">
        <is>
          <t>F-2025-00721</t>
        </is>
      </c>
      <c r="B722" s="12" t="n">
        <v>46195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Laptop business 15"</t>
        </is>
      </c>
      <c r="G722" t="inlineStr">
        <is>
          <t>Hardware IT</t>
        </is>
      </c>
      <c r="H722" t="n">
        <v>20</v>
      </c>
      <c r="I722" t="n">
        <v>43.06</v>
      </c>
      <c r="J722" t="n">
        <v>861.2</v>
      </c>
      <c r="K722" s="13" t="n">
        <v>0.19</v>
      </c>
      <c r="L722" t="n">
        <v>163.63</v>
      </c>
      <c r="M722" t="n">
        <v>1024.83</v>
      </c>
      <c r="N722" t="inlineStr">
        <is>
          <t>RON</t>
        </is>
      </c>
      <c r="O722" t="inlineStr">
        <is>
          <t>Sibiu</t>
        </is>
      </c>
      <c r="P722" s="12" t="n">
        <v>46240</v>
      </c>
      <c r="Q722">
        <f>IF(COUNTIF(tbl_Localitati[oras_oficial],[@oras])=0,"ORAS NEALINIAT",IF(XLOOKUP([@oras],tbl_Localitati[oras_oficial],tbl_Localitati[judet],"?")&lt;&gt;[@judet],"JUDET NECORESPUNZATOR",""))</f>
        <v/>
      </c>
      <c r="R722">
        <f>IF(XLOOKUP([@categorie],tbl_RegulriTVA[categorie],tbl_RegulriTVA[cota_legala],-1)&lt;&gt;[@cota_tva],"TVA GRESIT","")</f>
        <v/>
      </c>
      <c r="S722">
        <f>IF([@data_scadentei]&lt;[@data_factura],"SCADENTA INAINTEA FACTURII","")</f>
        <v/>
      </c>
      <c r="T722">
        <f>IF(NETWORKDAYS.INTL([@data_factura],[@data_factura],1,tbl_SarbatoriLegale[data])=0,"ZI NELUCRATOARE","")</f>
        <v/>
      </c>
      <c r="U722">
        <f>IF([@motiv_anomalie]="","OK","DE INVESTIGAT")</f>
        <v/>
      </c>
      <c r="V722">
        <f>TEXTJOIN("; ",TRUE,[@flag_oras],[@flag_tva],[@flag_scadenta],[@flag_zi])</f>
        <v/>
      </c>
    </row>
    <row r="723">
      <c r="A723" t="inlineStr">
        <is>
          <t>F-2025-00722</t>
        </is>
      </c>
      <c r="B723" s="12" t="n">
        <v>46300</v>
      </c>
      <c r="C723" t="inlineStr">
        <is>
          <t>SC DACTECH SOLUTIONS SRL</t>
        </is>
      </c>
      <c r="D723" t="inlineStr">
        <is>
          <t>Argeș</t>
        </is>
      </c>
      <c r="E723" t="inlineStr">
        <is>
          <t>PRD-009</t>
        </is>
      </c>
      <c r="F723" t="inlineStr">
        <is>
          <t>Abonament suita cloud</t>
        </is>
      </c>
      <c r="G723" t="inlineStr">
        <is>
          <t>Licențe software</t>
        </is>
      </c>
      <c r="H723" t="n">
        <v>50</v>
      </c>
      <c r="I723" t="n">
        <v>28.9</v>
      </c>
      <c r="J723" t="n">
        <v>1445</v>
      </c>
      <c r="K723" s="13" t="n">
        <v>0.19</v>
      </c>
      <c r="L723" t="n">
        <v>274.55</v>
      </c>
      <c r="M723" t="n">
        <v>1719.55</v>
      </c>
      <c r="N723" t="inlineStr">
        <is>
          <t>RON</t>
        </is>
      </c>
      <c r="O723" t="inlineStr">
        <is>
          <t>Pitești</t>
        </is>
      </c>
      <c r="P723" s="12" t="n">
        <v>46315</v>
      </c>
      <c r="Q723">
        <f>IF(COUNTIF(tbl_Localitati[oras_oficial],[@oras])=0,"ORAS NEALINIAT",IF(XLOOKUP([@oras],tbl_Localitati[oras_oficial],tbl_Localitati[judet],"?")&lt;&gt;[@judet],"JUDET NECORESPUNZATOR",""))</f>
        <v/>
      </c>
      <c r="R723">
        <f>IF(XLOOKUP([@categorie],tbl_RegulriTVA[categorie],tbl_RegulriTVA[cota_legala],-1)&lt;&gt;[@cota_tva],"TVA GRESIT","")</f>
        <v/>
      </c>
      <c r="S723">
        <f>IF([@data_scadentei]&lt;[@data_factura],"SCADENTA INAINTEA FACTURII","")</f>
        <v/>
      </c>
      <c r="T723">
        <f>IF(NETWORKDAYS.INTL([@data_factura],[@data_factura],1,tbl_SarbatoriLegale[data])=0,"ZI NELUCRATOARE","")</f>
        <v/>
      </c>
      <c r="U723">
        <f>IF([@motiv_anomalie]="","OK","DE INVESTIGAT")</f>
        <v/>
      </c>
      <c r="V723">
        <f>TEXTJOIN("; ",TRUE,[@flag_oras],[@flag_tva],[@flag_scadenta],[@flag_zi])</f>
        <v/>
      </c>
    </row>
    <row r="724">
      <c r="A724" t="inlineStr">
        <is>
          <t>F-2025-00723</t>
        </is>
      </c>
      <c r="B724" s="12" t="n">
        <v>46112</v>
      </c>
      <c r="C724" t="inlineStr">
        <is>
          <t>SC OMEGA SOFT SRL</t>
        </is>
      </c>
      <c r="D724" t="inlineStr">
        <is>
          <t>Dolj</t>
        </is>
      </c>
      <c r="E724" t="inlineStr">
        <is>
          <t>PRD-001</t>
        </is>
      </c>
      <c r="F724" t="inlineStr">
        <is>
          <t>Tocator documente</t>
        </is>
      </c>
      <c r="G724" t="inlineStr">
        <is>
          <t>Echipamente birou</t>
        </is>
      </c>
      <c r="H724" t="n">
        <v>1</v>
      </c>
      <c r="I724" t="n">
        <v>2512.03</v>
      </c>
      <c r="J724" t="n">
        <v>2512.03</v>
      </c>
      <c r="K724" s="13" t="n">
        <v>0.19</v>
      </c>
      <c r="L724" t="n">
        <v>477.29</v>
      </c>
      <c r="M724" t="n">
        <v>2989.32</v>
      </c>
      <c r="N724" t="inlineStr">
        <is>
          <t>RON</t>
        </is>
      </c>
      <c r="O724" t="inlineStr">
        <is>
          <t>Craiova</t>
        </is>
      </c>
      <c r="P724" s="12" t="n">
        <v>46157</v>
      </c>
      <c r="Q724">
        <f>IF(COUNTIF(tbl_Localitati[oras_oficial],[@oras])=0,"ORAS NEALINIAT",IF(XLOOKUP([@oras],tbl_Localitati[oras_oficial],tbl_Localitati[judet],"?")&lt;&gt;[@judet],"JUDET NECORESPUNZATOR",""))</f>
        <v/>
      </c>
      <c r="R724">
        <f>IF(XLOOKUP([@categorie],tbl_RegulriTVA[categorie],tbl_RegulriTVA[cota_legala],-1)&lt;&gt;[@cota_tva],"TVA GRESIT","")</f>
        <v/>
      </c>
      <c r="S724">
        <f>IF([@data_scadentei]&lt;[@data_factura],"SCADENTA INAINTEA FACTURII","")</f>
        <v/>
      </c>
      <c r="T724">
        <f>IF(NETWORKDAYS.INTL([@data_factura],[@data_factura],1,tbl_SarbatoriLegale[data])=0,"ZI NELUCRATOARE","")</f>
        <v/>
      </c>
      <c r="U724">
        <f>IF([@motiv_anomalie]="","OK","DE INVESTIGAT")</f>
        <v/>
      </c>
      <c r="V724">
        <f>TEXTJOIN("; ",TRUE,[@flag_oras],[@flag_tva],[@flag_scadenta],[@flag_zi])</f>
        <v/>
      </c>
    </row>
    <row r="725">
      <c r="A725" t="inlineStr">
        <is>
          <t>F-2025-00724</t>
        </is>
      </c>
      <c r="B725" s="12" t="n">
        <v>46344</v>
      </c>
      <c r="C725" t="inlineStr">
        <is>
          <t>SC OMEGA SOFT SRL</t>
        </is>
      </c>
      <c r="D725" t="inlineStr">
        <is>
          <t>Dolj</t>
        </is>
      </c>
      <c r="E725" t="inlineStr">
        <is>
          <t>PRD-003</t>
        </is>
      </c>
      <c r="F725" t="inlineStr">
        <is>
          <t>Carte tehnica IT</t>
        </is>
      </c>
      <c r="G725" t="inlineStr">
        <is>
          <t>Cărți și manuale</t>
        </is>
      </c>
      <c r="H725" t="n">
        <v>1</v>
      </c>
      <c r="I725" t="n">
        <v>4054.15</v>
      </c>
      <c r="J725" t="n">
        <v>4054.15</v>
      </c>
      <c r="K725" s="13" t="n">
        <v>0.05</v>
      </c>
      <c r="L725" t="n">
        <v>202.71</v>
      </c>
      <c r="M725" t="n">
        <v>4256.86</v>
      </c>
      <c r="N725" t="inlineStr">
        <is>
          <t>RON</t>
        </is>
      </c>
      <c r="O725" t="inlineStr">
        <is>
          <t>Craiova</t>
        </is>
      </c>
      <c r="P725" s="12" t="n">
        <v>46359</v>
      </c>
      <c r="Q725">
        <f>IF(COUNTIF(tbl_Localitati[oras_oficial],[@oras])=0,"ORAS NEALINIAT",IF(XLOOKUP([@oras],tbl_Localitati[oras_oficial],tbl_Localitati[judet],"?")&lt;&gt;[@judet],"JUDET NECORESPUNZATOR",""))</f>
        <v/>
      </c>
      <c r="R725">
        <f>IF(XLOOKUP([@categorie],tbl_RegulriTVA[categorie],tbl_RegulriTVA[cota_legala],-1)&lt;&gt;[@cota_tva],"TVA GRESIT","")</f>
        <v/>
      </c>
      <c r="S725">
        <f>IF([@data_scadentei]&lt;[@data_factura],"SCADENTA INAINTEA FACTURII","")</f>
        <v/>
      </c>
      <c r="T725">
        <f>IF(NETWORKDAYS.INTL([@data_factura],[@data_factura],1,tbl_SarbatoriLegale[data])=0,"ZI NELUCRATOARE","")</f>
        <v/>
      </c>
      <c r="U725">
        <f>IF([@motiv_anomalie]="","OK","DE INVESTIGAT")</f>
        <v/>
      </c>
      <c r="V725">
        <f>TEXTJOIN("; ",TRUE,[@flag_oras],[@flag_tva],[@flag_scadenta],[@flag_zi])</f>
        <v/>
      </c>
    </row>
    <row r="726">
      <c r="A726" t="inlineStr">
        <is>
          <t>F-2025-00725</t>
        </is>
      </c>
      <c r="B726" s="12" t="n">
        <v>46135</v>
      </c>
      <c r="C726" t="inlineStr">
        <is>
          <t>SC OMEGA SOFT SRL</t>
        </is>
      </c>
      <c r="D726" t="inlineStr">
        <is>
          <t>Dolj</t>
        </is>
      </c>
      <c r="E726" t="inlineStr">
        <is>
          <t>PRD-009</t>
        </is>
      </c>
      <c r="F726" t="inlineStr">
        <is>
          <t>Videoproiector sala</t>
        </is>
      </c>
      <c r="G726" t="inlineStr">
        <is>
          <t>Echipamente birou</t>
        </is>
      </c>
      <c r="H726" t="n">
        <v>10</v>
      </c>
      <c r="I726" t="n">
        <v>28.99</v>
      </c>
      <c r="J726" t="n">
        <v>289.9</v>
      </c>
      <c r="K726" s="13" t="n">
        <v>0.19</v>
      </c>
      <c r="L726" t="n">
        <v>55.08</v>
      </c>
      <c r="M726" t="n">
        <v>344.98</v>
      </c>
      <c r="N726" t="inlineStr">
        <is>
          <t>RON</t>
        </is>
      </c>
      <c r="O726" t="inlineStr">
        <is>
          <t>Craiova</t>
        </is>
      </c>
      <c r="P726" s="12" t="n">
        <v>46165</v>
      </c>
      <c r="Q726">
        <f>IF(COUNTIF(tbl_Localitati[oras_oficial],[@oras])=0,"ORAS NEALINIAT",IF(XLOOKUP([@oras],tbl_Localitati[oras_oficial],tbl_Localitati[judet],"?")&lt;&gt;[@judet],"JUDET NECORESPUNZATOR",""))</f>
        <v/>
      </c>
      <c r="R726">
        <f>IF(XLOOKUP([@categorie],tbl_RegulriTVA[categorie],tbl_RegulriTVA[cota_legala],-1)&lt;&gt;[@cota_tva],"TVA GRESIT","")</f>
        <v/>
      </c>
      <c r="S726">
        <f>IF([@data_scadentei]&lt;[@data_factura],"SCADENTA INAINTEA FACTURII","")</f>
        <v/>
      </c>
      <c r="T726">
        <f>IF(NETWORKDAYS.INTL([@data_factura],[@data_factura],1,tbl_SarbatoriLegale[data])=0,"ZI NELUCRATOARE","")</f>
        <v/>
      </c>
      <c r="U726">
        <f>IF([@motiv_anomalie]="","OK","DE INVESTIGAT")</f>
        <v/>
      </c>
      <c r="V726">
        <f>TEXTJOIN("; ",TRUE,[@flag_oras],[@flag_tva],[@flag_scadenta],[@flag_zi])</f>
        <v/>
      </c>
    </row>
    <row r="727">
      <c r="A727" t="inlineStr">
        <is>
          <t>F-2025-00726</t>
        </is>
      </c>
      <c r="B727" s="12" t="n">
        <v>46248</v>
      </c>
      <c r="C727" t="inlineStr">
        <is>
          <t>SC DACTECH SOLUTIONS SRL</t>
        </is>
      </c>
      <c r="D727" t="inlineStr">
        <is>
          <t>Argeș</t>
        </is>
      </c>
      <c r="E727" t="inlineStr">
        <is>
          <t>PRD-004</t>
        </is>
      </c>
      <c r="F727" t="inlineStr">
        <is>
          <t>Suport tehnic anual</t>
        </is>
      </c>
      <c r="G727" t="inlineStr">
        <is>
          <t>Servicii consultanță</t>
        </is>
      </c>
      <c r="H727" t="n">
        <v>1</v>
      </c>
      <c r="I727" t="n">
        <v>874.66</v>
      </c>
      <c r="J727" t="n">
        <v>874.66</v>
      </c>
      <c r="K727" s="13" t="n">
        <v>0.19</v>
      </c>
      <c r="L727" t="n">
        <v>166.19</v>
      </c>
      <c r="M727" t="n">
        <v>1040.85</v>
      </c>
      <c r="N727" t="inlineStr">
        <is>
          <t>RON</t>
        </is>
      </c>
      <c r="O727" t="inlineStr">
        <is>
          <t>Pitești</t>
        </is>
      </c>
      <c r="P727" s="12" t="n">
        <v>46308</v>
      </c>
      <c r="Q727">
        <f>IF(COUNTIF(tbl_Localitati[oras_oficial],[@oras])=0,"ORAS NEALINIAT",IF(XLOOKUP([@oras],tbl_Localitati[oras_oficial],tbl_Localitati[judet],"?")&lt;&gt;[@judet],"JUDET NECORESPUNZATOR",""))</f>
        <v/>
      </c>
      <c r="R727">
        <f>IF(XLOOKUP([@categorie],tbl_RegulriTVA[categorie],tbl_RegulriTVA[cota_legala],-1)&lt;&gt;[@cota_tva],"TVA GRESIT","")</f>
        <v/>
      </c>
      <c r="S727">
        <f>IF([@data_scadentei]&lt;[@data_factura],"SCADENTA INAINTEA FACTURII","")</f>
        <v/>
      </c>
      <c r="T727">
        <f>IF(NETWORKDAYS.INTL([@data_factura],[@data_factura],1,tbl_SarbatoriLegale[data])=0,"ZI NELUCRATOARE","")</f>
        <v/>
      </c>
      <c r="U727">
        <f>IF([@motiv_anomalie]="","OK","DE INVESTIGAT")</f>
        <v/>
      </c>
      <c r="V727">
        <f>TEXTJOIN("; ",TRUE,[@flag_oras],[@flag_tva],[@flag_scadenta],[@flag_zi])</f>
        <v/>
      </c>
    </row>
    <row r="728">
      <c r="A728" t="inlineStr">
        <is>
          <t>F-2025-00727</t>
        </is>
      </c>
      <c r="B728" s="12" t="n">
        <v>46140</v>
      </c>
      <c r="C728" t="inlineStr">
        <is>
          <t>SC SOLARIS ENERGY SRL</t>
        </is>
      </c>
      <c r="D728" t="inlineStr">
        <is>
          <t>Prahova</t>
        </is>
      </c>
      <c r="E728" t="inlineStr">
        <is>
          <t>PRD-006</t>
        </is>
      </c>
      <c r="F728" t="inlineStr">
        <is>
          <t>Licenta antivirus enterprise</t>
        </is>
      </c>
      <c r="G728" t="inlineStr">
        <is>
          <t>Licențe software</t>
        </is>
      </c>
      <c r="H728" t="n">
        <v>1</v>
      </c>
      <c r="I728" t="n">
        <v>748.67</v>
      </c>
      <c r="J728" t="n">
        <v>748.67</v>
      </c>
      <c r="K728" s="13" t="n">
        <v>0.19</v>
      </c>
      <c r="L728" t="n">
        <v>142.25</v>
      </c>
      <c r="M728" t="n">
        <v>890.92</v>
      </c>
      <c r="N728" t="inlineStr">
        <is>
          <t>RON</t>
        </is>
      </c>
      <c r="O728" t="inlineStr">
        <is>
          <t>Câmpina</t>
        </is>
      </c>
      <c r="P728" s="12" t="n">
        <v>46170</v>
      </c>
      <c r="Q728">
        <f>IF(COUNTIF(tbl_Localitati[oras_oficial],[@oras])=0,"ORAS NEALINIAT",IF(XLOOKUP([@oras],tbl_Localitati[oras_oficial],tbl_Localitati[judet],"?")&lt;&gt;[@judet],"JUDET NECORESPUNZATOR",""))</f>
        <v/>
      </c>
      <c r="R728">
        <f>IF(XLOOKUP([@categorie],tbl_RegulriTVA[categorie],tbl_RegulriTVA[cota_legala],-1)&lt;&gt;[@cota_tva],"TVA GRESIT","")</f>
        <v/>
      </c>
      <c r="S728">
        <f>IF([@data_scadentei]&lt;[@data_factura],"SCADENTA INAINTEA FACTURII","")</f>
        <v/>
      </c>
      <c r="T728">
        <f>IF(NETWORKDAYS.INTL([@data_factura],[@data_factura],1,tbl_SarbatoriLegale[data])=0,"ZI NELUCRATOARE","")</f>
        <v/>
      </c>
      <c r="U728">
        <f>IF([@motiv_anomalie]="","OK","DE INVESTIGAT")</f>
        <v/>
      </c>
      <c r="V728">
        <f>TEXTJOIN("; ",TRUE,[@flag_oras],[@flag_tva],[@flag_scadenta],[@flag_zi])</f>
        <v/>
      </c>
    </row>
    <row r="729">
      <c r="A729" t="inlineStr">
        <is>
          <t>F-2025-00728</t>
        </is>
      </c>
      <c r="B729" s="12" t="n">
        <v>46139</v>
      </c>
      <c r="C729" t="inlineStr">
        <is>
          <t>SC VECTOR CONSULT SRL</t>
        </is>
      </c>
      <c r="D729" t="inlineStr">
        <is>
          <t>Timiș</t>
        </is>
      </c>
      <c r="E729" t="inlineStr">
        <is>
          <t>PRD-010</t>
        </is>
      </c>
      <c r="F729" t="inlineStr">
        <is>
          <t>Multifunctionala laser</t>
        </is>
      </c>
      <c r="G729" t="inlineStr">
        <is>
          <t>Echipamente birou</t>
        </is>
      </c>
      <c r="H729" t="n">
        <v>10</v>
      </c>
      <c r="I729" t="n">
        <v>366.95</v>
      </c>
      <c r="J729" t="n">
        <v>3669.5</v>
      </c>
      <c r="K729" s="13" t="n">
        <v>0.19</v>
      </c>
      <c r="L729" t="n">
        <v>697.21</v>
      </c>
      <c r="M729" t="n">
        <v>4366.71</v>
      </c>
      <c r="N729" t="inlineStr">
        <is>
          <t>RON</t>
        </is>
      </c>
      <c r="O729" t="inlineStr">
        <is>
          <t>Timișoara</t>
        </is>
      </c>
      <c r="P729" s="12" t="n">
        <v>46169</v>
      </c>
      <c r="Q729">
        <f>IF(COUNTIF(tbl_Localitati[oras_oficial],[@oras])=0,"ORAS NEALINIAT",IF(XLOOKUP([@oras],tbl_Localitati[oras_oficial],tbl_Localitati[judet],"?")&lt;&gt;[@judet],"JUDET NECORESPUNZATOR",""))</f>
        <v/>
      </c>
      <c r="R729">
        <f>IF(XLOOKUP([@categorie],tbl_RegulriTVA[categorie],tbl_RegulriTVA[cota_legala],-1)&lt;&gt;[@cota_tva],"TVA GRESIT","")</f>
        <v/>
      </c>
      <c r="S729">
        <f>IF([@data_scadentei]&lt;[@data_factura],"SCADENTA INAINTEA FACTURII","")</f>
        <v/>
      </c>
      <c r="T729">
        <f>IF(NETWORKDAYS.INTL([@data_factura],[@data_factura],1,tbl_SarbatoriLegale[data])=0,"ZI NELUCRATOARE","")</f>
        <v/>
      </c>
      <c r="U729">
        <f>IF([@motiv_anomalie]="","OK","DE INVESTIGAT")</f>
        <v/>
      </c>
      <c r="V729">
        <f>TEXTJOIN("; ",TRUE,[@flag_oras],[@flag_tva],[@flag_scadenta],[@flag_zi])</f>
        <v/>
      </c>
    </row>
    <row r="730">
      <c r="A730" t="inlineStr">
        <is>
          <t>F-2025-00729</t>
        </is>
      </c>
      <c r="B730" s="12" t="n">
        <v>46377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Audit infrastructura</t>
        </is>
      </c>
      <c r="G730" t="inlineStr">
        <is>
          <t>Servicii consultanță</t>
        </is>
      </c>
      <c r="H730" t="n">
        <v>10</v>
      </c>
      <c r="I730" t="n">
        <v>771.4</v>
      </c>
      <c r="J730" t="n">
        <v>7714</v>
      </c>
      <c r="K730" s="13" t="n">
        <v>0.19</v>
      </c>
      <c r="L730" t="n">
        <v>1465.66</v>
      </c>
      <c r="M730" t="n">
        <v>9179.66</v>
      </c>
      <c r="N730" t="inlineStr">
        <is>
          <t>RON</t>
        </is>
      </c>
      <c r="O730" t="inlineStr">
        <is>
          <t>Sibiu</t>
        </is>
      </c>
      <c r="P730" s="12" t="n">
        <v>46422</v>
      </c>
      <c r="Q730">
        <f>IF(COUNTIF(tbl_Localitati[oras_oficial],[@oras])=0,"ORAS NEALINIAT",IF(XLOOKUP([@oras],tbl_Localitati[oras_oficial],tbl_Localitati[judet],"?")&lt;&gt;[@judet],"JUDET NECORESPUNZATOR",""))</f>
        <v/>
      </c>
      <c r="R730">
        <f>IF(XLOOKUP([@categorie],tbl_RegulriTVA[categorie],tbl_RegulriTVA[cota_legala],-1)&lt;&gt;[@cota_tva],"TVA GRESIT","")</f>
        <v/>
      </c>
      <c r="S730">
        <f>IF([@data_scadentei]&lt;[@data_factura],"SCADENTA INAINTEA FACTURII","")</f>
        <v/>
      </c>
      <c r="T730">
        <f>IF(NETWORKDAYS.INTL([@data_factura],[@data_factura],1,tbl_SarbatoriLegale[data])=0,"ZI NELUCRATOARE","")</f>
        <v/>
      </c>
      <c r="U730">
        <f>IF([@motiv_anomalie]="","OK","DE INVESTIGAT")</f>
        <v/>
      </c>
      <c r="V730">
        <f>TEXTJOIN("; ",TRUE,[@flag_oras],[@flag_tva],[@flag_scadenta],[@flag_zi])</f>
        <v/>
      </c>
    </row>
    <row r="731">
      <c r="A731" t="inlineStr">
        <is>
          <t>F-2025-00730</t>
        </is>
      </c>
      <c r="B731" s="12" t="n">
        <v>46276</v>
      </c>
      <c r="C731" t="inlineStr">
        <is>
          <t>SC AROMET TRADING SRL</t>
        </is>
      </c>
      <c r="D731" t="inlineStr">
        <is>
          <t>Alba</t>
        </is>
      </c>
      <c r="E731" t="inlineStr">
        <is>
          <t>PRD-007</t>
        </is>
      </c>
      <c r="F731" t="inlineStr">
        <is>
          <t>Ceai cutie 100buc</t>
        </is>
      </c>
      <c r="G731" t="inlineStr">
        <is>
          <t>Alimente</t>
        </is>
      </c>
      <c r="H731" t="n">
        <v>5</v>
      </c>
      <c r="I731" t="n">
        <v>188.22</v>
      </c>
      <c r="J731" t="n">
        <v>941.1</v>
      </c>
      <c r="K731" s="13" t="n">
        <v>0.09</v>
      </c>
      <c r="L731" t="n">
        <v>84.7</v>
      </c>
      <c r="M731" t="n">
        <v>1025.8</v>
      </c>
      <c r="N731" t="inlineStr">
        <is>
          <t>RON</t>
        </is>
      </c>
      <c r="O731" t="inlineStr">
        <is>
          <t>Alba Iulia</t>
        </is>
      </c>
      <c r="P731" s="12" t="n">
        <v>46306</v>
      </c>
      <c r="Q731">
        <f>IF(COUNTIF(tbl_Localitati[oras_oficial],[@oras])=0,"ORAS NEALINIAT",IF(XLOOKUP([@oras],tbl_Localitati[oras_oficial],tbl_Localitati[judet],"?")&lt;&gt;[@judet],"JUDET NECORESPUNZATOR",""))</f>
        <v/>
      </c>
      <c r="R731">
        <f>IF(XLOOKUP([@categorie],tbl_RegulriTVA[categorie],tbl_RegulriTVA[cota_legala],-1)&lt;&gt;[@cota_tva],"TVA GRESIT","")</f>
        <v/>
      </c>
      <c r="S731">
        <f>IF([@data_scadentei]&lt;[@data_factura],"SCADENTA INAINTEA FACTURII","")</f>
        <v/>
      </c>
      <c r="T731">
        <f>IF(NETWORKDAYS.INTL([@data_factura],[@data_factura],1,tbl_SarbatoriLegale[data])=0,"ZI NELUCRATOARE","")</f>
        <v/>
      </c>
      <c r="U731">
        <f>IF([@motiv_anomalie]="","OK","DE INVESTIGAT")</f>
        <v/>
      </c>
      <c r="V731">
        <f>TEXTJOIN("; ",TRUE,[@flag_oras],[@flag_tva],[@flag_scadenta],[@flag_zi])</f>
        <v/>
      </c>
    </row>
    <row r="732">
      <c r="A732" t="inlineStr">
        <is>
          <t>F-2025-00731</t>
        </is>
      </c>
      <c r="B732" s="12" t="n">
        <v>46386</v>
      </c>
      <c r="C732" t="inlineStr">
        <is>
          <t>SC PROVITA MEDICAL SRL</t>
        </is>
      </c>
      <c r="D732" t="inlineStr">
        <is>
          <t>Mureș</t>
        </is>
      </c>
      <c r="E732" t="inlineStr">
        <is>
          <t>PRD-003</t>
        </is>
      </c>
      <c r="F732" t="inlineStr">
        <is>
          <t>Server rack 1U</t>
        </is>
      </c>
      <c r="G732" t="inlineStr">
        <is>
          <t>Hardware IT</t>
        </is>
      </c>
      <c r="H732" t="n">
        <v>1</v>
      </c>
      <c r="I732" t="n">
        <v>4400.18</v>
      </c>
      <c r="J732" t="n">
        <v>4400.18</v>
      </c>
      <c r="K732" s="13" t="n">
        <v>0.19</v>
      </c>
      <c r="L732" t="n">
        <v>836.03</v>
      </c>
      <c r="M732" t="n">
        <v>5236.21</v>
      </c>
      <c r="N732" t="inlineStr">
        <is>
          <t>RON</t>
        </is>
      </c>
      <c r="O732" t="inlineStr">
        <is>
          <t>Târgu Mureș</t>
        </is>
      </c>
      <c r="P732" s="12" t="n">
        <v>46416</v>
      </c>
      <c r="Q732">
        <f>IF(COUNTIF(tbl_Localitati[oras_oficial],[@oras])=0,"ORAS NEALINIAT",IF(XLOOKUP([@oras],tbl_Localitati[oras_oficial],tbl_Localitati[judet],"?")&lt;&gt;[@judet],"JUDET NECORESPUNZATOR",""))</f>
        <v/>
      </c>
      <c r="R732">
        <f>IF(XLOOKUP([@categorie],tbl_RegulriTVA[categorie],tbl_RegulriTVA[cota_legala],-1)&lt;&gt;[@cota_tva],"TVA GRESIT","")</f>
        <v/>
      </c>
      <c r="S732">
        <f>IF([@data_scadentei]&lt;[@data_factura],"SCADENTA INAINTEA FACTURII","")</f>
        <v/>
      </c>
      <c r="T732">
        <f>IF(NETWORKDAYS.INTL([@data_factura],[@data_factura],1,tbl_SarbatoriLegale[data])=0,"ZI NELUCRATOARE","")</f>
        <v/>
      </c>
      <c r="U732">
        <f>IF([@motiv_anomalie]="","OK","DE INVESTIGAT")</f>
        <v/>
      </c>
      <c r="V732">
        <f>TEXTJOIN("; ",TRUE,[@flag_oras],[@flag_tva],[@flag_scadenta],[@flag_zi])</f>
        <v/>
      </c>
    </row>
    <row r="733">
      <c r="A733" t="inlineStr">
        <is>
          <t>F-2025-00732</t>
        </is>
      </c>
      <c r="B733" s="12" t="n">
        <v>46147</v>
      </c>
      <c r="C733" t="inlineStr">
        <is>
          <t>SC METALPLAST INVEST SA</t>
        </is>
      </c>
      <c r="D733" t="inlineStr">
        <is>
          <t>Cluj</t>
        </is>
      </c>
      <c r="E733" t="inlineStr">
        <is>
          <t>PRD-011</t>
        </is>
      </c>
      <c r="F733" t="inlineStr">
        <is>
          <t>Training utilizatori</t>
        </is>
      </c>
      <c r="G733" t="inlineStr">
        <is>
          <t>Servicii consultanță</t>
        </is>
      </c>
      <c r="H733" t="n">
        <v>5</v>
      </c>
      <c r="I733" t="n">
        <v>45.35</v>
      </c>
      <c r="J733" t="n">
        <v>226.75</v>
      </c>
      <c r="K733" s="13" t="n">
        <v>0.19</v>
      </c>
      <c r="L733" t="n">
        <v>43.08</v>
      </c>
      <c r="M733" t="n">
        <v>269.83</v>
      </c>
      <c r="N733" t="inlineStr">
        <is>
          <t>RON</t>
        </is>
      </c>
      <c r="O733" t="inlineStr">
        <is>
          <t>Turda</t>
        </is>
      </c>
      <c r="P733" s="12" t="n">
        <v>46207</v>
      </c>
      <c r="Q733">
        <f>IF(COUNTIF(tbl_Localitati[oras_oficial],[@oras])=0,"ORAS NEALINIAT",IF(XLOOKUP([@oras],tbl_Localitati[oras_oficial],tbl_Localitati[judet],"?")&lt;&gt;[@judet],"JUDET NECORESPUNZATOR",""))</f>
        <v/>
      </c>
      <c r="R733">
        <f>IF(XLOOKUP([@categorie],tbl_RegulriTVA[categorie],tbl_RegulriTVA[cota_legala],-1)&lt;&gt;[@cota_tva],"TVA GRESIT","")</f>
        <v/>
      </c>
      <c r="S733">
        <f>IF([@data_scadentei]&lt;[@data_factura],"SCADENTA INAINTEA FACTURII","")</f>
        <v/>
      </c>
      <c r="T733">
        <f>IF(NETWORKDAYS.INTL([@data_factura],[@data_factura],1,tbl_SarbatoriLegale[data])=0,"ZI NELUCRATOARE","")</f>
        <v/>
      </c>
      <c r="U733">
        <f>IF([@motiv_anomalie]="","OK","DE INVESTIGAT")</f>
        <v/>
      </c>
      <c r="V733">
        <f>TEXTJOIN("; ",TRUE,[@flag_oras],[@flag_tva],[@flag_scadenta],[@flag_zi])</f>
        <v/>
      </c>
    </row>
    <row r="734">
      <c r="A734" t="inlineStr">
        <is>
          <t>F-2025-00733</t>
        </is>
      </c>
      <c r="B734" s="12" t="n">
        <v>46083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Telefon IP birou</t>
        </is>
      </c>
      <c r="G734" t="inlineStr">
        <is>
          <t>Echipamente birou</t>
        </is>
      </c>
      <c r="H734" t="n">
        <v>5</v>
      </c>
      <c r="I734" t="n">
        <v>891.78</v>
      </c>
      <c r="J734" t="n">
        <v>4458.9</v>
      </c>
      <c r="K734" s="13" t="n">
        <v>0.19</v>
      </c>
      <c r="L734" t="n">
        <v>847.1900000000001</v>
      </c>
      <c r="M734" t="n">
        <v>5306.09</v>
      </c>
      <c r="N734" t="inlineStr">
        <is>
          <t>RON</t>
        </is>
      </c>
      <c r="O734" t="inlineStr">
        <is>
          <t>Sibiu</t>
        </is>
      </c>
      <c r="P734" s="12" t="n">
        <v>46113</v>
      </c>
      <c r="Q734">
        <f>IF(COUNTIF(tbl_Localitati[oras_oficial],[@oras])=0,"ORAS NEALINIAT",IF(XLOOKUP([@oras],tbl_Localitati[oras_oficial],tbl_Localitati[judet],"?")&lt;&gt;[@judet],"JUDET NECORESPUNZATOR",""))</f>
        <v/>
      </c>
      <c r="R734">
        <f>IF(XLOOKUP([@categorie],tbl_RegulriTVA[categorie],tbl_RegulriTVA[cota_legala],-1)&lt;&gt;[@cota_tva],"TVA GRESIT","")</f>
        <v/>
      </c>
      <c r="S734">
        <f>IF([@data_scadentei]&lt;[@data_factura],"SCADENTA INAINTEA FACTURII","")</f>
        <v/>
      </c>
      <c r="T734">
        <f>IF(NETWORKDAYS.INTL([@data_factura],[@data_factura],1,tbl_SarbatoriLegale[data])=0,"ZI NELUCRATOARE","")</f>
        <v/>
      </c>
      <c r="U734">
        <f>IF([@motiv_anomalie]="","OK","DE INVESTIGAT")</f>
        <v/>
      </c>
      <c r="V734">
        <f>TEXTJOIN("; ",TRUE,[@flag_oras],[@flag_tva],[@flag_scadenta],[@flag_zi])</f>
        <v/>
      </c>
    </row>
    <row r="735">
      <c r="A735" t="inlineStr">
        <is>
          <t>F-2025-00734</t>
        </is>
      </c>
      <c r="B735" s="12" t="n">
        <v>46304</v>
      </c>
      <c r="C735" t="inlineStr">
        <is>
          <t>SC INTEGROMED SA</t>
        </is>
      </c>
      <c r="D735" t="inlineStr">
        <is>
          <t>Cluj</t>
        </is>
      </c>
      <c r="E735" t="inlineStr">
        <is>
          <t>PRD-007</t>
        </is>
      </c>
      <c r="F735" t="inlineStr">
        <is>
          <t>Server rack 1U</t>
        </is>
      </c>
      <c r="G735" t="inlineStr">
        <is>
          <t>Hardware IT</t>
        </is>
      </c>
      <c r="H735" t="n">
        <v>10</v>
      </c>
      <c r="I735" t="n">
        <v>186.28</v>
      </c>
      <c r="J735" t="n">
        <v>1862.8</v>
      </c>
      <c r="K735" s="13" t="n">
        <v>0.19</v>
      </c>
      <c r="L735" t="n">
        <v>353.93</v>
      </c>
      <c r="M735" t="n">
        <v>2216.73</v>
      </c>
      <c r="N735" t="inlineStr">
        <is>
          <t>RON</t>
        </is>
      </c>
      <c r="O735" t="inlineStr">
        <is>
          <t>Cluj-Napoca</t>
        </is>
      </c>
      <c r="P735" s="12" t="n">
        <v>46349</v>
      </c>
      <c r="Q735">
        <f>IF(COUNTIF(tbl_Localitati[oras_oficial],[@oras])=0,"ORAS NEALINIAT",IF(XLOOKUP([@oras],tbl_Localitati[oras_oficial],tbl_Localitati[judet],"?")&lt;&gt;[@judet],"JUDET NECORESPUNZATOR",""))</f>
        <v/>
      </c>
      <c r="R735">
        <f>IF(XLOOKUP([@categorie],tbl_RegulriTVA[categorie],tbl_RegulriTVA[cota_legala],-1)&lt;&gt;[@cota_tva],"TVA GRESIT","")</f>
        <v/>
      </c>
      <c r="S735">
        <f>IF([@data_scadentei]&lt;[@data_factura],"SCADENTA INAINTEA FACTURII","")</f>
        <v/>
      </c>
      <c r="T735">
        <f>IF(NETWORKDAYS.INTL([@data_factura],[@data_factura],1,tbl_SarbatoriLegale[data])=0,"ZI NELUCRATOARE","")</f>
        <v/>
      </c>
      <c r="U735">
        <f>IF([@motiv_anomalie]="","OK","DE INVESTIGAT")</f>
        <v/>
      </c>
      <c r="V735">
        <f>TEXTJOIN("; ",TRUE,[@flag_oras],[@flag_tva],[@flag_scadenta],[@flag_zi])</f>
        <v/>
      </c>
    </row>
    <row r="736">
      <c r="A736" t="inlineStr">
        <is>
          <t>F-2025-00735</t>
        </is>
      </c>
      <c r="B736" s="12" t="n">
        <v>46338</v>
      </c>
      <c r="C736" t="inlineStr">
        <is>
          <t>SC METALPLAST INVEST SA</t>
        </is>
      </c>
      <c r="D736" t="inlineStr">
        <is>
          <t>Cluj</t>
        </is>
      </c>
      <c r="E736" t="inlineStr">
        <is>
          <t>PRD-002</t>
        </is>
      </c>
      <c r="F736" t="inlineStr">
        <is>
          <t>Licenta ERP contabilitate</t>
        </is>
      </c>
      <c r="G736" t="inlineStr">
        <is>
          <t>Licențe software</t>
        </is>
      </c>
      <c r="H736" t="n">
        <v>2</v>
      </c>
      <c r="I736" t="n">
        <v>1077.87</v>
      </c>
      <c r="J736" t="n">
        <v>2155.74</v>
      </c>
      <c r="K736" s="13" t="n">
        <v>0.19</v>
      </c>
      <c r="L736" t="n">
        <v>409.59</v>
      </c>
      <c r="M736" t="n">
        <v>2565.33</v>
      </c>
      <c r="N736" t="inlineStr">
        <is>
          <t>RON</t>
        </is>
      </c>
      <c r="O736" t="inlineStr">
        <is>
          <t>Turda</t>
        </is>
      </c>
      <c r="P736" s="12" t="n">
        <v>46368</v>
      </c>
      <c r="Q736">
        <f>IF(COUNTIF(tbl_Localitati[oras_oficial],[@oras])=0,"ORAS NEALINIAT",IF(XLOOKUP([@oras],tbl_Localitati[oras_oficial],tbl_Localitati[judet],"?")&lt;&gt;[@judet],"JUDET NECORESPUNZATOR",""))</f>
        <v/>
      </c>
      <c r="R736">
        <f>IF(XLOOKUP([@categorie],tbl_RegulriTVA[categorie],tbl_RegulriTVA[cota_legala],-1)&lt;&gt;[@cota_tva],"TVA GRESIT","")</f>
        <v/>
      </c>
      <c r="S736">
        <f>IF([@data_scadentei]&lt;[@data_factura],"SCADENTA INAINTEA FACTURII","")</f>
        <v/>
      </c>
      <c r="T736">
        <f>IF(NETWORKDAYS.INTL([@data_factura],[@data_factura],1,tbl_SarbatoriLegale[data])=0,"ZI NELUCRATOARE","")</f>
        <v/>
      </c>
      <c r="U736">
        <f>IF([@motiv_anomalie]="","OK","DE INVESTIGAT")</f>
        <v/>
      </c>
      <c r="V736">
        <f>TEXTJOIN("; ",TRUE,[@flag_oras],[@flag_tva],[@flag_scadenta],[@flag_zi])</f>
        <v/>
      </c>
    </row>
    <row r="737">
      <c r="A737" t="inlineStr">
        <is>
          <t>F-2025-00736</t>
        </is>
      </c>
      <c r="B737" s="12" t="n">
        <v>46079</v>
      </c>
      <c r="C737" t="inlineStr">
        <is>
          <t>SC AROMET TRADING SRL</t>
        </is>
      </c>
      <c r="D737" t="inlineStr">
        <is>
          <t>Alba</t>
        </is>
      </c>
      <c r="E737" t="inlineStr">
        <is>
          <t>PRD-007</t>
        </is>
      </c>
      <c r="F737" t="inlineStr">
        <is>
          <t>Trusa prim ajutor</t>
        </is>
      </c>
      <c r="G737" t="inlineStr">
        <is>
          <t>Produse farmaceutice</t>
        </is>
      </c>
      <c r="H737" t="n">
        <v>1</v>
      </c>
      <c r="I737" t="n">
        <v>185.55</v>
      </c>
      <c r="J737" t="n">
        <v>185.55</v>
      </c>
      <c r="K737" s="13" t="n">
        <v>0.09</v>
      </c>
      <c r="L737" t="n">
        <v>16.7</v>
      </c>
      <c r="M737" t="n">
        <v>202.25</v>
      </c>
      <c r="N737" t="inlineStr">
        <is>
          <t>RON</t>
        </is>
      </c>
      <c r="O737" t="inlineStr">
        <is>
          <t>Alba Iulia</t>
        </is>
      </c>
      <c r="P737" s="12" t="n">
        <v>46109</v>
      </c>
      <c r="Q737">
        <f>IF(COUNTIF(tbl_Localitati[oras_oficial],[@oras])=0,"ORAS NEALINIAT",IF(XLOOKUP([@oras],tbl_Localitati[oras_oficial],tbl_Localitati[judet],"?")&lt;&gt;[@judet],"JUDET NECORESPUNZATOR",""))</f>
        <v/>
      </c>
      <c r="R737">
        <f>IF(XLOOKUP([@categorie],tbl_RegulriTVA[categorie],tbl_RegulriTVA[cota_legala],-1)&lt;&gt;[@cota_tva],"TVA GRESIT","")</f>
        <v/>
      </c>
      <c r="S737">
        <f>IF([@data_scadentei]&lt;[@data_factura],"SCADENTA INAINTEA FACTURII","")</f>
        <v/>
      </c>
      <c r="T737">
        <f>IF(NETWORKDAYS.INTL([@data_factura],[@data_factura],1,tbl_SarbatoriLegale[data])=0,"ZI NELUCRATOARE","")</f>
        <v/>
      </c>
      <c r="U737">
        <f>IF([@motiv_anomalie]="","OK","DE INVESTIGAT")</f>
        <v/>
      </c>
      <c r="V737">
        <f>TEXTJOIN("; ",TRUE,[@flag_oras],[@flag_tva],[@flag_scadenta],[@flag_zi])</f>
        <v/>
      </c>
    </row>
    <row r="738">
      <c r="A738" t="inlineStr">
        <is>
          <t>F-2025-00737</t>
        </is>
      </c>
      <c r="B738" s="12" t="n">
        <v>46182</v>
      </c>
      <c r="C738" t="inlineStr">
        <is>
          <t>SC SOLARIS ENERGY SRL</t>
        </is>
      </c>
      <c r="D738" t="inlineStr">
        <is>
          <t>Prahova</t>
        </is>
      </c>
      <c r="E738" t="inlineStr">
        <is>
          <t>PRD-005</t>
        </is>
      </c>
      <c r="F738" t="inlineStr">
        <is>
          <t>Audit infrastructura</t>
        </is>
      </c>
      <c r="G738" t="inlineStr">
        <is>
          <t>Servicii consultanță</t>
        </is>
      </c>
      <c r="H738" t="n">
        <v>5</v>
      </c>
      <c r="I738" t="n">
        <v>247.91</v>
      </c>
      <c r="J738" t="n">
        <v>1239.55</v>
      </c>
      <c r="K738" s="13" t="n">
        <v>0.19</v>
      </c>
      <c r="L738" t="n">
        <v>235.51</v>
      </c>
      <c r="M738" t="n">
        <v>1475.06</v>
      </c>
      <c r="N738" t="inlineStr">
        <is>
          <t>RON</t>
        </is>
      </c>
      <c r="O738" t="inlineStr">
        <is>
          <t>Câmpina</t>
        </is>
      </c>
      <c r="P738" s="12" t="n">
        <v>46212</v>
      </c>
      <c r="Q738">
        <f>IF(COUNTIF(tbl_Localitati[oras_oficial],[@oras])=0,"ORAS NEALINIAT",IF(XLOOKUP([@oras],tbl_Localitati[oras_oficial],tbl_Localitati[judet],"?")&lt;&gt;[@judet],"JUDET NECORESPUNZATOR",""))</f>
        <v/>
      </c>
      <c r="R738">
        <f>IF(XLOOKUP([@categorie],tbl_RegulriTVA[categorie],tbl_RegulriTVA[cota_legala],-1)&lt;&gt;[@cota_tva],"TVA GRESIT","")</f>
        <v/>
      </c>
      <c r="S738">
        <f>IF([@data_scadentei]&lt;[@data_factura],"SCADENTA INAINTEA FACTURII","")</f>
        <v/>
      </c>
      <c r="T738">
        <f>IF(NETWORKDAYS.INTL([@data_factura],[@data_factura],1,tbl_SarbatoriLegale[data])=0,"ZI NELUCRATOARE","")</f>
        <v/>
      </c>
      <c r="U738">
        <f>IF([@motiv_anomalie]="","OK","DE INVESTIGAT")</f>
        <v/>
      </c>
      <c r="V738">
        <f>TEXTJOIN("; ",TRUE,[@flag_oras],[@flag_tva],[@flag_scadenta],[@flag_zi])</f>
        <v/>
      </c>
    </row>
    <row r="739">
      <c r="A739" t="inlineStr">
        <is>
          <t>F-2025-00738</t>
        </is>
      </c>
      <c r="B739" s="12" t="n">
        <v>46115</v>
      </c>
      <c r="C739" t="inlineStr">
        <is>
          <t>SC SOLARIS ENERGY SRL</t>
        </is>
      </c>
      <c r="D739" t="inlineStr">
        <is>
          <t>Prahova</t>
        </is>
      </c>
      <c r="E739" t="inlineStr">
        <is>
          <t>PRD-006</t>
        </is>
      </c>
      <c r="F739" t="inlineStr">
        <is>
          <t>Tocator documente</t>
        </is>
      </c>
      <c r="G739" t="inlineStr">
        <is>
          <t>Echipamente birou</t>
        </is>
      </c>
      <c r="H739" t="n">
        <v>5</v>
      </c>
      <c r="I739" t="n">
        <v>720.47</v>
      </c>
      <c r="J739" t="n">
        <v>3602.35</v>
      </c>
      <c r="K739" s="13" t="n">
        <v>0.19</v>
      </c>
      <c r="L739" t="n">
        <v>684.45</v>
      </c>
      <c r="M739" t="n">
        <v>4286.8</v>
      </c>
      <c r="N739" t="inlineStr">
        <is>
          <t>RON</t>
        </is>
      </c>
      <c r="O739" t="inlineStr">
        <is>
          <t>Câmpina</t>
        </is>
      </c>
      <c r="P739" s="12" t="n">
        <v>46145</v>
      </c>
      <c r="Q739">
        <f>IF(COUNTIF(tbl_Localitati[oras_oficial],[@oras])=0,"ORAS NEALINIAT",IF(XLOOKUP([@oras],tbl_Localitati[oras_oficial],tbl_Localitati[judet],"?")&lt;&gt;[@judet],"JUDET NECORESPUNZATOR",""))</f>
        <v/>
      </c>
      <c r="R739">
        <f>IF(XLOOKUP([@categorie],tbl_RegulriTVA[categorie],tbl_RegulriTVA[cota_legala],-1)&lt;&gt;[@cota_tva],"TVA GRESIT","")</f>
        <v/>
      </c>
      <c r="S739">
        <f>IF([@data_scadentei]&lt;[@data_factura],"SCADENTA INAINTEA FACTURII","")</f>
        <v/>
      </c>
      <c r="T739">
        <f>IF(NETWORKDAYS.INTL([@data_factura],[@data_factura],1,tbl_SarbatoriLegale[data])=0,"ZI NELUCRATOARE","")</f>
        <v/>
      </c>
      <c r="U739">
        <f>IF([@motiv_anomalie]="","OK","DE INVESTIGAT")</f>
        <v/>
      </c>
      <c r="V739">
        <f>TEXTJOIN("; ",TRUE,[@flag_oras],[@flag_tva],[@flag_scadenta],[@flag_zi])</f>
        <v/>
      </c>
    </row>
    <row r="740">
      <c r="A740" t="inlineStr">
        <is>
          <t>F-2025-00739</t>
        </is>
      </c>
      <c r="B740" s="12" t="n">
        <v>46266</v>
      </c>
      <c r="C740" t="inlineStr">
        <is>
          <t>SC SOLARIS ENERGY SRL</t>
        </is>
      </c>
      <c r="D740" t="inlineStr">
        <is>
          <t>Prahova</t>
        </is>
      </c>
      <c r="E740" t="inlineStr">
        <is>
          <t>PRD-006</t>
        </is>
      </c>
      <c r="F740" t="inlineStr">
        <is>
          <t>Abonament suita cloud</t>
        </is>
      </c>
      <c r="G740" t="inlineStr">
        <is>
          <t>Licențe software</t>
        </is>
      </c>
      <c r="H740" t="n">
        <v>10</v>
      </c>
      <c r="I740" t="n">
        <v>728.3099999999999</v>
      </c>
      <c r="J740" t="n">
        <v>7283.1</v>
      </c>
      <c r="K740" s="13" t="n">
        <v>0.19</v>
      </c>
      <c r="L740" t="n">
        <v>1383.79</v>
      </c>
      <c r="M740" t="n">
        <v>8666.889999999999</v>
      </c>
      <c r="N740" t="inlineStr">
        <is>
          <t>RON</t>
        </is>
      </c>
      <c r="O740" t="inlineStr">
        <is>
          <t>Câmpina</t>
        </is>
      </c>
      <c r="P740" s="12" t="n">
        <v>46281</v>
      </c>
      <c r="Q740">
        <f>IF(COUNTIF(tbl_Localitati[oras_oficial],[@oras])=0,"ORAS NEALINIAT",IF(XLOOKUP([@oras],tbl_Localitati[oras_oficial],tbl_Localitati[judet],"?")&lt;&gt;[@judet],"JUDET NECORESPUNZATOR",""))</f>
        <v/>
      </c>
      <c r="R740">
        <f>IF(XLOOKUP([@categorie],tbl_RegulriTVA[categorie],tbl_RegulriTVA[cota_legala],-1)&lt;&gt;[@cota_tva],"TVA GRESIT","")</f>
        <v/>
      </c>
      <c r="S740">
        <f>IF([@data_scadentei]&lt;[@data_factura],"SCADENTA INAINTEA FACTURII","")</f>
        <v/>
      </c>
      <c r="T740">
        <f>IF(NETWORKDAYS.INTL([@data_factura],[@data_factura],1,tbl_SarbatoriLegale[data])=0,"ZI NELUCRATOARE","")</f>
        <v/>
      </c>
      <c r="U740">
        <f>IF([@motiv_anomalie]="","OK","DE INVESTIGAT")</f>
        <v/>
      </c>
      <c r="V740">
        <f>TEXTJOIN("; ",TRUE,[@flag_oras],[@flag_tva],[@flag_scadenta],[@flag_zi])</f>
        <v/>
      </c>
    </row>
    <row r="741">
      <c r="A741" t="inlineStr">
        <is>
          <t>F-2025-00740</t>
        </is>
      </c>
      <c r="B741" s="12" t="n">
        <v>46062</v>
      </c>
      <c r="C741" t="inlineStr">
        <is>
          <t>SC OMEGA SOFT SRL</t>
        </is>
      </c>
      <c r="D741" t="inlineStr">
        <is>
          <t>Dolj</t>
        </is>
      </c>
      <c r="E741" t="inlineStr">
        <is>
          <t>PRD-009</t>
        </is>
      </c>
      <c r="F741" t="inlineStr">
        <is>
          <t>Licenta antivirus enterprise</t>
        </is>
      </c>
      <c r="G741" t="inlineStr">
        <is>
          <t>Licențe software</t>
        </is>
      </c>
      <c r="H741" t="n">
        <v>50</v>
      </c>
      <c r="I741" t="n">
        <v>27.92</v>
      </c>
      <c r="J741" t="n">
        <v>1396</v>
      </c>
      <c r="K741" s="13" t="n">
        <v>0.19</v>
      </c>
      <c r="L741" t="n">
        <v>265.24</v>
      </c>
      <c r="M741" t="n">
        <v>1661.24</v>
      </c>
      <c r="N741" t="inlineStr">
        <is>
          <t>RON</t>
        </is>
      </c>
      <c r="O741" t="inlineStr">
        <is>
          <t>Craiova</t>
        </is>
      </c>
      <c r="P741" s="12" t="n">
        <v>46107</v>
      </c>
      <c r="Q741">
        <f>IF(COUNTIF(tbl_Localitati[oras_oficial],[@oras])=0,"ORAS NEALINIAT",IF(XLOOKUP([@oras],tbl_Localitati[oras_oficial],tbl_Localitati[judet],"?")&lt;&gt;[@judet],"JUDET NECORESPUNZATOR",""))</f>
        <v/>
      </c>
      <c r="R741">
        <f>IF(XLOOKUP([@categorie],tbl_RegulriTVA[categorie],tbl_RegulriTVA[cota_legala],-1)&lt;&gt;[@cota_tva],"TVA GRESIT","")</f>
        <v/>
      </c>
      <c r="S741">
        <f>IF([@data_scadentei]&lt;[@data_factura],"SCADENTA INAINTEA FACTURII","")</f>
        <v/>
      </c>
      <c r="T741">
        <f>IF(NETWORKDAYS.INTL([@data_factura],[@data_factura],1,tbl_SarbatoriLegale[data])=0,"ZI NELUCRATOARE","")</f>
        <v/>
      </c>
      <c r="U741">
        <f>IF([@motiv_anomalie]="","OK","DE INVESTIGAT")</f>
        <v/>
      </c>
      <c r="V741">
        <f>TEXTJOIN("; ",TRUE,[@flag_oras],[@flag_tva],[@flag_scadenta],[@flag_zi])</f>
        <v/>
      </c>
    </row>
    <row r="742">
      <c r="A742" t="inlineStr">
        <is>
          <t>F-2025-00741</t>
        </is>
      </c>
      <c r="B742" s="12" t="n">
        <v>46127</v>
      </c>
      <c r="C742" t="inlineStr">
        <is>
          <t>SC NORDIS DISTRIBUTIE SRL</t>
        </is>
      </c>
      <c r="D742" t="inlineStr">
        <is>
          <t>Constanța</t>
        </is>
      </c>
      <c r="E742" t="inlineStr">
        <is>
          <t>PRD-010</t>
        </is>
      </c>
      <c r="F742" t="inlineStr">
        <is>
          <t>Switch gigabit 24p</t>
        </is>
      </c>
      <c r="G742" t="inlineStr">
        <is>
          <t>Hardware IT</t>
        </is>
      </c>
      <c r="H742" t="n">
        <v>20</v>
      </c>
      <c r="I742" t="n">
        <v>332.7</v>
      </c>
      <c r="J742" t="n">
        <v>6654</v>
      </c>
      <c r="K742" s="13" t="n">
        <v>0.19</v>
      </c>
      <c r="L742" t="n">
        <v>1264.26</v>
      </c>
      <c r="M742" t="n">
        <v>7918.26</v>
      </c>
      <c r="N742" t="inlineStr">
        <is>
          <t>RON</t>
        </is>
      </c>
      <c r="O742" t="inlineStr">
        <is>
          <t>Mangalia</t>
        </is>
      </c>
      <c r="P742" s="12" t="n">
        <v>46157</v>
      </c>
      <c r="Q742">
        <f>IF(COUNTIF(tbl_Localitati[oras_oficial],[@oras])=0,"ORAS NEALINIAT",IF(XLOOKUP([@oras],tbl_Localitati[oras_oficial],tbl_Localitati[judet],"?")&lt;&gt;[@judet],"JUDET NECORESPUNZATOR",""))</f>
        <v/>
      </c>
      <c r="R742">
        <f>IF(XLOOKUP([@categorie],tbl_RegulriTVA[categorie],tbl_RegulriTVA[cota_legala],-1)&lt;&gt;[@cota_tva],"TVA GRESIT","")</f>
        <v/>
      </c>
      <c r="S742">
        <f>IF([@data_scadentei]&lt;[@data_factura],"SCADENTA INAINTEA FACTURII","")</f>
        <v/>
      </c>
      <c r="T742">
        <f>IF(NETWORKDAYS.INTL([@data_factura],[@data_factura],1,tbl_SarbatoriLegale[data])=0,"ZI NELUCRATOARE","")</f>
        <v/>
      </c>
      <c r="U742">
        <f>IF([@motiv_anomalie]="","OK","DE INVESTIGAT")</f>
        <v/>
      </c>
      <c r="V742">
        <f>TEXTJOIN("; ",TRUE,[@flag_oras],[@flag_tva],[@flag_scadenta],[@flag_zi])</f>
        <v/>
      </c>
    </row>
    <row r="743">
      <c r="A743" t="inlineStr">
        <is>
          <t>F-2025-00742</t>
        </is>
      </c>
      <c r="B743" s="12" t="n">
        <v>46043</v>
      </c>
      <c r="C743" t="inlineStr">
        <is>
          <t>SC NORDIS DISTRIBUTIE SRL</t>
        </is>
      </c>
      <c r="D743" t="inlineStr">
        <is>
          <t>Constanța</t>
        </is>
      </c>
      <c r="E743" t="inlineStr">
        <is>
          <t>PRD-006</t>
        </is>
      </c>
      <c r="F743" t="inlineStr">
        <is>
          <t>Audit infrastructura</t>
        </is>
      </c>
      <c r="G743" t="inlineStr">
        <is>
          <t>Servicii consultanță</t>
        </is>
      </c>
      <c r="H743" t="n">
        <v>5</v>
      </c>
      <c r="I743" t="n">
        <v>767.54</v>
      </c>
      <c r="J743" t="n">
        <v>3837.7</v>
      </c>
      <c r="K743" s="13" t="n">
        <v>0.19</v>
      </c>
      <c r="L743" t="n">
        <v>729.16</v>
      </c>
      <c r="M743" t="n">
        <v>4566.86</v>
      </c>
      <c r="N743" t="inlineStr">
        <is>
          <t>EUR</t>
        </is>
      </c>
      <c r="O743" t="inlineStr">
        <is>
          <t>Mangalia</t>
        </is>
      </c>
      <c r="P743" s="12" t="n">
        <v>46058</v>
      </c>
      <c r="Q743">
        <f>IF(COUNTIF(tbl_Localitati[oras_oficial],[@oras])=0,"ORAS NEALINIAT",IF(XLOOKUP([@oras],tbl_Localitati[oras_oficial],tbl_Localitati[judet],"?")&lt;&gt;[@judet],"JUDET NECORESPUNZATOR",""))</f>
        <v/>
      </c>
      <c r="R743">
        <f>IF(XLOOKUP([@categorie],tbl_RegulriTVA[categorie],tbl_RegulriTVA[cota_legala],-1)&lt;&gt;[@cota_tva],"TVA GRESIT","")</f>
        <v/>
      </c>
      <c r="S743">
        <f>IF([@data_scadentei]&lt;[@data_factura],"SCADENTA INAINTEA FACTURII","")</f>
        <v/>
      </c>
      <c r="T743">
        <f>IF(NETWORKDAYS.INTL([@data_factura],[@data_factura],1,tbl_SarbatoriLegale[data])=0,"ZI NELUCRATOARE","")</f>
        <v/>
      </c>
      <c r="U743">
        <f>IF([@motiv_anomalie]="","OK","DE INVESTIGAT")</f>
        <v/>
      </c>
      <c r="V743">
        <f>TEXTJOIN("; ",TRUE,[@flag_oras],[@flag_tva],[@flag_scadenta],[@flag_zi])</f>
        <v/>
      </c>
    </row>
    <row r="744">
      <c r="A744" t="inlineStr">
        <is>
          <t>F-2025-00743</t>
        </is>
      </c>
      <c r="B744" s="12" t="n">
        <v>46245</v>
      </c>
      <c r="C744" t="inlineStr">
        <is>
          <t>SC INTEGROMED SA</t>
        </is>
      </c>
      <c r="D744" t="inlineStr">
        <is>
          <t>Cluj</t>
        </is>
      </c>
      <c r="E744" t="inlineStr">
        <is>
          <t>PRD-006</t>
        </is>
      </c>
      <c r="F744" t="inlineStr">
        <is>
          <t>Carte tehnica IT</t>
        </is>
      </c>
      <c r="G744" t="inlineStr">
        <is>
          <t>Cărți și manuale</t>
        </is>
      </c>
      <c r="H744" t="n">
        <v>10</v>
      </c>
      <c r="I744" t="n">
        <v>738.86</v>
      </c>
      <c r="J744" t="n">
        <v>7388.6</v>
      </c>
      <c r="K744" s="13" t="n">
        <v>0.05</v>
      </c>
      <c r="L744" t="n">
        <v>369.43</v>
      </c>
      <c r="M744" t="n">
        <v>7758.03</v>
      </c>
      <c r="N744" t="inlineStr">
        <is>
          <t>RON</t>
        </is>
      </c>
      <c r="O744" t="inlineStr">
        <is>
          <t>Cluj-Napoca</t>
        </is>
      </c>
      <c r="P744" s="12" t="n">
        <v>46305</v>
      </c>
      <c r="Q744">
        <f>IF(COUNTIF(tbl_Localitati[oras_oficial],[@oras])=0,"ORAS NEALINIAT",IF(XLOOKUP([@oras],tbl_Localitati[oras_oficial],tbl_Localitati[judet],"?")&lt;&gt;[@judet],"JUDET NECORESPUNZATOR",""))</f>
        <v/>
      </c>
      <c r="R744">
        <f>IF(XLOOKUP([@categorie],tbl_RegulriTVA[categorie],tbl_RegulriTVA[cota_legala],-1)&lt;&gt;[@cota_tva],"TVA GRESIT","")</f>
        <v/>
      </c>
      <c r="S744">
        <f>IF([@data_scadentei]&lt;[@data_factura],"SCADENTA INAINTEA FACTURII","")</f>
        <v/>
      </c>
      <c r="T744">
        <f>IF(NETWORKDAYS.INTL([@data_factura],[@data_factura],1,tbl_SarbatoriLegale[data])=0,"ZI NELUCRATOARE","")</f>
        <v/>
      </c>
      <c r="U744">
        <f>IF([@motiv_anomalie]="","OK","DE INVESTIGAT")</f>
        <v/>
      </c>
      <c r="V744">
        <f>TEXTJOIN("; ",TRUE,[@flag_oras],[@flag_tva],[@flag_scadenta],[@flag_zi])</f>
        <v/>
      </c>
    </row>
    <row r="745">
      <c r="A745" t="inlineStr">
        <is>
          <t>F-2025-00744</t>
        </is>
      </c>
      <c r="B745" s="12" t="n">
        <v>46104</v>
      </c>
      <c r="C745" t="inlineStr">
        <is>
          <t>SC VECTOR CONSULT SRL</t>
        </is>
      </c>
      <c r="D745" t="inlineStr">
        <is>
          <t>Timiș</t>
        </is>
      </c>
      <c r="E745" t="inlineStr">
        <is>
          <t>PRD-002</t>
        </is>
      </c>
      <c r="F745" t="inlineStr">
        <is>
          <t>Videoproiector sala</t>
        </is>
      </c>
      <c r="G745" t="inlineStr">
        <is>
          <t>Echipamente birou</t>
        </is>
      </c>
      <c r="H745" t="n">
        <v>2</v>
      </c>
      <c r="I745" t="n">
        <v>1147.62</v>
      </c>
      <c r="J745" t="n">
        <v>2295.24</v>
      </c>
      <c r="K745" s="13" t="n">
        <v>0.19</v>
      </c>
      <c r="L745" t="n">
        <v>436.1</v>
      </c>
      <c r="M745" t="n">
        <v>2731.34</v>
      </c>
      <c r="N745" t="inlineStr">
        <is>
          <t>RON</t>
        </is>
      </c>
      <c r="O745" t="inlineStr">
        <is>
          <t>Timișoara</t>
        </is>
      </c>
      <c r="P745" s="12" t="n">
        <v>46134</v>
      </c>
      <c r="Q745">
        <f>IF(COUNTIF(tbl_Localitati[oras_oficial],[@oras])=0,"ORAS NEALINIAT",IF(XLOOKUP([@oras],tbl_Localitati[oras_oficial],tbl_Localitati[judet],"?")&lt;&gt;[@judet],"JUDET NECORESPUNZATOR",""))</f>
        <v/>
      </c>
      <c r="R745">
        <f>IF(XLOOKUP([@categorie],tbl_RegulriTVA[categorie],tbl_RegulriTVA[cota_legala],-1)&lt;&gt;[@cota_tva],"TVA GRESIT","")</f>
        <v/>
      </c>
      <c r="S745">
        <f>IF([@data_scadentei]&lt;[@data_factura],"SCADENTA INAINTEA FACTURII","")</f>
        <v/>
      </c>
      <c r="T745">
        <f>IF(NETWORKDAYS.INTL([@data_factura],[@data_factura],1,tbl_SarbatoriLegale[data])=0,"ZI NELUCRATOARE","")</f>
        <v/>
      </c>
      <c r="U745">
        <f>IF([@motiv_anomalie]="","OK","DE INVESTIGAT")</f>
        <v/>
      </c>
      <c r="V745">
        <f>TEXTJOIN("; ",TRUE,[@flag_oras],[@flag_tva],[@flag_scadenta],[@flag_zi])</f>
        <v/>
      </c>
    </row>
    <row r="746">
      <c r="A746" t="inlineStr">
        <is>
          <t>F-2025-00745</t>
        </is>
      </c>
      <c r="B746" s="12" t="n">
        <v>46105</v>
      </c>
      <c r="C746" t="inlineStr">
        <is>
          <t>SC UNIFOOD DISTRIBUTION SA</t>
        </is>
      </c>
      <c r="D746" t="inlineStr">
        <is>
          <t>Sibiu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 IT</t>
        </is>
      </c>
      <c r="H746" t="n">
        <v>1</v>
      </c>
      <c r="I746" t="n">
        <v>2502.27</v>
      </c>
      <c r="J746" t="n">
        <v>2502.27</v>
      </c>
      <c r="K746" s="13" t="n">
        <v>0.19</v>
      </c>
      <c r="L746" t="n">
        <v>475.43</v>
      </c>
      <c r="M746" t="n">
        <v>2977.7</v>
      </c>
      <c r="N746" t="inlineStr">
        <is>
          <t>RON</t>
        </is>
      </c>
      <c r="O746" t="inlineStr">
        <is>
          <t>Mediaș</t>
        </is>
      </c>
      <c r="P746" s="12" t="n">
        <v>46135</v>
      </c>
      <c r="Q746">
        <f>IF(COUNTIF(tbl_Localitati[oras_oficial],[@oras])=0,"ORAS NEALINIAT",IF(XLOOKUP([@oras],tbl_Localitati[oras_oficial],tbl_Localitati[judet],"?")&lt;&gt;[@judet],"JUDET NECORESPUNZATOR",""))</f>
        <v/>
      </c>
      <c r="R746">
        <f>IF(XLOOKUP([@categorie],tbl_RegulriTVA[categorie],tbl_RegulriTVA[cota_legala],-1)&lt;&gt;[@cota_tva],"TVA GRESIT","")</f>
        <v/>
      </c>
      <c r="S746">
        <f>IF([@data_scadentei]&lt;[@data_factura],"SCADENTA INAINTEA FACTURII","")</f>
        <v/>
      </c>
      <c r="T746">
        <f>IF(NETWORKDAYS.INTL([@data_factura],[@data_factura],1,tbl_SarbatoriLegale[data])=0,"ZI NELUCRATOARE","")</f>
        <v/>
      </c>
      <c r="U746">
        <f>IF([@motiv_anomalie]="","OK","DE INVESTIGAT")</f>
        <v/>
      </c>
      <c r="V746">
        <f>TEXTJOIN("; ",TRUE,[@flag_oras],[@flag_tva],[@flag_scadenta],[@flag_zi])</f>
        <v/>
      </c>
    </row>
    <row r="747">
      <c r="A747" t="inlineStr">
        <is>
          <t>F-2025-00746</t>
        </is>
      </c>
      <c r="B747" s="12" t="n">
        <v>46304</v>
      </c>
      <c r="C747" t="inlineStr">
        <is>
          <t>SC AROMET TRADING SRL</t>
        </is>
      </c>
      <c r="D747" t="inlineStr">
        <is>
          <t>Alba</t>
        </is>
      </c>
      <c r="E747" t="inlineStr">
        <is>
          <t>PRD-004</t>
        </is>
      </c>
      <c r="F747" t="inlineStr">
        <is>
          <t>Carte tehnica IT</t>
        </is>
      </c>
      <c r="G747" t="inlineStr">
        <is>
          <t>Cărți și manuale</t>
        </is>
      </c>
      <c r="H747" t="n">
        <v>2</v>
      </c>
      <c r="I747" t="n">
        <v>912.29</v>
      </c>
      <c r="J747" t="n">
        <v>1824.58</v>
      </c>
      <c r="K747" s="13" t="n">
        <v>0.05</v>
      </c>
      <c r="L747" t="n">
        <v>91.23</v>
      </c>
      <c r="M747" t="n">
        <v>1915.81</v>
      </c>
      <c r="N747" t="inlineStr">
        <is>
          <t>RON</t>
        </is>
      </c>
      <c r="O747" t="inlineStr">
        <is>
          <t>Alba Iulia</t>
        </is>
      </c>
      <c r="P747" s="12" t="n">
        <v>46334</v>
      </c>
      <c r="Q747">
        <f>IF(COUNTIF(tbl_Localitati[oras_oficial],[@oras])=0,"ORAS NEALINIAT",IF(XLOOKUP([@oras],tbl_Localitati[oras_oficial],tbl_Localitati[judet],"?")&lt;&gt;[@judet],"JUDET NECORESPUNZATOR",""))</f>
        <v/>
      </c>
      <c r="R747">
        <f>IF(XLOOKUP([@categorie],tbl_RegulriTVA[categorie],tbl_RegulriTVA[cota_legala],-1)&lt;&gt;[@cota_tva],"TVA GRESIT","")</f>
        <v/>
      </c>
      <c r="S747">
        <f>IF([@data_scadentei]&lt;[@data_factura],"SCADENTA INAINTEA FACTURII","")</f>
        <v/>
      </c>
      <c r="T747">
        <f>IF(NETWORKDAYS.INTL([@data_factura],[@data_factura],1,tbl_SarbatoriLegale[data])=0,"ZI NELUCRATOARE","")</f>
        <v/>
      </c>
      <c r="U747">
        <f>IF([@motiv_anomalie]="","OK","DE INVESTIGAT")</f>
        <v/>
      </c>
      <c r="V747">
        <f>TEXTJOIN("; ",TRUE,[@flag_oras],[@flag_tva],[@flag_scadenta],[@flag_zi])</f>
        <v/>
      </c>
    </row>
    <row r="748">
      <c r="A748" t="inlineStr">
        <is>
          <t>F-2025-00747</t>
        </is>
      </c>
      <c r="B748" s="12" t="n">
        <v>46251</v>
      </c>
      <c r="C748" t="inlineStr">
        <is>
          <t>SC FARMAVITAL DISTRIBUTIE SA</t>
        </is>
      </c>
      <c r="D748" t="inlineStr">
        <is>
          <t>Bihor</t>
        </is>
      </c>
      <c r="E748" t="inlineStr">
        <is>
          <t>PRD-006</t>
        </is>
      </c>
      <c r="F748" t="inlineStr">
        <is>
          <t>Dezinfectant maini 5L</t>
        </is>
      </c>
      <c r="G748" t="inlineStr">
        <is>
          <t>Produse farmaceutice</t>
        </is>
      </c>
      <c r="H748" t="n">
        <v>1</v>
      </c>
      <c r="I748" t="n">
        <v>745.35</v>
      </c>
      <c r="J748" t="n">
        <v>745.35</v>
      </c>
      <c r="K748" s="13" t="n">
        <v>0.09</v>
      </c>
      <c r="L748" t="n">
        <v>67.08</v>
      </c>
      <c r="M748" t="n">
        <v>812.4299999999999</v>
      </c>
      <c r="N748" t="inlineStr">
        <is>
          <t>RON</t>
        </is>
      </c>
      <c r="O748" t="inlineStr">
        <is>
          <t>Oradea</t>
        </is>
      </c>
      <c r="P748" s="12" t="n">
        <v>46311</v>
      </c>
      <c r="Q748">
        <f>IF(COUNTIF(tbl_Localitati[oras_oficial],[@oras])=0,"ORAS NEALINIAT",IF(XLOOKUP([@oras],tbl_Localitati[oras_oficial],tbl_Localitati[judet],"?")&lt;&gt;[@judet],"JUDET NECORESPUNZATOR",""))</f>
        <v/>
      </c>
      <c r="R748">
        <f>IF(XLOOKUP([@categorie],tbl_RegulriTVA[categorie],tbl_RegulriTVA[cota_legala],-1)&lt;&gt;[@cota_tva],"TVA GRESIT","")</f>
        <v/>
      </c>
      <c r="S748">
        <f>IF([@data_scadentei]&lt;[@data_factura],"SCADENTA INAINTEA FACTURII","")</f>
        <v/>
      </c>
      <c r="T748">
        <f>IF(NETWORKDAYS.INTL([@data_factura],[@data_factura],1,tbl_SarbatoriLegale[data])=0,"ZI NELUCRATOARE","")</f>
        <v/>
      </c>
      <c r="U748">
        <f>IF([@motiv_anomalie]="","OK","DE INVESTIGAT")</f>
        <v/>
      </c>
      <c r="V748">
        <f>TEXTJOIN("; ",TRUE,[@flag_oras],[@flag_tva],[@flag_scadenta],[@flag_zi])</f>
        <v/>
      </c>
    </row>
    <row r="749">
      <c r="A749" t="inlineStr">
        <is>
          <t>F-2025-00748</t>
        </is>
      </c>
      <c r="B749" s="12" t="n">
        <v>46365</v>
      </c>
      <c r="C749" t="inlineStr">
        <is>
          <t>SC ELECTROBUILD SRL</t>
        </is>
      </c>
      <c r="D749" t="inlineStr">
        <is>
          <t>Bacău</t>
        </is>
      </c>
      <c r="E749" t="inlineStr">
        <is>
          <t>PRD-001</t>
        </is>
      </c>
      <c r="F749" t="inlineStr">
        <is>
          <t>Videoproiector sala</t>
        </is>
      </c>
      <c r="G749" t="inlineStr">
        <is>
          <t>Echipamente birou</t>
        </is>
      </c>
      <c r="H749" t="n">
        <v>2</v>
      </c>
      <c r="I749" t="n">
        <v>2499.59</v>
      </c>
      <c r="J749" t="n">
        <v>4999.18</v>
      </c>
      <c r="K749" s="13" t="n">
        <v>0.19</v>
      </c>
      <c r="L749" t="n">
        <v>949.84</v>
      </c>
      <c r="M749" t="n">
        <v>5949.02</v>
      </c>
      <c r="N749" t="inlineStr">
        <is>
          <t>RON</t>
        </is>
      </c>
      <c r="O749" t="inlineStr">
        <is>
          <t>Bacău</t>
        </is>
      </c>
      <c r="P749" s="12" t="n">
        <v>46395</v>
      </c>
      <c r="Q749">
        <f>IF(COUNTIF(tbl_Localitati[oras_oficial],[@oras])=0,"ORAS NEALINIAT",IF(XLOOKUP([@oras],tbl_Localitati[oras_oficial],tbl_Localitati[judet],"?")&lt;&gt;[@judet],"JUDET NECORESPUNZATOR",""))</f>
        <v/>
      </c>
      <c r="R749">
        <f>IF(XLOOKUP([@categorie],tbl_RegulriTVA[categorie],tbl_RegulriTVA[cota_legala],-1)&lt;&gt;[@cota_tva],"TVA GRESIT","")</f>
        <v/>
      </c>
      <c r="S749">
        <f>IF([@data_scadentei]&lt;[@data_factura],"SCADENTA INAINTEA FACTURII","")</f>
        <v/>
      </c>
      <c r="T749">
        <f>IF(NETWORKDAYS.INTL([@data_factura],[@data_factura],1,tbl_SarbatoriLegale[data])=0,"ZI NELUCRATOARE","")</f>
        <v/>
      </c>
      <c r="U749">
        <f>IF([@motiv_anomalie]="","OK","DE INVESTIGAT")</f>
        <v/>
      </c>
      <c r="V749">
        <f>TEXTJOIN("; ",TRUE,[@flag_oras],[@flag_tva],[@flag_scadenta],[@flag_zi])</f>
        <v/>
      </c>
    </row>
    <row r="750">
      <c r="A750" t="inlineStr">
        <is>
          <t>F-2025-00749</t>
        </is>
      </c>
      <c r="B750" s="12" t="n">
        <v>46133</v>
      </c>
      <c r="C750" t="inlineStr">
        <is>
          <t>SC ZENITH AUTO SRL</t>
        </is>
      </c>
      <c r="D750" t="inlineStr">
        <is>
          <t>București</t>
        </is>
      </c>
      <c r="E750" t="inlineStr">
        <is>
          <t>PRD-008</t>
        </is>
      </c>
      <c r="F750" t="inlineStr">
        <is>
          <t>Set carti formare</t>
        </is>
      </c>
      <c r="G750" t="inlineStr">
        <is>
          <t>Cărți și manuale</t>
        </is>
      </c>
      <c r="H750" t="n">
        <v>10</v>
      </c>
      <c r="I750" t="n">
        <v>468.31</v>
      </c>
      <c r="J750" t="n">
        <v>4683.1</v>
      </c>
      <c r="K750" s="13" t="n">
        <v>0.05</v>
      </c>
      <c r="L750" t="n">
        <v>234.16</v>
      </c>
      <c r="M750" t="n">
        <v>4917.26</v>
      </c>
      <c r="N750" t="inlineStr">
        <is>
          <t>RON</t>
        </is>
      </c>
      <c r="O750" t="inlineStr">
        <is>
          <t>București</t>
        </is>
      </c>
      <c r="P750" s="12" t="n">
        <v>46163</v>
      </c>
      <c r="Q750">
        <f>IF(COUNTIF(tbl_Localitati[oras_oficial],[@oras])=0,"ORAS NEALINIAT",IF(XLOOKUP([@oras],tbl_Localitati[oras_oficial],tbl_Localitati[judet],"?")&lt;&gt;[@judet],"JUDET NECORESPUNZATOR",""))</f>
        <v/>
      </c>
      <c r="R750">
        <f>IF(XLOOKUP([@categorie],tbl_RegulriTVA[categorie],tbl_RegulriTVA[cota_legala],-1)&lt;&gt;[@cota_tva],"TVA GRESIT","")</f>
        <v/>
      </c>
      <c r="S750">
        <f>IF([@data_scadentei]&lt;[@data_factura],"SCADENTA INAINTEA FACTURII","")</f>
        <v/>
      </c>
      <c r="T750">
        <f>IF(NETWORKDAYS.INTL([@data_factura],[@data_factura],1,tbl_SarbatoriLegale[data])=0,"ZI NELUCRATOARE","")</f>
        <v/>
      </c>
      <c r="U750">
        <f>IF([@motiv_anomalie]="","OK","DE INVESTIGAT")</f>
        <v/>
      </c>
      <c r="V750">
        <f>TEXTJOIN("; ",TRUE,[@flag_oras],[@flag_tva],[@flag_scadenta],[@flag_zi])</f>
        <v/>
      </c>
    </row>
    <row r="751">
      <c r="A751" t="inlineStr">
        <is>
          <t>F-2025-00750</t>
        </is>
      </c>
      <c r="B751" s="12" t="n">
        <v>46267</v>
      </c>
      <c r="C751" t="inlineStr">
        <is>
          <t>SC DACTECH SOLUTIONS SRL</t>
        </is>
      </c>
      <c r="D751" t="inlineStr">
        <is>
          <t>Argeș</t>
        </is>
      </c>
      <c r="E751" t="inlineStr">
        <is>
          <t>PRD-005</t>
        </is>
      </c>
      <c r="F751" t="inlineStr">
        <is>
          <t>Suport tehnic anual</t>
        </is>
      </c>
      <c r="G751" t="inlineStr">
        <is>
          <t>Servicii consultanță</t>
        </is>
      </c>
      <c r="H751" t="n">
        <v>5</v>
      </c>
      <c r="I751" t="n">
        <v>256.84</v>
      </c>
      <c r="J751" t="n">
        <v>1284.2</v>
      </c>
      <c r="K751" s="13" t="n">
        <v>0.19</v>
      </c>
      <c r="L751" t="n">
        <v>244</v>
      </c>
      <c r="M751" t="n">
        <v>1528.2</v>
      </c>
      <c r="N751" t="inlineStr">
        <is>
          <t>RON</t>
        </is>
      </c>
      <c r="O751" t="inlineStr">
        <is>
          <t>Pitești</t>
        </is>
      </c>
      <c r="P751" s="12" t="n">
        <v>46297</v>
      </c>
      <c r="Q751">
        <f>IF(COUNTIF(tbl_Localitati[oras_oficial],[@oras])=0,"ORAS NEALINIAT",IF(XLOOKUP([@oras],tbl_Localitati[oras_oficial],tbl_Localitati[judet],"?")&lt;&gt;[@judet],"JUDET NECORESPUNZATOR",""))</f>
        <v/>
      </c>
      <c r="R751">
        <f>IF(XLOOKUP([@categorie],tbl_RegulriTVA[categorie],tbl_RegulriTVA[cota_legala],-1)&lt;&gt;[@cota_tva],"TVA GRESIT","")</f>
        <v/>
      </c>
      <c r="S751">
        <f>IF([@data_scadentei]&lt;[@data_factura],"SCADENTA INAINTEA FACTURII","")</f>
        <v/>
      </c>
      <c r="T751">
        <f>IF(NETWORKDAYS.INTL([@data_factura],[@data_factura],1,tbl_SarbatoriLegale[data])=0,"ZI NELUCRATOARE","")</f>
        <v/>
      </c>
      <c r="U751">
        <f>IF([@motiv_anomalie]="","OK","DE INVESTIGAT")</f>
        <v/>
      </c>
      <c r="V751">
        <f>TEXTJOIN("; ",TRUE,[@flag_oras],[@flag_tva],[@flag_scadenta],[@flag_zi])</f>
        <v/>
      </c>
    </row>
    <row r="752">
      <c r="A752" t="inlineStr">
        <is>
          <t>F-2025-00751</t>
        </is>
      </c>
      <c r="B752" s="12" t="n">
        <v>46162</v>
      </c>
      <c r="C752" t="inlineStr">
        <is>
          <t>SC AROMET TRADING SRL</t>
        </is>
      </c>
      <c r="D752" t="inlineStr">
        <is>
          <t>Alba</t>
        </is>
      </c>
      <c r="E752" t="inlineStr">
        <is>
          <t>PRD-001</t>
        </is>
      </c>
      <c r="F752" t="inlineStr">
        <is>
          <t>Abonament suita cloud</t>
        </is>
      </c>
      <c r="G752" t="inlineStr">
        <is>
          <t>Licențe software</t>
        </is>
      </c>
      <c r="H752" t="n">
        <v>2</v>
      </c>
      <c r="I752" t="n">
        <v>2424.79</v>
      </c>
      <c r="J752" t="n">
        <v>4849.58</v>
      </c>
      <c r="K752" s="13" t="n">
        <v>0.19</v>
      </c>
      <c r="L752" t="n">
        <v>921.42</v>
      </c>
      <c r="M752" t="n">
        <v>5771</v>
      </c>
      <c r="N752" t="inlineStr">
        <is>
          <t>RON</t>
        </is>
      </c>
      <c r="O752" t="inlineStr">
        <is>
          <t>Alba Iulia</t>
        </is>
      </c>
      <c r="P752" s="12" t="n">
        <v>46207</v>
      </c>
      <c r="Q752">
        <f>IF(COUNTIF(tbl_Localitati[oras_oficial],[@oras])=0,"ORAS NEALINIAT",IF(XLOOKUP([@oras],tbl_Localitati[oras_oficial],tbl_Localitati[judet],"?")&lt;&gt;[@judet],"JUDET NECORESPUNZATOR",""))</f>
        <v/>
      </c>
      <c r="R752">
        <f>IF(XLOOKUP([@categorie],tbl_RegulriTVA[categorie],tbl_RegulriTVA[cota_legala],-1)&lt;&gt;[@cota_tva],"TVA GRESIT","")</f>
        <v/>
      </c>
      <c r="S752">
        <f>IF([@data_scadentei]&lt;[@data_factura],"SCADENTA INAINTEA FACTURII","")</f>
        <v/>
      </c>
      <c r="T752">
        <f>IF(NETWORKDAYS.INTL([@data_factura],[@data_factura],1,tbl_SarbatoriLegale[data])=0,"ZI NELUCRATOARE","")</f>
        <v/>
      </c>
      <c r="U752">
        <f>IF([@motiv_anomalie]="","OK","DE INVESTIGAT")</f>
        <v/>
      </c>
      <c r="V752">
        <f>TEXTJOIN("; ",TRUE,[@flag_oras],[@flag_tva],[@flag_scadenta],[@flag_zi])</f>
        <v/>
      </c>
    </row>
    <row r="753">
      <c r="A753" t="inlineStr">
        <is>
          <t>F-2025-00752</t>
        </is>
      </c>
      <c r="B753" s="12" t="n">
        <v>46064</v>
      </c>
      <c r="C753" t="inlineStr">
        <is>
          <t>SC AROMET TRADING SRL</t>
        </is>
      </c>
      <c r="D753" t="inlineStr">
        <is>
          <t>Alba</t>
        </is>
      </c>
      <c r="E753" t="inlineStr">
        <is>
          <t>PRD-009</t>
        </is>
      </c>
      <c r="F753" t="inlineStr">
        <is>
          <t>Telefon IP birou</t>
        </is>
      </c>
      <c r="G753" t="inlineStr">
        <is>
          <t>Echipamente birou</t>
        </is>
      </c>
      <c r="H753" t="n">
        <v>20</v>
      </c>
      <c r="I753" t="n">
        <v>29.36</v>
      </c>
      <c r="J753" t="n">
        <v>587.2</v>
      </c>
      <c r="K753" s="13" t="n">
        <v>0.19</v>
      </c>
      <c r="L753" t="n">
        <v>111.57</v>
      </c>
      <c r="M753" t="n">
        <v>698.77</v>
      </c>
      <c r="N753" t="inlineStr">
        <is>
          <t>RON</t>
        </is>
      </c>
      <c r="O753" t="inlineStr">
        <is>
          <t>Alba Iulia</t>
        </is>
      </c>
      <c r="P753" s="12" t="n">
        <v>46124</v>
      </c>
      <c r="Q753">
        <f>IF(COUNTIF(tbl_Localitati[oras_oficial],[@oras])=0,"ORAS NEALINIAT",IF(XLOOKUP([@oras],tbl_Localitati[oras_oficial],tbl_Localitati[judet],"?")&lt;&gt;[@judet],"JUDET NECORESPUNZATOR",""))</f>
        <v/>
      </c>
      <c r="R753">
        <f>IF(XLOOKUP([@categorie],tbl_RegulriTVA[categorie],tbl_RegulriTVA[cota_legala],-1)&lt;&gt;[@cota_tva],"TVA GRESIT","")</f>
        <v/>
      </c>
      <c r="S753">
        <f>IF([@data_scadentei]&lt;[@data_factura],"SCADENTA INAINTEA FACTURII","")</f>
        <v/>
      </c>
      <c r="T753">
        <f>IF(NETWORKDAYS.INTL([@data_factura],[@data_factura],1,tbl_SarbatoriLegale[data])=0,"ZI NELUCRATOARE","")</f>
        <v/>
      </c>
      <c r="U753">
        <f>IF([@motiv_anomalie]="","OK","DE INVESTIGAT")</f>
        <v/>
      </c>
      <c r="V753">
        <f>TEXTJOIN("; ",TRUE,[@flag_oras],[@flag_tva],[@flag_scadenta],[@flag_zi])</f>
        <v/>
      </c>
    </row>
    <row r="754">
      <c r="A754" t="inlineStr">
        <is>
          <t>F-2025-00753</t>
        </is>
      </c>
      <c r="B754" s="12" t="n">
        <v>46335</v>
      </c>
      <c r="C754" t="inlineStr">
        <is>
          <t>SC AROMET TRADING SRL</t>
        </is>
      </c>
      <c r="D754" t="inlineStr">
        <is>
          <t>Alba</t>
        </is>
      </c>
      <c r="E754" t="inlineStr">
        <is>
          <t>PRD-001</t>
        </is>
      </c>
      <c r="F754" t="inlineStr">
        <is>
          <t>Carte tehnica IT</t>
        </is>
      </c>
      <c r="G754" t="inlineStr">
        <is>
          <t>Cărți și manuale</t>
        </is>
      </c>
      <c r="H754" t="n">
        <v>5</v>
      </c>
      <c r="I754" t="n">
        <v>2437.59</v>
      </c>
      <c r="J754" t="n">
        <v>12187.95</v>
      </c>
      <c r="K754" s="13" t="n">
        <v>0.05</v>
      </c>
      <c r="L754" t="n">
        <v>609.4</v>
      </c>
      <c r="M754" t="n">
        <v>12797.35</v>
      </c>
      <c r="N754" t="inlineStr">
        <is>
          <t>EUR</t>
        </is>
      </c>
      <c r="O754" t="inlineStr">
        <is>
          <t>Alba Iulia</t>
        </is>
      </c>
      <c r="P754" s="12" t="n">
        <v>46365</v>
      </c>
      <c r="Q754">
        <f>IF(COUNTIF(tbl_Localitati[oras_oficial],[@oras])=0,"ORAS NEALINIAT",IF(XLOOKUP([@oras],tbl_Localitati[oras_oficial],tbl_Localitati[judet],"?")&lt;&gt;[@judet],"JUDET NECORESPUNZATOR",""))</f>
        <v/>
      </c>
      <c r="R754">
        <f>IF(XLOOKUP([@categorie],tbl_RegulriTVA[categorie],tbl_RegulriTVA[cota_legala],-1)&lt;&gt;[@cota_tva],"TVA GRESIT","")</f>
        <v/>
      </c>
      <c r="S754">
        <f>IF([@data_scadentei]&lt;[@data_factura],"SCADENTA INAINTEA FACTURII","")</f>
        <v/>
      </c>
      <c r="T754">
        <f>IF(NETWORKDAYS.INTL([@data_factura],[@data_factura],1,tbl_SarbatoriLegale[data])=0,"ZI NELUCRATOARE","")</f>
        <v/>
      </c>
      <c r="U754">
        <f>IF([@motiv_anomalie]="","OK","DE INVESTIGAT")</f>
        <v/>
      </c>
      <c r="V754">
        <f>TEXTJOIN("; ",TRUE,[@flag_oras],[@flag_tva],[@flag_scadenta],[@flag_zi])</f>
        <v/>
      </c>
    </row>
    <row r="755">
      <c r="A755" t="inlineStr">
        <is>
          <t>F-2025-00754</t>
        </is>
      </c>
      <c r="B755" s="12" t="n">
        <v>46146</v>
      </c>
      <c r="C755" t="inlineStr">
        <is>
          <t>SC DACTECH SOLUTIONS SRL</t>
        </is>
      </c>
      <c r="D755" t="inlineStr">
        <is>
          <t>Argeș</t>
        </is>
      </c>
      <c r="E755" t="inlineStr">
        <is>
          <t>PRD-009</t>
        </is>
      </c>
      <c r="F755" t="inlineStr">
        <is>
          <t>Licenta Office 365 anuala</t>
        </is>
      </c>
      <c r="G755" t="inlineStr">
        <is>
          <t>Licențe software</t>
        </is>
      </c>
      <c r="H755" t="n">
        <v>5</v>
      </c>
      <c r="I755" t="n">
        <v>26.79</v>
      </c>
      <c r="J755" t="n">
        <v>133.95</v>
      </c>
      <c r="K755" s="13" t="n">
        <v>0.19</v>
      </c>
      <c r="L755" t="n">
        <v>25.45</v>
      </c>
      <c r="M755" t="n">
        <v>159.4</v>
      </c>
      <c r="N755" t="inlineStr">
        <is>
          <t>RON</t>
        </is>
      </c>
      <c r="O755" t="inlineStr">
        <is>
          <t>Pitești</t>
        </is>
      </c>
      <c r="P755" s="12" t="n">
        <v>46176</v>
      </c>
      <c r="Q755">
        <f>IF(COUNTIF(tbl_Localitati[oras_oficial],[@oras])=0,"ORAS NEALINIAT",IF(XLOOKUP([@oras],tbl_Localitati[oras_oficial],tbl_Localitati[judet],"?")&lt;&gt;[@judet],"JUDET NECORESPUNZATOR",""))</f>
        <v/>
      </c>
      <c r="R755">
        <f>IF(XLOOKUP([@categorie],tbl_RegulriTVA[categorie],tbl_RegulriTVA[cota_legala],-1)&lt;&gt;[@cota_tva],"TVA GRESIT","")</f>
        <v/>
      </c>
      <c r="S755">
        <f>IF([@data_scadentei]&lt;[@data_factura],"SCADENTA INAINTEA FACTURII","")</f>
        <v/>
      </c>
      <c r="T755">
        <f>IF(NETWORKDAYS.INTL([@data_factura],[@data_factura],1,tbl_SarbatoriLegale[data])=0,"ZI NELUCRATOARE","")</f>
        <v/>
      </c>
      <c r="U755">
        <f>IF([@motiv_anomalie]="","OK","DE INVESTIGAT")</f>
        <v/>
      </c>
      <c r="V755">
        <f>TEXTJOIN("; ",TRUE,[@flag_oras],[@flag_tva],[@flag_scadenta],[@flag_zi])</f>
        <v/>
      </c>
    </row>
    <row r="756">
      <c r="A756" t="inlineStr">
        <is>
          <t>F-2025-00755</t>
        </is>
      </c>
      <c r="B756" s="12" t="n">
        <v>46344</v>
      </c>
      <c r="C756" t="inlineStr">
        <is>
          <t>SC OMEGA SOFT SRL</t>
        </is>
      </c>
      <c r="D756" t="inlineStr">
        <is>
          <t>Dolj</t>
        </is>
      </c>
      <c r="E756" t="inlineStr">
        <is>
          <t>PRD-011</t>
        </is>
      </c>
      <c r="F756" t="inlineStr">
        <is>
          <t>Audit infrastructura</t>
        </is>
      </c>
      <c r="G756" t="inlineStr">
        <is>
          <t>Servicii consultanță</t>
        </is>
      </c>
      <c r="H756" t="n">
        <v>5</v>
      </c>
      <c r="I756" t="n">
        <v>45.16</v>
      </c>
      <c r="J756" t="n">
        <v>225.8</v>
      </c>
      <c r="K756" s="13" t="n">
        <v>0.19</v>
      </c>
      <c r="L756" t="n">
        <v>42.9</v>
      </c>
      <c r="M756" t="n">
        <v>268.7</v>
      </c>
      <c r="N756" t="inlineStr">
        <is>
          <t>RON</t>
        </is>
      </c>
      <c r="O756" t="inlineStr">
        <is>
          <t>Craiova</t>
        </is>
      </c>
      <c r="P756" s="12" t="n">
        <v>46374</v>
      </c>
      <c r="Q756">
        <f>IF(COUNTIF(tbl_Localitati[oras_oficial],[@oras])=0,"ORAS NEALINIAT",IF(XLOOKUP([@oras],tbl_Localitati[oras_oficial],tbl_Localitati[judet],"?")&lt;&gt;[@judet],"JUDET NECORESPUNZATOR",""))</f>
        <v/>
      </c>
      <c r="R756">
        <f>IF(XLOOKUP([@categorie],tbl_RegulriTVA[categorie],tbl_RegulriTVA[cota_legala],-1)&lt;&gt;[@cota_tva],"TVA GRESIT","")</f>
        <v/>
      </c>
      <c r="S756">
        <f>IF([@data_scadentei]&lt;[@data_factura],"SCADENTA INAINTEA FACTURII","")</f>
        <v/>
      </c>
      <c r="T756">
        <f>IF(NETWORKDAYS.INTL([@data_factura],[@data_factura],1,tbl_SarbatoriLegale[data])=0,"ZI NELUCRATOARE","")</f>
        <v/>
      </c>
      <c r="U756">
        <f>IF([@motiv_anomalie]="","OK","DE INVESTIGAT")</f>
        <v/>
      </c>
      <c r="V756">
        <f>TEXTJOIN("; ",TRUE,[@flag_oras],[@flag_tva],[@flag_scadenta],[@flag_zi])</f>
        <v/>
      </c>
    </row>
    <row r="757">
      <c r="A757" t="inlineStr">
        <is>
          <t>F-2025-00756</t>
        </is>
      </c>
      <c r="B757" s="12" t="n">
        <v>46047</v>
      </c>
      <c r="C757" t="inlineStr">
        <is>
          <t>SC INTEGROMED SA</t>
        </is>
      </c>
      <c r="D757" t="inlineStr">
        <is>
          <t>Cluj</t>
        </is>
      </c>
      <c r="E757" t="inlineStr">
        <is>
          <t>PRD-004</t>
        </is>
      </c>
      <c r="F757" t="inlineStr">
        <is>
          <t>Switch gigabit 24p</t>
        </is>
      </c>
      <c r="G757" t="inlineStr">
        <is>
          <t>Hardware IT</t>
        </is>
      </c>
      <c r="H757" t="n">
        <v>3</v>
      </c>
      <c r="I757" t="n">
        <v>891.5</v>
      </c>
      <c r="J757" t="n">
        <v>2674.5</v>
      </c>
      <c r="K757" s="13" t="n">
        <v>0.19</v>
      </c>
      <c r="L757" t="n">
        <v>508.16</v>
      </c>
      <c r="M757" t="n">
        <v>3182.66</v>
      </c>
      <c r="N757" t="inlineStr">
        <is>
          <t>RON</t>
        </is>
      </c>
      <c r="O757" t="inlineStr">
        <is>
          <t>Cluj-Napoca</t>
        </is>
      </c>
      <c r="P757" s="12" t="n">
        <v>46077</v>
      </c>
      <c r="Q757">
        <f>IF(COUNTIF(tbl_Localitati[oras_oficial],[@oras])=0,"ORAS NEALINIAT",IF(XLOOKUP([@oras],tbl_Localitati[oras_oficial],tbl_Localitati[judet],"?")&lt;&gt;[@judet],"JUDET NECORESPUNZATOR",""))</f>
        <v/>
      </c>
      <c r="R757">
        <f>IF(XLOOKUP([@categorie],tbl_RegulriTVA[categorie],tbl_RegulriTVA[cota_legala],-1)&lt;&gt;[@cota_tva],"TVA GRESIT","")</f>
        <v/>
      </c>
      <c r="S757">
        <f>IF([@data_scadentei]&lt;[@data_factura],"SCADENTA INAINTEA FACTURII","")</f>
        <v/>
      </c>
      <c r="T757">
        <f>IF(NETWORKDAYS.INTL([@data_factura],[@data_factura],1,tbl_SarbatoriLegale[data])=0,"ZI NELUCRATOARE","")</f>
        <v/>
      </c>
      <c r="U757">
        <f>IF([@motiv_anomalie]="","OK","DE INVESTIGAT")</f>
        <v/>
      </c>
      <c r="V757">
        <f>TEXTJOIN("; ",TRUE,[@flag_oras],[@flag_tva],[@flag_scadenta],[@flag_zi])</f>
        <v/>
      </c>
    </row>
    <row r="758">
      <c r="A758" t="inlineStr">
        <is>
          <t>F-2025-00757</t>
        </is>
      </c>
      <c r="B758" s="12" t="n">
        <v>46293</v>
      </c>
      <c r="C758" t="inlineStr">
        <is>
          <t>SC RAPID LOGISTIC SA</t>
        </is>
      </c>
      <c r="D758" t="inlineStr">
        <is>
          <t>Prahova</t>
        </is>
      </c>
      <c r="E758" t="inlineStr">
        <is>
          <t>PRD-006</t>
        </is>
      </c>
      <c r="F758" t="inlineStr">
        <is>
          <t>Suport tehnic anual</t>
        </is>
      </c>
      <c r="G758" t="inlineStr">
        <is>
          <t>Servicii consultanță</t>
        </is>
      </c>
      <c r="H758" t="n">
        <v>1</v>
      </c>
      <c r="I758" t="n">
        <v>780.54</v>
      </c>
      <c r="J758" t="n">
        <v>780.54</v>
      </c>
      <c r="K758" s="13" t="n">
        <v>0.19</v>
      </c>
      <c r="L758" t="n">
        <v>148.3</v>
      </c>
      <c r="M758" t="n">
        <v>928.84</v>
      </c>
      <c r="N758" t="inlineStr">
        <is>
          <t>RON</t>
        </is>
      </c>
      <c r="O758" t="inlineStr">
        <is>
          <t>Ploiești</t>
        </is>
      </c>
      <c r="P758" s="12" t="n">
        <v>46323</v>
      </c>
      <c r="Q758">
        <f>IF(COUNTIF(tbl_Localitati[oras_oficial],[@oras])=0,"ORAS NEALINIAT",IF(XLOOKUP([@oras],tbl_Localitati[oras_oficial],tbl_Localitati[judet],"?")&lt;&gt;[@judet],"JUDET NECORESPUNZATOR",""))</f>
        <v/>
      </c>
      <c r="R758">
        <f>IF(XLOOKUP([@categorie],tbl_RegulriTVA[categorie],tbl_RegulriTVA[cota_legala],-1)&lt;&gt;[@cota_tva],"TVA GRESIT","")</f>
        <v/>
      </c>
      <c r="S758">
        <f>IF([@data_scadentei]&lt;[@data_factura],"SCADENTA INAINTEA FACTURII","")</f>
        <v/>
      </c>
      <c r="T758">
        <f>IF(NETWORKDAYS.INTL([@data_factura],[@data_factura],1,tbl_SarbatoriLegale[data])=0,"ZI NELUCRATOARE","")</f>
        <v/>
      </c>
      <c r="U758">
        <f>IF([@motiv_anomalie]="","OK","DE INVESTIGAT")</f>
        <v/>
      </c>
      <c r="V758">
        <f>TEXTJOIN("; ",TRUE,[@flag_oras],[@flag_tva],[@flag_scadenta],[@flag_zi])</f>
        <v/>
      </c>
    </row>
    <row r="759">
      <c r="A759" t="inlineStr">
        <is>
          <t>F-2025-00758</t>
        </is>
      </c>
      <c r="B759" s="12" t="n">
        <v>46099</v>
      </c>
      <c r="C759" t="inlineStr">
        <is>
          <t>SC VECTOR CONSULT SRL</t>
        </is>
      </c>
      <c r="D759" t="inlineStr">
        <is>
          <t>Timiș</t>
        </is>
      </c>
      <c r="E759" t="inlineStr">
        <is>
          <t>PRD-002</t>
        </is>
      </c>
      <c r="F759" t="inlineStr">
        <is>
          <t>Statie de lucru desktop</t>
        </is>
      </c>
      <c r="G759" t="inlineStr">
        <is>
          <t>Hardware IT</t>
        </is>
      </c>
      <c r="H759" t="n">
        <v>5</v>
      </c>
      <c r="I759" t="n">
        <v>1095.05</v>
      </c>
      <c r="J759" t="n">
        <v>5475.25</v>
      </c>
      <c r="K759" s="13" t="n">
        <v>0.19</v>
      </c>
      <c r="L759" t="n">
        <v>1040.3</v>
      </c>
      <c r="M759" t="n">
        <v>6515.55</v>
      </c>
      <c r="N759" t="inlineStr">
        <is>
          <t>RON</t>
        </is>
      </c>
      <c r="O759" t="inlineStr">
        <is>
          <t>Timișoara</t>
        </is>
      </c>
      <c r="P759" s="12" t="n">
        <v>46129</v>
      </c>
      <c r="Q759">
        <f>IF(COUNTIF(tbl_Localitati[oras_oficial],[@oras])=0,"ORAS NEALINIAT",IF(XLOOKUP([@oras],tbl_Localitati[oras_oficial],tbl_Localitati[judet],"?")&lt;&gt;[@judet],"JUDET NECORESPUNZATOR",""))</f>
        <v/>
      </c>
      <c r="R759">
        <f>IF(XLOOKUP([@categorie],tbl_RegulriTVA[categorie],tbl_RegulriTVA[cota_legala],-1)&lt;&gt;[@cota_tva],"TVA GRESIT","")</f>
        <v/>
      </c>
      <c r="S759">
        <f>IF([@data_scadentei]&lt;[@data_factura],"SCADENTA INAINTEA FACTURII","")</f>
        <v/>
      </c>
      <c r="T759">
        <f>IF(NETWORKDAYS.INTL([@data_factura],[@data_factura],1,tbl_SarbatoriLegale[data])=0,"ZI NELUCRATOARE","")</f>
        <v/>
      </c>
      <c r="U759">
        <f>IF([@motiv_anomalie]="","OK","DE INVESTIGAT")</f>
        <v/>
      </c>
      <c r="V759">
        <f>TEXTJOIN("; ",TRUE,[@flag_oras],[@flag_tva],[@flag_scadenta],[@flag_zi])</f>
        <v/>
      </c>
    </row>
    <row r="760">
      <c r="A760" t="inlineStr">
        <is>
          <t>F-2025-00759</t>
        </is>
      </c>
      <c r="B760" s="12" t="n">
        <v>46238</v>
      </c>
      <c r="C760" t="inlineStr">
        <is>
          <t>SC AROMET TRADING SRL</t>
        </is>
      </c>
      <c r="D760" t="inlineStr">
        <is>
          <t>Alba</t>
        </is>
      </c>
      <c r="E760" t="inlineStr">
        <is>
          <t>PRD-004</t>
        </is>
      </c>
      <c r="F760" t="inlineStr">
        <is>
          <t>Telefon IP birou</t>
        </is>
      </c>
      <c r="G760" t="inlineStr">
        <is>
          <t>Echipamente birou</t>
        </is>
      </c>
      <c r="H760" t="n">
        <v>2</v>
      </c>
      <c r="I760" t="n">
        <v>902.4</v>
      </c>
      <c r="J760" t="n">
        <v>1804.8</v>
      </c>
      <c r="K760" s="13" t="n">
        <v>0.19</v>
      </c>
      <c r="L760" t="n">
        <v>342.91</v>
      </c>
      <c r="M760" t="n">
        <v>2147.71</v>
      </c>
      <c r="N760" t="inlineStr">
        <is>
          <t>RON</t>
        </is>
      </c>
      <c r="O760" t="inlineStr">
        <is>
          <t>Alba Iulia</t>
        </is>
      </c>
      <c r="P760" s="12" t="n">
        <v>46268</v>
      </c>
      <c r="Q760">
        <f>IF(COUNTIF(tbl_Localitati[oras_oficial],[@oras])=0,"ORAS NEALINIAT",IF(XLOOKUP([@oras],tbl_Localitati[oras_oficial],tbl_Localitati[judet],"?")&lt;&gt;[@judet],"JUDET NECORESPUNZATOR",""))</f>
        <v/>
      </c>
      <c r="R760">
        <f>IF(XLOOKUP([@categorie],tbl_RegulriTVA[categorie],tbl_RegulriTVA[cota_legala],-1)&lt;&gt;[@cota_tva],"TVA GRESIT","")</f>
        <v/>
      </c>
      <c r="S760">
        <f>IF([@data_scadentei]&lt;[@data_factura],"SCADENTA INAINTEA FACTURII","")</f>
        <v/>
      </c>
      <c r="T760">
        <f>IF(NETWORKDAYS.INTL([@data_factura],[@data_factura],1,tbl_SarbatoriLegale[data])=0,"ZI NELUCRATOARE","")</f>
        <v/>
      </c>
      <c r="U760">
        <f>IF([@motiv_anomalie]="","OK","DE INVESTIGAT")</f>
        <v/>
      </c>
      <c r="V760">
        <f>TEXTJOIN("; ",TRUE,[@flag_oras],[@flag_tva],[@flag_scadenta],[@flag_zi])</f>
        <v/>
      </c>
    </row>
    <row r="761">
      <c r="A761" t="inlineStr">
        <is>
          <t>F-2025-00760</t>
        </is>
      </c>
      <c r="B761" s="12" t="n">
        <v>46268</v>
      </c>
      <c r="C761" t="inlineStr">
        <is>
          <t>SC AROMET TRADING SRL</t>
        </is>
      </c>
      <c r="D761" t="inlineStr">
        <is>
          <t>Alba</t>
        </is>
      </c>
      <c r="E761" t="inlineStr">
        <is>
          <t>PRD-006</t>
        </is>
      </c>
      <c r="F761" t="inlineStr">
        <is>
          <t>Suport tehnic anual</t>
        </is>
      </c>
      <c r="G761" t="inlineStr">
        <is>
          <t>Servicii consultanță</t>
        </is>
      </c>
      <c r="H761" t="n">
        <v>5</v>
      </c>
      <c r="I761" t="n">
        <v>742.62</v>
      </c>
      <c r="J761" t="n">
        <v>3713.1</v>
      </c>
      <c r="K761" s="13" t="n">
        <v>0.19</v>
      </c>
      <c r="L761" t="n">
        <v>705.49</v>
      </c>
      <c r="M761" t="n">
        <v>4418.59</v>
      </c>
      <c r="N761" t="inlineStr">
        <is>
          <t>RON</t>
        </is>
      </c>
      <c r="O761" t="inlineStr">
        <is>
          <t>Alba Iulia</t>
        </is>
      </c>
      <c r="P761" s="12" t="n">
        <v>46328</v>
      </c>
      <c r="Q761">
        <f>IF(COUNTIF(tbl_Localitati[oras_oficial],[@oras])=0,"ORAS NEALINIAT",IF(XLOOKUP([@oras],tbl_Localitati[oras_oficial],tbl_Localitati[judet],"?")&lt;&gt;[@judet],"JUDET NECORESPUNZATOR",""))</f>
        <v/>
      </c>
      <c r="R761">
        <f>IF(XLOOKUP([@categorie],tbl_RegulriTVA[categorie],tbl_RegulriTVA[cota_legala],-1)&lt;&gt;[@cota_tva],"TVA GRESIT","")</f>
        <v/>
      </c>
      <c r="S761">
        <f>IF([@data_scadentei]&lt;[@data_factura],"SCADENTA INAINTEA FACTURII","")</f>
        <v/>
      </c>
      <c r="T761">
        <f>IF(NETWORKDAYS.INTL([@data_factura],[@data_factura],1,tbl_SarbatoriLegale[data])=0,"ZI NELUCRATOARE","")</f>
        <v/>
      </c>
      <c r="U761">
        <f>IF([@motiv_anomalie]="","OK","DE INVESTIGAT")</f>
        <v/>
      </c>
      <c r="V761">
        <f>TEXTJOIN("; ",TRUE,[@flag_oras],[@flag_tva],[@flag_scadenta],[@flag_zi])</f>
        <v/>
      </c>
    </row>
    <row r="762">
      <c r="A762" t="inlineStr">
        <is>
          <t>F-2025-00761</t>
        </is>
      </c>
      <c r="B762" s="12" t="n">
        <v>46308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Abonament suita cloud</t>
        </is>
      </c>
      <c r="G762" t="inlineStr">
        <is>
          <t>Licențe software</t>
        </is>
      </c>
      <c r="H762" t="n">
        <v>1</v>
      </c>
      <c r="I762" t="n">
        <v>725.9299999999999</v>
      </c>
      <c r="J762" t="n">
        <v>725.9299999999999</v>
      </c>
      <c r="K762" s="13" t="n">
        <v>0.19</v>
      </c>
      <c r="L762" t="n">
        <v>137.93</v>
      </c>
      <c r="M762" t="n">
        <v>863.86</v>
      </c>
      <c r="N762" t="inlineStr">
        <is>
          <t>RON</t>
        </is>
      </c>
      <c r="O762" t="inlineStr">
        <is>
          <t>Sibiu</t>
        </is>
      </c>
      <c r="P762" s="12" t="n">
        <v>46338</v>
      </c>
      <c r="Q762">
        <f>IF(COUNTIF(tbl_Localitati[oras_oficial],[@oras])=0,"ORAS NEALINIAT",IF(XLOOKUP([@oras],tbl_Localitati[oras_oficial],tbl_Localitati[judet],"?")&lt;&gt;[@judet],"JUDET NECORESPUNZATOR",""))</f>
        <v/>
      </c>
      <c r="R762">
        <f>IF(XLOOKUP([@categorie],tbl_RegulriTVA[categorie],tbl_RegulriTVA[cota_legala],-1)&lt;&gt;[@cota_tva],"TVA GRESIT","")</f>
        <v/>
      </c>
      <c r="S762">
        <f>IF([@data_scadentei]&lt;[@data_factura],"SCADENTA INAINTEA FACTURII","")</f>
        <v/>
      </c>
      <c r="T762">
        <f>IF(NETWORKDAYS.INTL([@data_factura],[@data_factura],1,tbl_SarbatoriLegale[data])=0,"ZI NELUCRATOARE","")</f>
        <v/>
      </c>
      <c r="U762">
        <f>IF([@motiv_anomalie]="","OK","DE INVESTIGAT")</f>
        <v/>
      </c>
      <c r="V762">
        <f>TEXTJOIN("; ",TRUE,[@flag_oras],[@flag_tva],[@flag_scadenta],[@flag_zi])</f>
        <v/>
      </c>
    </row>
    <row r="763">
      <c r="A763" t="inlineStr">
        <is>
          <t>F-2025-00762</t>
        </is>
      </c>
      <c r="B763" s="12" t="n">
        <v>46090</v>
      </c>
      <c r="C763" t="inlineStr">
        <is>
          <t>SC AROMET TRADING SRL</t>
        </is>
      </c>
      <c r="D763" t="inlineStr">
        <is>
          <t>Alba</t>
        </is>
      </c>
      <c r="E763" t="inlineStr">
        <is>
          <t>PRD-005</t>
        </is>
      </c>
      <c r="F763" t="inlineStr">
        <is>
          <t>Videoproiector sala</t>
        </is>
      </c>
      <c r="G763" t="inlineStr">
        <is>
          <t>Echipamente birou</t>
        </is>
      </c>
      <c r="H763" t="n">
        <v>5</v>
      </c>
      <c r="I763" t="n">
        <v>252.1</v>
      </c>
      <c r="J763" t="n">
        <v>1260.5</v>
      </c>
      <c r="K763" s="13" t="n">
        <v>0.19</v>
      </c>
      <c r="L763" t="n">
        <v>239.5</v>
      </c>
      <c r="M763" t="n">
        <v>1500</v>
      </c>
      <c r="N763" t="inlineStr">
        <is>
          <t>RON</t>
        </is>
      </c>
      <c r="O763" t="inlineStr">
        <is>
          <t>Alba Iulia</t>
        </is>
      </c>
      <c r="P763" s="12" t="n">
        <v>46150</v>
      </c>
      <c r="Q763">
        <f>IF(COUNTIF(tbl_Localitati[oras_oficial],[@oras])=0,"ORAS NEALINIAT",IF(XLOOKUP([@oras],tbl_Localitati[oras_oficial],tbl_Localitati[judet],"?")&lt;&gt;[@judet],"JUDET NECORESPUNZATOR",""))</f>
        <v/>
      </c>
      <c r="R763">
        <f>IF(XLOOKUP([@categorie],tbl_RegulriTVA[categorie],tbl_RegulriTVA[cota_legala],-1)&lt;&gt;[@cota_tva],"TVA GRESIT","")</f>
        <v/>
      </c>
      <c r="S763">
        <f>IF([@data_scadentei]&lt;[@data_factura],"SCADENTA INAINTEA FACTURII","")</f>
        <v/>
      </c>
      <c r="T763">
        <f>IF(NETWORKDAYS.INTL([@data_factura],[@data_factura],1,tbl_SarbatoriLegale[data])=0,"ZI NELUCRATOARE","")</f>
        <v/>
      </c>
      <c r="U763">
        <f>IF([@motiv_anomalie]="","OK","DE INVESTIGAT")</f>
        <v/>
      </c>
      <c r="V763">
        <f>TEXTJOIN("; ",TRUE,[@flag_oras],[@flag_tva],[@flag_scadenta],[@flag_zi])</f>
        <v/>
      </c>
    </row>
    <row r="764">
      <c r="A764" t="inlineStr">
        <is>
          <t>F-2025-00763</t>
        </is>
      </c>
      <c r="B764" s="12" t="n">
        <v>46078</v>
      </c>
      <c r="C764" t="inlineStr">
        <is>
          <t>SC NORDIS DISTRIBUTIE SRL</t>
        </is>
      </c>
      <c r="D764" t="inlineStr">
        <is>
          <t>Constanța</t>
        </is>
      </c>
      <c r="E764" t="inlineStr">
        <is>
          <t>PRD-002</t>
        </is>
      </c>
      <c r="F764" t="inlineStr">
        <is>
          <t>Switch gigabit 24p</t>
        </is>
      </c>
      <c r="G764" t="inlineStr">
        <is>
          <t>Hardware IT</t>
        </is>
      </c>
      <c r="H764" t="n">
        <v>2</v>
      </c>
      <c r="I764" t="n">
        <v>1110.2</v>
      </c>
      <c r="J764" t="n">
        <v>2220.4</v>
      </c>
      <c r="K764" s="13" t="n">
        <v>0.19</v>
      </c>
      <c r="L764" t="n">
        <v>421.88</v>
      </c>
      <c r="M764" t="n">
        <v>2642.28</v>
      </c>
      <c r="N764" t="inlineStr">
        <is>
          <t>RON</t>
        </is>
      </c>
      <c r="O764" t="inlineStr">
        <is>
          <t>Mangalia</t>
        </is>
      </c>
      <c r="P764" s="12" t="n">
        <v>46138</v>
      </c>
      <c r="Q764">
        <f>IF(COUNTIF(tbl_Localitati[oras_oficial],[@oras])=0,"ORAS NEALINIAT",IF(XLOOKUP([@oras],tbl_Localitati[oras_oficial],tbl_Localitati[judet],"?")&lt;&gt;[@judet],"JUDET NECORESPUNZATOR",""))</f>
        <v/>
      </c>
      <c r="R764">
        <f>IF(XLOOKUP([@categorie],tbl_RegulriTVA[categorie],tbl_RegulriTVA[cota_legala],-1)&lt;&gt;[@cota_tva],"TVA GRESIT","")</f>
        <v/>
      </c>
      <c r="S764">
        <f>IF([@data_scadentei]&lt;[@data_factura],"SCADENTA INAINTEA FACTURII","")</f>
        <v/>
      </c>
      <c r="T764">
        <f>IF(NETWORKDAYS.INTL([@data_factura],[@data_factura],1,tbl_SarbatoriLegale[data])=0,"ZI NELUCRATOARE","")</f>
        <v/>
      </c>
      <c r="U764">
        <f>IF([@motiv_anomalie]="","OK","DE INVESTIGAT")</f>
        <v/>
      </c>
      <c r="V764">
        <f>TEXTJOIN("; ",TRUE,[@flag_oras],[@flag_tva],[@flag_scadenta],[@flag_zi])</f>
        <v/>
      </c>
    </row>
    <row r="765">
      <c r="A765" t="inlineStr">
        <is>
          <t>F-2025-00764</t>
        </is>
      </c>
      <c r="B765" s="12" t="n">
        <v>46094</v>
      </c>
      <c r="C765" t="inlineStr">
        <is>
          <t>SC PROVITA MEDICAL SRL</t>
        </is>
      </c>
      <c r="D765" t="inlineStr">
        <is>
          <t>Mureș</t>
        </is>
      </c>
      <c r="E765" t="inlineStr">
        <is>
          <t>PRD-006</t>
        </is>
      </c>
      <c r="F765" t="inlineStr">
        <is>
          <t>Multifunctionala laser</t>
        </is>
      </c>
      <c r="G765" t="inlineStr">
        <is>
          <t>Echipamente birou</t>
        </is>
      </c>
      <c r="H765" t="n">
        <v>10</v>
      </c>
      <c r="I765" t="n">
        <v>758.48</v>
      </c>
      <c r="J765" t="n">
        <v>7584.8</v>
      </c>
      <c r="K765" s="13" t="n">
        <v>0.19</v>
      </c>
      <c r="L765" t="n">
        <v>1441.11</v>
      </c>
      <c r="M765" t="n">
        <v>9025.91</v>
      </c>
      <c r="N765" t="inlineStr">
        <is>
          <t>RON</t>
        </is>
      </c>
      <c r="O765" t="inlineStr">
        <is>
          <t>Târgu Mureș</t>
        </is>
      </c>
      <c r="P765" s="12" t="n">
        <v>46139</v>
      </c>
      <c r="Q765">
        <f>IF(COUNTIF(tbl_Localitati[oras_oficial],[@oras])=0,"ORAS NEALINIAT",IF(XLOOKUP([@oras],tbl_Localitati[oras_oficial],tbl_Localitati[judet],"?")&lt;&gt;[@judet],"JUDET NECORESPUNZATOR",""))</f>
        <v/>
      </c>
      <c r="R765">
        <f>IF(XLOOKUP([@categorie],tbl_RegulriTVA[categorie],tbl_RegulriTVA[cota_legala],-1)&lt;&gt;[@cota_tva],"TVA GRESIT","")</f>
        <v/>
      </c>
      <c r="S765">
        <f>IF([@data_scadentei]&lt;[@data_factura],"SCADENTA INAINTEA FACTURII","")</f>
        <v/>
      </c>
      <c r="T765">
        <f>IF(NETWORKDAYS.INTL([@data_factura],[@data_factura],1,tbl_SarbatoriLegale[data])=0,"ZI NELUCRATOARE","")</f>
        <v/>
      </c>
      <c r="U765">
        <f>IF([@motiv_anomalie]="","OK","DE INVESTIGAT")</f>
        <v/>
      </c>
      <c r="V765">
        <f>TEXTJOIN("; ",TRUE,[@flag_oras],[@flag_tva],[@flag_scadenta],[@flag_zi])</f>
        <v/>
      </c>
    </row>
    <row r="766">
      <c r="A766" t="inlineStr">
        <is>
          <t>F-2025-00765</t>
        </is>
      </c>
      <c r="B766" s="12" t="n">
        <v>46041</v>
      </c>
      <c r="C766" t="inlineStr">
        <is>
          <t>SC SOLARIS ENERGY SRL</t>
        </is>
      </c>
      <c r="D766" t="inlineStr">
        <is>
          <t>Prahova</t>
        </is>
      </c>
      <c r="E766" t="inlineStr">
        <is>
          <t>PRD-005</t>
        </is>
      </c>
      <c r="F766" t="inlineStr">
        <is>
          <t>Consultanta implementare IT</t>
        </is>
      </c>
      <c r="G766" t="inlineStr">
        <is>
          <t>Servicii consultanță</t>
        </is>
      </c>
      <c r="H766" t="n">
        <v>5</v>
      </c>
      <c r="I766" t="n">
        <v>262.05</v>
      </c>
      <c r="J766" t="n">
        <v>1310.25</v>
      </c>
      <c r="K766" s="13" t="n">
        <v>0.19</v>
      </c>
      <c r="L766" t="n">
        <v>248.95</v>
      </c>
      <c r="M766" t="n">
        <v>1559.2</v>
      </c>
      <c r="N766" t="inlineStr">
        <is>
          <t>RON</t>
        </is>
      </c>
      <c r="O766" t="inlineStr">
        <is>
          <t>Câmpina</t>
        </is>
      </c>
      <c r="P766" s="12" t="n">
        <v>46056</v>
      </c>
      <c r="Q766">
        <f>IF(COUNTIF(tbl_Localitati[oras_oficial],[@oras])=0,"ORAS NEALINIAT",IF(XLOOKUP([@oras],tbl_Localitati[oras_oficial],tbl_Localitati[judet],"?")&lt;&gt;[@judet],"JUDET NECORESPUNZATOR",""))</f>
        <v/>
      </c>
      <c r="R766">
        <f>IF(XLOOKUP([@categorie],tbl_RegulriTVA[categorie],tbl_RegulriTVA[cota_legala],-1)&lt;&gt;[@cota_tva],"TVA GRESIT","")</f>
        <v/>
      </c>
      <c r="S766">
        <f>IF([@data_scadentei]&lt;[@data_factura],"SCADENTA INAINTEA FACTURII","")</f>
        <v/>
      </c>
      <c r="T766">
        <f>IF(NETWORKDAYS.INTL([@data_factura],[@data_factura],1,tbl_SarbatoriLegale[data])=0,"ZI NELUCRATOARE","")</f>
        <v/>
      </c>
      <c r="U766">
        <f>IF([@motiv_anomalie]="","OK","DE INVESTIGAT")</f>
        <v/>
      </c>
      <c r="V766">
        <f>TEXTJOIN("; ",TRUE,[@flag_oras],[@flag_tva],[@flag_scadenta],[@flag_zi])</f>
        <v/>
      </c>
    </row>
    <row r="767">
      <c r="A767" t="inlineStr">
        <is>
          <t>F-2025-00766</t>
        </is>
      </c>
      <c r="B767" s="12" t="n">
        <v>46030</v>
      </c>
      <c r="C767" t="inlineStr">
        <is>
          <t>SC AROMET TRADING SRL</t>
        </is>
      </c>
      <c r="D767" t="inlineStr">
        <is>
          <t>Alba</t>
        </is>
      </c>
      <c r="E767" t="inlineStr">
        <is>
          <t>PRD-003</t>
        </is>
      </c>
      <c r="F767" t="inlineStr">
        <is>
          <t>Carte tehnica IT</t>
        </is>
      </c>
      <c r="G767" t="inlineStr">
        <is>
          <t>Cărți și manuale</t>
        </is>
      </c>
      <c r="H767" t="n">
        <v>3</v>
      </c>
      <c r="I767" t="n">
        <v>4198.46</v>
      </c>
      <c r="J767" t="n">
        <v>12595.38</v>
      </c>
      <c r="K767" s="13" t="n">
        <v>0.05</v>
      </c>
      <c r="L767" t="n">
        <v>629.77</v>
      </c>
      <c r="M767" t="n">
        <v>13225.15</v>
      </c>
      <c r="N767" t="inlineStr">
        <is>
          <t>RON</t>
        </is>
      </c>
      <c r="O767" t="inlineStr">
        <is>
          <t>Alba Iulia</t>
        </is>
      </c>
      <c r="P767" s="12" t="n">
        <v>46060</v>
      </c>
      <c r="Q767">
        <f>IF(COUNTIF(tbl_Localitati[oras_oficial],[@oras])=0,"ORAS NEALINIAT",IF(XLOOKUP([@oras],tbl_Localitati[oras_oficial],tbl_Localitati[judet],"?")&lt;&gt;[@judet],"JUDET NECORESPUNZATOR",""))</f>
        <v/>
      </c>
      <c r="R767">
        <f>IF(XLOOKUP([@categorie],tbl_RegulriTVA[categorie],tbl_RegulriTVA[cota_legala],-1)&lt;&gt;[@cota_tva],"TVA GRESIT","")</f>
        <v/>
      </c>
      <c r="S767">
        <f>IF([@data_scadentei]&lt;[@data_factura],"SCADENTA INAINTEA FACTURII","")</f>
        <v/>
      </c>
      <c r="T767">
        <f>IF(NETWORKDAYS.INTL([@data_factura],[@data_factura],1,tbl_SarbatoriLegale[data])=0,"ZI NELUCRATOARE","")</f>
        <v/>
      </c>
      <c r="U767">
        <f>IF([@motiv_anomalie]="","OK","DE INVESTIGAT")</f>
        <v/>
      </c>
      <c r="V767">
        <f>TEXTJOIN("; ",TRUE,[@flag_oras],[@flag_tva],[@flag_scadenta],[@flag_zi])</f>
        <v/>
      </c>
    </row>
    <row r="768">
      <c r="A768" t="inlineStr">
        <is>
          <t>F-2025-00767</t>
        </is>
      </c>
      <c r="B768" s="12" t="n">
        <v>46112</v>
      </c>
      <c r="C768" t="inlineStr">
        <is>
          <t>SC INTEGROMED SA</t>
        </is>
      </c>
      <c r="D768" t="inlineStr">
        <is>
          <t>Cluj</t>
        </is>
      </c>
      <c r="E768" t="inlineStr">
        <is>
          <t>PRD-007</t>
        </is>
      </c>
      <c r="F768" t="inlineStr">
        <is>
          <t>Apa plata bax</t>
        </is>
      </c>
      <c r="G768" t="inlineStr">
        <is>
          <t>Alimente</t>
        </is>
      </c>
      <c r="H768" t="n">
        <v>1</v>
      </c>
      <c r="I768" t="n">
        <v>180.48</v>
      </c>
      <c r="J768" t="n">
        <v>180.48</v>
      </c>
      <c r="K768" s="13" t="n">
        <v>0.09</v>
      </c>
      <c r="L768" t="n">
        <v>16.24</v>
      </c>
      <c r="M768" t="n">
        <v>196.72</v>
      </c>
      <c r="N768" t="inlineStr">
        <is>
          <t>RON</t>
        </is>
      </c>
      <c r="O768" t="inlineStr">
        <is>
          <t>Cluj-Napoca</t>
        </is>
      </c>
      <c r="P768" s="12" t="n">
        <v>46097</v>
      </c>
      <c r="Q768">
        <f>IF(COUNTIF(tbl_Localitati[oras_oficial],[@oras])=0,"ORAS NEALINIAT",IF(XLOOKUP([@oras],tbl_Localitati[oras_oficial],tbl_Localitati[judet],"?")&lt;&gt;[@judet],"JUDET NECORESPUNZATOR",""))</f>
        <v/>
      </c>
      <c r="R768">
        <f>IF(XLOOKUP([@categorie],tbl_RegulriTVA[categorie],tbl_RegulriTVA[cota_legala],-1)&lt;&gt;[@cota_tva],"TVA GRESIT","")</f>
        <v/>
      </c>
      <c r="S768">
        <f>IF([@data_scadentei]&lt;[@data_factura],"SCADENTA INAINTEA FACTURII","")</f>
        <v/>
      </c>
      <c r="T768">
        <f>IF(NETWORKDAYS.INTL([@data_factura],[@data_factura],1,tbl_SarbatoriLegale[data])=0,"ZI NELUCRATOARE","")</f>
        <v/>
      </c>
      <c r="U768">
        <f>IF([@motiv_anomalie]="","OK","DE INVESTIGAT")</f>
        <v/>
      </c>
      <c r="V768">
        <f>TEXTJOIN("; ",TRUE,[@flag_oras],[@flag_tva],[@flag_scadenta],[@flag_zi])</f>
        <v/>
      </c>
    </row>
    <row r="769">
      <c r="A769" t="inlineStr">
        <is>
          <t>F-2025-00768</t>
        </is>
      </c>
      <c r="B769" s="12" t="n">
        <v>46106</v>
      </c>
      <c r="C769" t="inlineStr">
        <is>
          <t>SC AROMET TRADING SRL</t>
        </is>
      </c>
      <c r="D769" t="inlineStr">
        <is>
          <t>Alba</t>
        </is>
      </c>
      <c r="E769" t="inlineStr">
        <is>
          <t>PRD-004</t>
        </is>
      </c>
      <c r="F769" t="inlineStr">
        <is>
          <t>Server rack 1U</t>
        </is>
      </c>
      <c r="G769" t="inlineStr">
        <is>
          <t>Hardware IT</t>
        </is>
      </c>
      <c r="H769" t="n">
        <v>10</v>
      </c>
      <c r="I769" t="n">
        <v>902.28</v>
      </c>
      <c r="J769" t="n">
        <v>9022.799999999999</v>
      </c>
      <c r="K769" s="13" t="n">
        <v>0.19</v>
      </c>
      <c r="L769" t="n">
        <v>1714.33</v>
      </c>
      <c r="M769" t="n">
        <v>10737.13</v>
      </c>
      <c r="N769" t="inlineStr">
        <is>
          <t>RON</t>
        </is>
      </c>
      <c r="O769" t="inlineStr">
        <is>
          <t>Alba Iulia</t>
        </is>
      </c>
      <c r="P769" s="12" t="n">
        <v>46151</v>
      </c>
      <c r="Q769">
        <f>IF(COUNTIF(tbl_Localitati[oras_oficial],[@oras])=0,"ORAS NEALINIAT",IF(XLOOKUP([@oras],tbl_Localitati[oras_oficial],tbl_Localitati[judet],"?")&lt;&gt;[@judet],"JUDET NECORESPUNZATOR",""))</f>
        <v/>
      </c>
      <c r="R769">
        <f>IF(XLOOKUP([@categorie],tbl_RegulriTVA[categorie],tbl_RegulriTVA[cota_legala],-1)&lt;&gt;[@cota_tva],"TVA GRESIT","")</f>
        <v/>
      </c>
      <c r="S769">
        <f>IF([@data_scadentei]&lt;[@data_factura],"SCADENTA INAINTEA FACTURII","")</f>
        <v/>
      </c>
      <c r="T769">
        <f>IF(NETWORKDAYS.INTL([@data_factura],[@data_factura],1,tbl_SarbatoriLegale[data])=0,"ZI NELUCRATOARE","")</f>
        <v/>
      </c>
      <c r="U769">
        <f>IF([@motiv_anomalie]="","OK","DE INVESTIGAT")</f>
        <v/>
      </c>
      <c r="V769">
        <f>TEXTJOIN("; ",TRUE,[@flag_oras],[@flag_tva],[@flag_scadenta],[@flag_zi])</f>
        <v/>
      </c>
    </row>
    <row r="770">
      <c r="A770" t="inlineStr">
        <is>
          <t>F-2025-00769</t>
        </is>
      </c>
      <c r="B770" s="12" t="n">
        <v>46050</v>
      </c>
      <c r="C770" t="inlineStr">
        <is>
          <t>SC OMEGA SOFT SRL</t>
        </is>
      </c>
      <c r="D770" t="inlineStr">
        <is>
          <t>Dolj</t>
        </is>
      </c>
      <c r="E770" t="inlineStr">
        <is>
          <t>PRD-005</t>
        </is>
      </c>
      <c r="F770" t="inlineStr">
        <is>
          <t>Abonament suita cloud</t>
        </is>
      </c>
      <c r="G770" t="inlineStr">
        <is>
          <t>Licențe software</t>
        </is>
      </c>
      <c r="H770" t="n">
        <v>2</v>
      </c>
      <c r="I770" t="n">
        <v>248.4</v>
      </c>
      <c r="J770" t="n">
        <v>496.8</v>
      </c>
      <c r="K770" s="13" t="n">
        <v>0.19</v>
      </c>
      <c r="L770" t="n">
        <v>94.39</v>
      </c>
      <c r="M770" t="n">
        <v>591.1900000000001</v>
      </c>
      <c r="N770" t="inlineStr">
        <is>
          <t>RON</t>
        </is>
      </c>
      <c r="O770" t="inlineStr">
        <is>
          <t>Craiova</t>
        </is>
      </c>
      <c r="P770" s="12" t="n">
        <v>46095</v>
      </c>
      <c r="Q770">
        <f>IF(COUNTIF(tbl_Localitati[oras_oficial],[@oras])=0,"ORAS NEALINIAT",IF(XLOOKUP([@oras],tbl_Localitati[oras_oficial],tbl_Localitati[judet],"?")&lt;&gt;[@judet],"JUDET NECORESPUNZATOR",""))</f>
        <v/>
      </c>
      <c r="R770">
        <f>IF(XLOOKUP([@categorie],tbl_RegulriTVA[categorie],tbl_RegulriTVA[cota_legala],-1)&lt;&gt;[@cota_tva],"TVA GRESIT","")</f>
        <v/>
      </c>
      <c r="S770">
        <f>IF([@data_scadentei]&lt;[@data_factura],"SCADENTA INAINTEA FACTURII","")</f>
        <v/>
      </c>
      <c r="T770">
        <f>IF(NETWORKDAYS.INTL([@data_factura],[@data_factura],1,tbl_SarbatoriLegale[data])=0,"ZI NELUCRATOARE","")</f>
        <v/>
      </c>
      <c r="U770">
        <f>IF([@motiv_anomalie]="","OK","DE INVESTIGAT")</f>
        <v/>
      </c>
      <c r="V770">
        <f>TEXTJOIN("; ",TRUE,[@flag_oras],[@flag_tva],[@flag_scadenta],[@flag_zi])</f>
        <v/>
      </c>
    </row>
    <row r="771">
      <c r="A771" t="inlineStr">
        <is>
          <t>F-2025-00770</t>
        </is>
      </c>
      <c r="B771" s="12" t="n">
        <v>46209</v>
      </c>
      <c r="C771" t="inlineStr">
        <is>
          <t>SC NORDIS DISTRIBUTIE SRL</t>
        </is>
      </c>
      <c r="D771" t="inlineStr">
        <is>
          <t>Constanța</t>
        </is>
      </c>
      <c r="E771" t="inlineStr">
        <is>
          <t>PRD-009</t>
        </is>
      </c>
      <c r="F771" t="inlineStr">
        <is>
          <t>Cafea boabe 1kg</t>
        </is>
      </c>
      <c r="G771" t="inlineStr">
        <is>
          <t>Alimente</t>
        </is>
      </c>
      <c r="H771" t="n">
        <v>5</v>
      </c>
      <c r="I771" t="n">
        <v>26.65</v>
      </c>
      <c r="J771" t="n">
        <v>133.25</v>
      </c>
      <c r="K771" s="13" t="n">
        <v>0.09</v>
      </c>
      <c r="L771" t="n">
        <v>11.99</v>
      </c>
      <c r="M771" t="n">
        <v>145.24</v>
      </c>
      <c r="N771" t="inlineStr">
        <is>
          <t>RON</t>
        </is>
      </c>
      <c r="O771" t="inlineStr">
        <is>
          <t>Mangalia</t>
        </is>
      </c>
      <c r="P771" s="12" t="n">
        <v>46224</v>
      </c>
      <c r="Q771">
        <f>IF(COUNTIF(tbl_Localitati[oras_oficial],[@oras])=0,"ORAS NEALINIAT",IF(XLOOKUP([@oras],tbl_Localitati[oras_oficial],tbl_Localitati[judet],"?")&lt;&gt;[@judet],"JUDET NECORESPUNZATOR",""))</f>
        <v/>
      </c>
      <c r="R771">
        <f>IF(XLOOKUP([@categorie],tbl_RegulriTVA[categorie],tbl_RegulriTVA[cota_legala],-1)&lt;&gt;[@cota_tva],"TVA GRESIT","")</f>
        <v/>
      </c>
      <c r="S771">
        <f>IF([@data_scadentei]&lt;[@data_factura],"SCADENTA INAINTEA FACTURII","")</f>
        <v/>
      </c>
      <c r="T771">
        <f>IF(NETWORKDAYS.INTL([@data_factura],[@data_factura],1,tbl_SarbatoriLegale[data])=0,"ZI NELUCRATOARE","")</f>
        <v/>
      </c>
      <c r="U771">
        <f>IF([@motiv_anomalie]="","OK","DE INVESTIGAT")</f>
        <v/>
      </c>
      <c r="V771">
        <f>TEXTJOIN("; ",TRUE,[@flag_oras],[@flag_tva],[@flag_scadenta],[@flag_zi])</f>
        <v/>
      </c>
    </row>
    <row r="772">
      <c r="A772" t="inlineStr">
        <is>
          <t>F-2025-00771</t>
        </is>
      </c>
      <c r="B772" s="12" t="n">
        <v>46232</v>
      </c>
      <c r="C772" t="inlineStr">
        <is>
          <t>SC DACTECH SOLUTIONS SRL</t>
        </is>
      </c>
      <c r="D772" t="inlineStr">
        <is>
          <t>Argeș</t>
        </is>
      </c>
      <c r="E772" t="inlineStr">
        <is>
          <t>PRD-001</t>
        </is>
      </c>
      <c r="F772" t="inlineStr">
        <is>
          <t>Consultanta implementare IT</t>
        </is>
      </c>
      <c r="G772" t="inlineStr">
        <is>
          <t>Servicii consultanță</t>
        </is>
      </c>
      <c r="H772" t="n">
        <v>1</v>
      </c>
      <c r="I772" t="n">
        <v>2309.71</v>
      </c>
      <c r="J772" t="n">
        <v>2309.71</v>
      </c>
      <c r="K772" s="13" t="n">
        <v>0.19</v>
      </c>
      <c r="L772" t="n">
        <v>438.84</v>
      </c>
      <c r="M772" t="n">
        <v>2748.55</v>
      </c>
      <c r="N772" t="inlineStr">
        <is>
          <t>RON</t>
        </is>
      </c>
      <c r="O772" t="inlineStr">
        <is>
          <t>Pitești</t>
        </is>
      </c>
      <c r="P772" s="12" t="n">
        <v>46262</v>
      </c>
      <c r="Q772">
        <f>IF(COUNTIF(tbl_Localitati[oras_oficial],[@oras])=0,"ORAS NEALINIAT",IF(XLOOKUP([@oras],tbl_Localitati[oras_oficial],tbl_Localitati[judet],"?")&lt;&gt;[@judet],"JUDET NECORESPUNZATOR",""))</f>
        <v/>
      </c>
      <c r="R772">
        <f>IF(XLOOKUP([@categorie],tbl_RegulriTVA[categorie],tbl_RegulriTVA[cota_legala],-1)&lt;&gt;[@cota_tva],"TVA GRESIT","")</f>
        <v/>
      </c>
      <c r="S772">
        <f>IF([@data_scadentei]&lt;[@data_factura],"SCADENTA INAINTEA FACTURII","")</f>
        <v/>
      </c>
      <c r="T772">
        <f>IF(NETWORKDAYS.INTL([@data_factura],[@data_factura],1,tbl_SarbatoriLegale[data])=0,"ZI NELUCRATOARE","")</f>
        <v/>
      </c>
      <c r="U772">
        <f>IF([@motiv_anomalie]="","OK","DE INVESTIGAT")</f>
        <v/>
      </c>
      <c r="V772">
        <f>TEXTJOIN("; ",TRUE,[@flag_oras],[@flag_tva],[@flag_scadenta],[@flag_zi])</f>
        <v/>
      </c>
    </row>
    <row r="773">
      <c r="A773" t="inlineStr">
        <is>
          <t>F-2025-00772</t>
        </is>
      </c>
      <c r="B773" s="12" t="n">
        <v>46224</v>
      </c>
      <c r="C773" t="inlineStr">
        <is>
          <t>SC INTEGROMED SA</t>
        </is>
      </c>
      <c r="D773" t="inlineStr">
        <is>
          <t>Cluj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 IT</t>
        </is>
      </c>
      <c r="H773" t="n">
        <v>5</v>
      </c>
      <c r="I773" t="n">
        <v>1148.92</v>
      </c>
      <c r="J773" t="n">
        <v>5744.6</v>
      </c>
      <c r="K773" s="13" t="n">
        <v>0.19</v>
      </c>
      <c r="L773" t="n">
        <v>1091.47</v>
      </c>
      <c r="M773" t="n">
        <v>6836.07</v>
      </c>
      <c r="N773" t="inlineStr">
        <is>
          <t>RON</t>
        </is>
      </c>
      <c r="O773" t="inlineStr">
        <is>
          <t>Cluj-Napoca</t>
        </is>
      </c>
      <c r="P773" s="12" t="n">
        <v>46284</v>
      </c>
      <c r="Q773">
        <f>IF(COUNTIF(tbl_Localitati[oras_oficial],[@oras])=0,"ORAS NEALINIAT",IF(XLOOKUP([@oras],tbl_Localitati[oras_oficial],tbl_Localitati[judet],"?")&lt;&gt;[@judet],"JUDET NECORESPUNZATOR",""))</f>
        <v/>
      </c>
      <c r="R773">
        <f>IF(XLOOKUP([@categorie],tbl_RegulriTVA[categorie],tbl_RegulriTVA[cota_legala],-1)&lt;&gt;[@cota_tva],"TVA GRESIT","")</f>
        <v/>
      </c>
      <c r="S773">
        <f>IF([@data_scadentei]&lt;[@data_factura],"SCADENTA INAINTEA FACTURII","")</f>
        <v/>
      </c>
      <c r="T773">
        <f>IF(NETWORKDAYS.INTL([@data_factura],[@data_factura],1,tbl_SarbatoriLegale[data])=0,"ZI NELUCRATOARE","")</f>
        <v/>
      </c>
      <c r="U773">
        <f>IF([@motiv_anomalie]="","OK","DE INVESTIGAT")</f>
        <v/>
      </c>
      <c r="V773">
        <f>TEXTJOIN("; ",TRUE,[@flag_oras],[@flag_tva],[@flag_scadenta],[@flag_zi])</f>
        <v/>
      </c>
    </row>
    <row r="774">
      <c r="A774" t="inlineStr">
        <is>
          <t>F-2025-00773</t>
        </is>
      </c>
      <c r="B774" s="12" t="n">
        <v>46134</v>
      </c>
      <c r="C774" t="inlineStr">
        <is>
          <t>SC AROMET TRADING SRL</t>
        </is>
      </c>
      <c r="D774" t="inlineStr">
        <is>
          <t>Alba</t>
        </is>
      </c>
      <c r="E774" t="inlineStr">
        <is>
          <t>PRD-001</t>
        </is>
      </c>
      <c r="F774" t="inlineStr">
        <is>
          <t>Training utilizatori</t>
        </is>
      </c>
      <c r="G774" t="inlineStr">
        <is>
          <t>Servicii consultanță</t>
        </is>
      </c>
      <c r="H774" t="n">
        <v>1</v>
      </c>
      <c r="I774" t="n">
        <v>2336.36</v>
      </c>
      <c r="J774" t="n">
        <v>2336.36</v>
      </c>
      <c r="K774" s="13" t="n">
        <v>0.19</v>
      </c>
      <c r="L774" t="n">
        <v>443.91</v>
      </c>
      <c r="M774" t="n">
        <v>2780.27</v>
      </c>
      <c r="N774" t="inlineStr">
        <is>
          <t>USD</t>
        </is>
      </c>
      <c r="O774" t="inlineStr">
        <is>
          <t>Alba Iulia</t>
        </is>
      </c>
      <c r="P774" s="12" t="n">
        <v>46149</v>
      </c>
      <c r="Q774">
        <f>IF(COUNTIF(tbl_Localitati[oras_oficial],[@oras])=0,"ORAS NEALINIAT",IF(XLOOKUP([@oras],tbl_Localitati[oras_oficial],tbl_Localitati[judet],"?")&lt;&gt;[@judet],"JUDET NECORESPUNZATOR",""))</f>
        <v/>
      </c>
      <c r="R774">
        <f>IF(XLOOKUP([@categorie],tbl_RegulriTVA[categorie],tbl_RegulriTVA[cota_legala],-1)&lt;&gt;[@cota_tva],"TVA GRESIT","")</f>
        <v/>
      </c>
      <c r="S774">
        <f>IF([@data_scadentei]&lt;[@data_factura],"SCADENTA INAINTEA FACTURII","")</f>
        <v/>
      </c>
      <c r="T774">
        <f>IF(NETWORKDAYS.INTL([@data_factura],[@data_factura],1,tbl_SarbatoriLegale[data])=0,"ZI NELUCRATOARE","")</f>
        <v/>
      </c>
      <c r="U774">
        <f>IF([@motiv_anomalie]="","OK","DE INVESTIGAT")</f>
        <v/>
      </c>
      <c r="V774">
        <f>TEXTJOIN("; ",TRUE,[@flag_oras],[@flag_tva],[@flag_scadenta],[@flag_zi])</f>
        <v/>
      </c>
    </row>
    <row r="775">
      <c r="A775" t="inlineStr">
        <is>
          <t>F-2025-00774</t>
        </is>
      </c>
      <c r="B775" s="12" t="n">
        <v>46066</v>
      </c>
      <c r="C775" t="inlineStr">
        <is>
          <t>SC INTEGROMED SA</t>
        </is>
      </c>
      <c r="D775" t="inlineStr">
        <is>
          <t>Cluj</t>
        </is>
      </c>
      <c r="E775" t="inlineStr">
        <is>
          <t>PRD-002</t>
        </is>
      </c>
      <c r="F775" t="inlineStr">
        <is>
          <t>Switch gigabit 24p</t>
        </is>
      </c>
      <c r="G775" t="inlineStr">
        <is>
          <t>Hardware IT</t>
        </is>
      </c>
      <c r="H775" t="n">
        <v>3</v>
      </c>
      <c r="I775" t="n">
        <v>1112.22</v>
      </c>
      <c r="J775" t="n">
        <v>3336.66</v>
      </c>
      <c r="K775" s="13" t="n">
        <v>0.19</v>
      </c>
      <c r="L775" t="n">
        <v>633.97</v>
      </c>
      <c r="M775" t="n">
        <v>3970.63</v>
      </c>
      <c r="N775" t="inlineStr">
        <is>
          <t>RON</t>
        </is>
      </c>
      <c r="O775" t="inlineStr">
        <is>
          <t>Cluj-Napoca</t>
        </is>
      </c>
      <c r="P775" s="12" t="n">
        <v>46081</v>
      </c>
      <c r="Q775">
        <f>IF(COUNTIF(tbl_Localitati[oras_oficial],[@oras])=0,"ORAS NEALINIAT",IF(XLOOKUP([@oras],tbl_Localitati[oras_oficial],tbl_Localitati[judet],"?")&lt;&gt;[@judet],"JUDET NECORESPUNZATOR",""))</f>
        <v/>
      </c>
      <c r="R775">
        <f>IF(XLOOKUP([@categorie],tbl_RegulriTVA[categorie],tbl_RegulriTVA[cota_legala],-1)&lt;&gt;[@cota_tva],"TVA GRESIT","")</f>
        <v/>
      </c>
      <c r="S775">
        <f>IF([@data_scadentei]&lt;[@data_factura],"SCADENTA INAINTEA FACTURII","")</f>
        <v/>
      </c>
      <c r="T775">
        <f>IF(NETWORKDAYS.INTL([@data_factura],[@data_factura],1,tbl_SarbatoriLegale[data])=0,"ZI NELUCRATOARE","")</f>
        <v/>
      </c>
      <c r="U775">
        <f>IF([@motiv_anomalie]="","OK","DE INVESTIGAT")</f>
        <v/>
      </c>
      <c r="V775">
        <f>TEXTJOIN("; ",TRUE,[@flag_oras],[@flag_tva],[@flag_scadenta],[@flag_zi])</f>
        <v/>
      </c>
    </row>
    <row r="776">
      <c r="A776" t="inlineStr">
        <is>
          <t>F-2025-00775</t>
        </is>
      </c>
      <c r="B776" s="12" t="n">
        <v>46114</v>
      </c>
      <c r="C776" t="inlineStr">
        <is>
          <t>SC FARMAVITAL DISTRIBUTIE SA</t>
        </is>
      </c>
      <c r="D776" t="inlineStr">
        <is>
          <t>Bihor</t>
        </is>
      </c>
      <c r="E776" t="inlineStr">
        <is>
          <t>PRD-012</t>
        </is>
      </c>
      <c r="F776" t="inlineStr">
        <is>
          <t>Switch gigabit 24p</t>
        </is>
      </c>
      <c r="G776" t="inlineStr">
        <is>
          <t>Hardware IT</t>
        </is>
      </c>
      <c r="H776" t="n">
        <v>2</v>
      </c>
      <c r="I776" t="n">
        <v>186.53</v>
      </c>
      <c r="J776" t="n">
        <v>373.06</v>
      </c>
      <c r="K776" s="13" t="n">
        <v>0.19</v>
      </c>
      <c r="L776" t="n">
        <v>70.88</v>
      </c>
      <c r="M776" t="n">
        <v>443.94</v>
      </c>
      <c r="N776" t="inlineStr">
        <is>
          <t>RON</t>
        </is>
      </c>
      <c r="O776" t="inlineStr">
        <is>
          <t>Oradea</t>
        </is>
      </c>
      <c r="P776" s="12" t="n">
        <v>46144</v>
      </c>
      <c r="Q776">
        <f>IF(COUNTIF(tbl_Localitati[oras_oficial],[@oras])=0,"ORAS NEALINIAT",IF(XLOOKUP([@oras],tbl_Localitati[oras_oficial],tbl_Localitati[judet],"?")&lt;&gt;[@judet],"JUDET NECORESPUNZATOR",""))</f>
        <v/>
      </c>
      <c r="R776">
        <f>IF(XLOOKUP([@categorie],tbl_RegulriTVA[categorie],tbl_RegulriTVA[cota_legala],-1)&lt;&gt;[@cota_tva],"TVA GRESIT","")</f>
        <v/>
      </c>
      <c r="S776">
        <f>IF([@data_scadentei]&lt;[@data_factura],"SCADENTA INAINTEA FACTURII","")</f>
        <v/>
      </c>
      <c r="T776">
        <f>IF(NETWORKDAYS.INTL([@data_factura],[@data_factura],1,tbl_SarbatoriLegale[data])=0,"ZI NELUCRATOARE","")</f>
        <v/>
      </c>
      <c r="U776">
        <f>IF([@motiv_anomalie]="","OK","DE INVESTIGAT")</f>
        <v/>
      </c>
      <c r="V776">
        <f>TEXTJOIN("; ",TRUE,[@flag_oras],[@flag_tva],[@flag_scadenta],[@flag_zi])</f>
        <v/>
      </c>
    </row>
    <row r="777">
      <c r="A777" t="inlineStr">
        <is>
          <t>F-2025-00776</t>
        </is>
      </c>
      <c r="B777" s="12" t="n">
        <v>46119</v>
      </c>
      <c r="C777" t="inlineStr">
        <is>
          <t>SC DACTECH SOLUTIONS SRL</t>
        </is>
      </c>
      <c r="D777" t="inlineStr">
        <is>
          <t>Argeș</t>
        </is>
      </c>
      <c r="E777" t="inlineStr">
        <is>
          <t>PRD-005</t>
        </is>
      </c>
      <c r="F777" t="inlineStr">
        <is>
          <t>Suport tehnic anual</t>
        </is>
      </c>
      <c r="G777" t="inlineStr">
        <is>
          <t>Servicii consultanță</t>
        </is>
      </c>
      <c r="H777" t="n">
        <v>1</v>
      </c>
      <c r="I777" t="n">
        <v>259.78</v>
      </c>
      <c r="J777" t="n">
        <v>259.78</v>
      </c>
      <c r="K777" s="13" t="n">
        <v>0.19</v>
      </c>
      <c r="L777" t="n">
        <v>49.36</v>
      </c>
      <c r="M777" t="n">
        <v>309.14</v>
      </c>
      <c r="N777" t="inlineStr">
        <is>
          <t>RON</t>
        </is>
      </c>
      <c r="O777" t="inlineStr">
        <is>
          <t>Pitești</t>
        </is>
      </c>
      <c r="P777" s="12" t="n">
        <v>46149</v>
      </c>
      <c r="Q777">
        <f>IF(COUNTIF(tbl_Localitati[oras_oficial],[@oras])=0,"ORAS NEALINIAT",IF(XLOOKUP([@oras],tbl_Localitati[oras_oficial],tbl_Localitati[judet],"?")&lt;&gt;[@judet],"JUDET NECORESPUNZATOR",""))</f>
        <v/>
      </c>
      <c r="R777">
        <f>IF(XLOOKUP([@categorie],tbl_RegulriTVA[categorie],tbl_RegulriTVA[cota_legala],-1)&lt;&gt;[@cota_tva],"TVA GRESIT","")</f>
        <v/>
      </c>
      <c r="S777">
        <f>IF([@data_scadentei]&lt;[@data_factura],"SCADENTA INAINTEA FACTURII","")</f>
        <v/>
      </c>
      <c r="T777">
        <f>IF(NETWORKDAYS.INTL([@data_factura],[@data_factura],1,tbl_SarbatoriLegale[data])=0,"ZI NELUCRATOARE","")</f>
        <v/>
      </c>
      <c r="U777">
        <f>IF([@motiv_anomalie]="","OK","DE INVESTIGAT")</f>
        <v/>
      </c>
      <c r="V777">
        <f>TEXTJOIN("; ",TRUE,[@flag_oras],[@flag_tva],[@flag_scadenta],[@flag_zi])</f>
        <v/>
      </c>
    </row>
    <row r="778">
      <c r="A778" t="inlineStr">
        <is>
          <t>F-2025-00777</t>
        </is>
      </c>
      <c r="B778" s="12" t="n">
        <v>46057</v>
      </c>
      <c r="C778" t="inlineStr">
        <is>
          <t>SC NORDIS DISTRIBUTIE SRL</t>
        </is>
      </c>
      <c r="D778" t="inlineStr">
        <is>
          <t>Constanța</t>
        </is>
      </c>
      <c r="E778" t="inlineStr">
        <is>
          <t>PRD-003</t>
        </is>
      </c>
      <c r="F778" t="inlineStr">
        <is>
          <t>Telefon IP birou</t>
        </is>
      </c>
      <c r="G778" t="inlineStr">
        <is>
          <t>Echipamente birou</t>
        </is>
      </c>
      <c r="H778" t="n">
        <v>2</v>
      </c>
      <c r="I778" t="n">
        <v>3995.22</v>
      </c>
      <c r="J778" t="n">
        <v>7990.44</v>
      </c>
      <c r="K778" s="13" t="n">
        <v>0.05</v>
      </c>
      <c r="L778" t="n">
        <v>399.52</v>
      </c>
      <c r="M778" t="n">
        <v>8389.959999999999</v>
      </c>
      <c r="N778" t="inlineStr">
        <is>
          <t>RON</t>
        </is>
      </c>
      <c r="O778" t="inlineStr">
        <is>
          <t>Mangalia</t>
        </is>
      </c>
      <c r="P778" s="12" t="n">
        <v>46087</v>
      </c>
      <c r="Q778">
        <f>IF(COUNTIF(tbl_Localitati[oras_oficial],[@oras])=0,"ORAS NEALINIAT",IF(XLOOKUP([@oras],tbl_Localitati[oras_oficial],tbl_Localitati[judet],"?")&lt;&gt;[@judet],"JUDET NECORESPUNZATOR",""))</f>
        <v/>
      </c>
      <c r="R778">
        <f>IF(XLOOKUP([@categorie],tbl_RegulriTVA[categorie],tbl_RegulriTVA[cota_legala],-1)&lt;&gt;[@cota_tva],"TVA GRESIT","")</f>
        <v/>
      </c>
      <c r="S778">
        <f>IF([@data_scadentei]&lt;[@data_factura],"SCADENTA INAINTEA FACTURII","")</f>
        <v/>
      </c>
      <c r="T778">
        <f>IF(NETWORKDAYS.INTL([@data_factura],[@data_factura],1,tbl_SarbatoriLegale[data])=0,"ZI NELUCRATOARE","")</f>
        <v/>
      </c>
      <c r="U778">
        <f>IF([@motiv_anomalie]="","OK","DE INVESTIGAT")</f>
        <v/>
      </c>
      <c r="V778">
        <f>TEXTJOIN("; ",TRUE,[@flag_oras],[@flag_tva],[@flag_scadenta],[@flag_zi])</f>
        <v/>
      </c>
    </row>
    <row r="779">
      <c r="A779" t="inlineStr">
        <is>
          <t>F-2025-00778</t>
        </is>
      </c>
      <c r="B779" s="12" t="n">
        <v>46237</v>
      </c>
      <c r="C779" t="inlineStr">
        <is>
          <t>SC DACTECH SOLUTIONS SRL</t>
        </is>
      </c>
      <c r="D779" t="inlineStr">
        <is>
          <t>Argeș</t>
        </is>
      </c>
      <c r="E779" t="inlineStr">
        <is>
          <t>PRD-006</t>
        </is>
      </c>
      <c r="F779" t="inlineStr">
        <is>
          <t>Tocator documente</t>
        </is>
      </c>
      <c r="G779" t="inlineStr">
        <is>
          <t>Echipamente birou</t>
        </is>
      </c>
      <c r="H779" t="n">
        <v>25</v>
      </c>
      <c r="I779" t="n">
        <v>772.13</v>
      </c>
      <c r="J779" t="n">
        <v>19303.25</v>
      </c>
      <c r="K779" s="13" t="n">
        <v>0.19</v>
      </c>
      <c r="L779" t="n">
        <v>3667.62</v>
      </c>
      <c r="M779" t="n">
        <v>22970.87</v>
      </c>
      <c r="N779" t="inlineStr">
        <is>
          <t>RON</t>
        </is>
      </c>
      <c r="O779" t="inlineStr">
        <is>
          <t>Pitești</t>
        </is>
      </c>
      <c r="P779" s="12" t="n">
        <v>46267</v>
      </c>
      <c r="Q779">
        <f>IF(COUNTIF(tbl_Localitati[oras_oficial],[@oras])=0,"ORAS NEALINIAT",IF(XLOOKUP([@oras],tbl_Localitati[oras_oficial],tbl_Localitati[judet],"?")&lt;&gt;[@judet],"JUDET NECORESPUNZATOR",""))</f>
        <v/>
      </c>
      <c r="R779">
        <f>IF(XLOOKUP([@categorie],tbl_RegulriTVA[categorie],tbl_RegulriTVA[cota_legala],-1)&lt;&gt;[@cota_tva],"TVA GRESIT","")</f>
        <v/>
      </c>
      <c r="S779">
        <f>IF([@data_scadentei]&lt;[@data_factura],"SCADENTA INAINTEA FACTURII","")</f>
        <v/>
      </c>
      <c r="T779">
        <f>IF(NETWORKDAYS.INTL([@data_factura],[@data_factura],1,tbl_SarbatoriLegale[data])=0,"ZI NELUCRATOARE","")</f>
        <v/>
      </c>
      <c r="U779">
        <f>IF([@motiv_anomalie]="","OK","DE INVESTIGAT")</f>
        <v/>
      </c>
      <c r="V779">
        <f>TEXTJOIN("; ",TRUE,[@flag_oras],[@flag_tva],[@flag_scadenta],[@flag_zi])</f>
        <v/>
      </c>
    </row>
    <row r="780">
      <c r="A780" t="inlineStr">
        <is>
          <t>F-2025-00779</t>
        </is>
      </c>
      <c r="B780" s="12" t="n">
        <v>46280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Licenta Office 365 anuala</t>
        </is>
      </c>
      <c r="G780" t="inlineStr">
        <is>
          <t>Licențe software</t>
        </is>
      </c>
      <c r="H780" t="n">
        <v>10</v>
      </c>
      <c r="I780" t="n">
        <v>44.15</v>
      </c>
      <c r="J780" t="n">
        <v>441.5</v>
      </c>
      <c r="K780" s="13" t="n">
        <v>0.19</v>
      </c>
      <c r="L780" t="n">
        <v>83.89</v>
      </c>
      <c r="M780" t="n">
        <v>525.39</v>
      </c>
      <c r="N780" t="inlineStr">
        <is>
          <t>RON</t>
        </is>
      </c>
      <c r="O780" t="inlineStr">
        <is>
          <t>Sibiu</t>
        </is>
      </c>
      <c r="P780" s="12" t="n">
        <v>46295</v>
      </c>
      <c r="Q780">
        <f>IF(COUNTIF(tbl_Localitati[oras_oficial],[@oras])=0,"ORAS NEALINIAT",IF(XLOOKUP([@oras],tbl_Localitati[oras_oficial],tbl_Localitati[judet],"?")&lt;&gt;[@judet],"JUDET NECORESPUNZATOR",""))</f>
        <v/>
      </c>
      <c r="R780">
        <f>IF(XLOOKUP([@categorie],tbl_RegulriTVA[categorie],tbl_RegulriTVA[cota_legala],-1)&lt;&gt;[@cota_tva],"TVA GRESIT","")</f>
        <v/>
      </c>
      <c r="S780">
        <f>IF([@data_scadentei]&lt;[@data_factura],"SCADENTA INAINTEA FACTURII","")</f>
        <v/>
      </c>
      <c r="T780">
        <f>IF(NETWORKDAYS.INTL([@data_factura],[@data_factura],1,tbl_SarbatoriLegale[data])=0,"ZI NELUCRATOARE","")</f>
        <v/>
      </c>
      <c r="U780">
        <f>IF([@motiv_anomalie]="","OK","DE INVESTIGAT")</f>
        <v/>
      </c>
      <c r="V780">
        <f>TEXTJOIN("; ",TRUE,[@flag_oras],[@flag_tva],[@flag_scadenta],[@flag_zi])</f>
        <v/>
      </c>
    </row>
    <row r="781">
      <c r="A781" t="inlineStr">
        <is>
          <t>F-2025-00780</t>
        </is>
      </c>
      <c r="B781" s="12" t="n">
        <v>46178</v>
      </c>
      <c r="C781" t="inlineStr">
        <is>
          <t>SC DACTECH SOLUTIONS SRL</t>
        </is>
      </c>
      <c r="D781" t="inlineStr">
        <is>
          <t>Argeș</t>
        </is>
      </c>
      <c r="E781" t="inlineStr">
        <is>
          <t>PRD-010</t>
        </is>
      </c>
      <c r="F781" t="inlineStr">
        <is>
          <t>Server rack 1U</t>
        </is>
      </c>
      <c r="G781" t="inlineStr">
        <is>
          <t>Hardware IT</t>
        </is>
      </c>
      <c r="H781" t="n">
        <v>5</v>
      </c>
      <c r="I781" t="n">
        <v>340.43</v>
      </c>
      <c r="J781" t="n">
        <v>1702.15</v>
      </c>
      <c r="K781" s="13" t="n">
        <v>0.19</v>
      </c>
      <c r="L781" t="n">
        <v>323.41</v>
      </c>
      <c r="M781" t="n">
        <v>2025.56</v>
      </c>
      <c r="N781" t="inlineStr">
        <is>
          <t>RON</t>
        </is>
      </c>
      <c r="O781" t="inlineStr">
        <is>
          <t>Pitești</t>
        </is>
      </c>
      <c r="P781" s="12" t="n">
        <v>46208</v>
      </c>
      <c r="Q781">
        <f>IF(COUNTIF(tbl_Localitati[oras_oficial],[@oras])=0,"ORAS NEALINIAT",IF(XLOOKUP([@oras],tbl_Localitati[oras_oficial],tbl_Localitati[judet],"?")&lt;&gt;[@judet],"JUDET NECORESPUNZATOR",""))</f>
        <v/>
      </c>
      <c r="R781">
        <f>IF(XLOOKUP([@categorie],tbl_RegulriTVA[categorie],tbl_RegulriTVA[cota_legala],-1)&lt;&gt;[@cota_tva],"TVA GRESIT","")</f>
        <v/>
      </c>
      <c r="S781">
        <f>IF([@data_scadentei]&lt;[@data_factura],"SCADENTA INAINTEA FACTURII","")</f>
        <v/>
      </c>
      <c r="T781">
        <f>IF(NETWORKDAYS.INTL([@data_factura],[@data_factura],1,tbl_SarbatoriLegale[data])=0,"ZI NELUCRATOARE","")</f>
        <v/>
      </c>
      <c r="U781">
        <f>IF([@motiv_anomalie]="","OK","DE INVESTIGAT")</f>
        <v/>
      </c>
      <c r="V781">
        <f>TEXTJOIN("; ",TRUE,[@flag_oras],[@flag_tva],[@flag_scadenta],[@flag_zi])</f>
        <v/>
      </c>
    </row>
    <row r="782">
      <c r="A782" t="inlineStr">
        <is>
          <t>F-2025-00781</t>
        </is>
      </c>
      <c r="B782" s="12" t="n">
        <v>46204</v>
      </c>
      <c r="C782" t="inlineStr">
        <is>
          <t>SC AROMET TRADING SRL</t>
        </is>
      </c>
      <c r="D782" t="inlineStr">
        <is>
          <t>Alba</t>
        </is>
      </c>
      <c r="E782" t="inlineStr">
        <is>
          <t>PRD-002</t>
        </is>
      </c>
      <c r="F782" t="inlineStr">
        <is>
          <t>Consultanta implementare IT</t>
        </is>
      </c>
      <c r="G782" t="inlineStr">
        <is>
          <t>Servicii consultanță</t>
        </is>
      </c>
      <c r="H782" t="n">
        <v>3</v>
      </c>
      <c r="I782" t="n">
        <v>1050.64</v>
      </c>
      <c r="J782" t="n">
        <v>3151.92</v>
      </c>
      <c r="K782" s="13" t="n">
        <v>0.19</v>
      </c>
      <c r="L782" t="n">
        <v>598.86</v>
      </c>
      <c r="M782" t="n">
        <v>3750.78</v>
      </c>
      <c r="N782" t="inlineStr">
        <is>
          <t>RON</t>
        </is>
      </c>
      <c r="O782" t="inlineStr">
        <is>
          <t>Alba Iulia</t>
        </is>
      </c>
      <c r="P782" s="12" t="n">
        <v>46219</v>
      </c>
      <c r="Q782">
        <f>IF(COUNTIF(tbl_Localitati[oras_oficial],[@oras])=0,"ORAS NEALINIAT",IF(XLOOKUP([@oras],tbl_Localitati[oras_oficial],tbl_Localitati[judet],"?")&lt;&gt;[@judet],"JUDET NECORESPUNZATOR",""))</f>
        <v/>
      </c>
      <c r="R782">
        <f>IF(XLOOKUP([@categorie],tbl_RegulriTVA[categorie],tbl_RegulriTVA[cota_legala],-1)&lt;&gt;[@cota_tva],"TVA GRESIT","")</f>
        <v/>
      </c>
      <c r="S782">
        <f>IF([@data_scadentei]&lt;[@data_factura],"SCADENTA INAINTEA FACTURII","")</f>
        <v/>
      </c>
      <c r="T782">
        <f>IF(NETWORKDAYS.INTL([@data_factura],[@data_factura],1,tbl_SarbatoriLegale[data])=0,"ZI NELUCRATOARE","")</f>
        <v/>
      </c>
      <c r="U782">
        <f>IF([@motiv_anomalie]="","OK","DE INVESTIGAT")</f>
        <v/>
      </c>
      <c r="V782">
        <f>TEXTJOIN("; ",TRUE,[@flag_oras],[@flag_tva],[@flag_scadenta],[@flag_zi])</f>
        <v/>
      </c>
    </row>
    <row r="783">
      <c r="A783" t="inlineStr">
        <is>
          <t>F-2025-00782</t>
        </is>
      </c>
      <c r="B783" s="12" t="n">
        <v>46090</v>
      </c>
      <c r="C783" t="inlineStr">
        <is>
          <t>SC AROMET TRADING SRL</t>
        </is>
      </c>
      <c r="D783" t="inlineStr">
        <is>
          <t>Alba</t>
        </is>
      </c>
      <c r="E783" t="inlineStr">
        <is>
          <t>PRD-010</t>
        </is>
      </c>
      <c r="F783" t="inlineStr">
        <is>
          <t>Termometru digital</t>
        </is>
      </c>
      <c r="G783" t="inlineStr">
        <is>
          <t>Produse farmaceutice</t>
        </is>
      </c>
      <c r="H783" t="n">
        <v>10</v>
      </c>
      <c r="I783" t="n">
        <v>346.98</v>
      </c>
      <c r="J783" t="n">
        <v>3469.8</v>
      </c>
      <c r="K783" s="13" t="n">
        <v>0.09</v>
      </c>
      <c r="L783" t="n">
        <v>312.28</v>
      </c>
      <c r="M783" t="n">
        <v>3782.08</v>
      </c>
      <c r="N783" t="inlineStr">
        <is>
          <t>RON</t>
        </is>
      </c>
      <c r="O783" t="inlineStr">
        <is>
          <t>Alba Iulia</t>
        </is>
      </c>
      <c r="P783" s="12" t="n">
        <v>46105</v>
      </c>
      <c r="Q783">
        <f>IF(COUNTIF(tbl_Localitati[oras_oficial],[@oras])=0,"ORAS NEALINIAT",IF(XLOOKUP([@oras],tbl_Localitati[oras_oficial],tbl_Localitati[judet],"?")&lt;&gt;[@judet],"JUDET NECORESPUNZATOR",""))</f>
        <v/>
      </c>
      <c r="R783">
        <f>IF(XLOOKUP([@categorie],tbl_RegulriTVA[categorie],tbl_RegulriTVA[cota_legala],-1)&lt;&gt;[@cota_tva],"TVA GRESIT","")</f>
        <v/>
      </c>
      <c r="S783">
        <f>IF([@data_scadentei]&lt;[@data_factura],"SCADENTA INAINTEA FACTURII","")</f>
        <v/>
      </c>
      <c r="T783">
        <f>IF(NETWORKDAYS.INTL([@data_factura],[@data_factura],1,tbl_SarbatoriLegale[data])=0,"ZI NELUCRATOARE","")</f>
        <v/>
      </c>
      <c r="U783">
        <f>IF([@motiv_anomalie]="","OK","DE INVESTIGAT")</f>
        <v/>
      </c>
      <c r="V783">
        <f>TEXTJOIN("; ",TRUE,[@flag_oras],[@flag_tva],[@flag_scadenta],[@flag_zi])</f>
        <v/>
      </c>
    </row>
    <row r="784">
      <c r="A784" t="inlineStr">
        <is>
          <t>F-2025-00783</t>
        </is>
      </c>
      <c r="B784" s="12" t="n">
        <v>46266</v>
      </c>
      <c r="C784" t="inlineStr">
        <is>
          <t>SC DACTECH SOLUTIONS SRL</t>
        </is>
      </c>
      <c r="D784" t="inlineStr">
        <is>
          <t>Argeș</t>
        </is>
      </c>
      <c r="E784" t="inlineStr">
        <is>
          <t>PRD-005</t>
        </is>
      </c>
      <c r="F784" t="inlineStr">
        <is>
          <t>Multifunctionala laser</t>
        </is>
      </c>
      <c r="G784" t="inlineStr">
        <is>
          <t>Echipamente birou</t>
        </is>
      </c>
      <c r="H784" t="n">
        <v>5</v>
      </c>
      <c r="I784" t="n">
        <v>258.5</v>
      </c>
      <c r="J784" t="n">
        <v>1292.5</v>
      </c>
      <c r="K784" s="13" t="n">
        <v>0.19</v>
      </c>
      <c r="L784" t="n">
        <v>245.58</v>
      </c>
      <c r="M784" t="n">
        <v>1538.08</v>
      </c>
      <c r="N784" t="inlineStr">
        <is>
          <t>USD</t>
        </is>
      </c>
      <c r="O784" t="inlineStr">
        <is>
          <t>Pitești</t>
        </is>
      </c>
      <c r="P784" s="12" t="n">
        <v>46256</v>
      </c>
      <c r="Q784">
        <f>IF(COUNTIF(tbl_Localitati[oras_oficial],[@oras])=0,"ORAS NEALINIAT",IF(XLOOKUP([@oras],tbl_Localitati[oras_oficial],tbl_Localitati[judet],"?")&lt;&gt;[@judet],"JUDET NECORESPUNZATOR",""))</f>
        <v/>
      </c>
      <c r="R784">
        <f>IF(XLOOKUP([@categorie],tbl_RegulriTVA[categorie],tbl_RegulriTVA[cota_legala],-1)&lt;&gt;[@cota_tva],"TVA GRESIT","")</f>
        <v/>
      </c>
      <c r="S784">
        <f>IF([@data_scadentei]&lt;[@data_factura],"SCADENTA INAINTEA FACTURII","")</f>
        <v/>
      </c>
      <c r="T784">
        <f>IF(NETWORKDAYS.INTL([@data_factura],[@data_factura],1,tbl_SarbatoriLegale[data])=0,"ZI NELUCRATOARE","")</f>
        <v/>
      </c>
      <c r="U784">
        <f>IF([@motiv_anomalie]="","OK","DE INVESTIGAT")</f>
        <v/>
      </c>
      <c r="V784">
        <f>TEXTJOIN("; ",TRUE,[@flag_oras],[@flag_tva],[@flag_scadenta],[@flag_zi])</f>
        <v/>
      </c>
    </row>
    <row r="785">
      <c r="A785" t="inlineStr">
        <is>
          <t>F-2025-00784</t>
        </is>
      </c>
      <c r="B785" s="12" t="n">
        <v>46366</v>
      </c>
      <c r="C785" t="inlineStr">
        <is>
          <t>SC AROMET TRADING SRL</t>
        </is>
      </c>
      <c r="D785" t="inlineStr">
        <is>
          <t>Alba</t>
        </is>
      </c>
      <c r="E785" t="inlineStr">
        <is>
          <t>PRD-007</t>
        </is>
      </c>
      <c r="F785" t="inlineStr">
        <is>
          <t>Audit infrastructura</t>
        </is>
      </c>
      <c r="G785" t="inlineStr">
        <is>
          <t>Servicii consultanță</t>
        </is>
      </c>
      <c r="H785" t="n">
        <v>5</v>
      </c>
      <c r="I785" t="n">
        <v>179.21</v>
      </c>
      <c r="J785" t="n">
        <v>896.05</v>
      </c>
      <c r="K785" s="13" t="n">
        <v>0.19</v>
      </c>
      <c r="L785" t="n">
        <v>170.25</v>
      </c>
      <c r="M785" t="n">
        <v>1066.3</v>
      </c>
      <c r="N785" t="inlineStr">
        <is>
          <t>RON</t>
        </is>
      </c>
      <c r="O785" t="inlineStr">
        <is>
          <t>Alba Iulia</t>
        </is>
      </c>
      <c r="P785" s="12" t="n">
        <v>46381</v>
      </c>
      <c r="Q785">
        <f>IF(COUNTIF(tbl_Localitati[oras_oficial],[@oras])=0,"ORAS NEALINIAT",IF(XLOOKUP([@oras],tbl_Localitati[oras_oficial],tbl_Localitati[judet],"?")&lt;&gt;[@judet],"JUDET NECORESPUNZATOR",""))</f>
        <v/>
      </c>
      <c r="R785">
        <f>IF(XLOOKUP([@categorie],tbl_RegulriTVA[categorie],tbl_RegulriTVA[cota_legala],-1)&lt;&gt;[@cota_tva],"TVA GRESIT","")</f>
        <v/>
      </c>
      <c r="S785">
        <f>IF([@data_scadentei]&lt;[@data_factura],"SCADENTA INAINTEA FACTURII","")</f>
        <v/>
      </c>
      <c r="T785">
        <f>IF(NETWORKDAYS.INTL([@data_factura],[@data_factura],1,tbl_SarbatoriLegale[data])=0,"ZI NELUCRATOARE","")</f>
        <v/>
      </c>
      <c r="U785">
        <f>IF([@motiv_anomalie]="","OK","DE INVESTIGAT")</f>
        <v/>
      </c>
      <c r="V785">
        <f>TEXTJOIN("; ",TRUE,[@flag_oras],[@flag_tva],[@flag_scadenta],[@flag_zi])</f>
        <v/>
      </c>
    </row>
    <row r="786">
      <c r="A786" t="inlineStr">
        <is>
          <t>F-2025-00785</t>
        </is>
      </c>
      <c r="B786" s="12" t="n">
        <v>46359</v>
      </c>
      <c r="C786" t="inlineStr">
        <is>
          <t>SC PROVITA MEDICAL SRL</t>
        </is>
      </c>
      <c r="D786" t="inlineStr">
        <is>
          <t>Mureș</t>
        </is>
      </c>
      <c r="E786" t="inlineStr">
        <is>
          <t>PRD-005</t>
        </is>
      </c>
      <c r="F786" t="inlineStr">
        <is>
          <t>Switch gigabit 24p</t>
        </is>
      </c>
      <c r="G786" t="inlineStr">
        <is>
          <t>Hardware IT</t>
        </is>
      </c>
      <c r="H786" t="n">
        <v>1</v>
      </c>
      <c r="I786" t="n">
        <v>257.06</v>
      </c>
      <c r="J786" t="n">
        <v>257.06</v>
      </c>
      <c r="K786" s="13" t="n">
        <v>0.19</v>
      </c>
      <c r="L786" t="n">
        <v>48.84</v>
      </c>
      <c r="M786" t="n">
        <v>305.9</v>
      </c>
      <c r="N786" t="inlineStr">
        <is>
          <t>RON</t>
        </is>
      </c>
      <c r="O786" t="inlineStr">
        <is>
          <t>Târgu Mureș</t>
        </is>
      </c>
      <c r="P786" s="12" t="n">
        <v>46419</v>
      </c>
      <c r="Q786">
        <f>IF(COUNTIF(tbl_Localitati[oras_oficial],[@oras])=0,"ORAS NEALINIAT",IF(XLOOKUP([@oras],tbl_Localitati[oras_oficial],tbl_Localitati[judet],"?")&lt;&gt;[@judet],"JUDET NECORESPUNZATOR",""))</f>
        <v/>
      </c>
      <c r="R786">
        <f>IF(XLOOKUP([@categorie],tbl_RegulriTVA[categorie],tbl_RegulriTVA[cota_legala],-1)&lt;&gt;[@cota_tva],"TVA GRESIT","")</f>
        <v/>
      </c>
      <c r="S786">
        <f>IF([@data_scadentei]&lt;[@data_factura],"SCADENTA INAINTEA FACTURII","")</f>
        <v/>
      </c>
      <c r="T786">
        <f>IF(NETWORKDAYS.INTL([@data_factura],[@data_factura],1,tbl_SarbatoriLegale[data])=0,"ZI NELUCRATOARE","")</f>
        <v/>
      </c>
      <c r="U786">
        <f>IF([@motiv_anomalie]="","OK","DE INVESTIGAT")</f>
        <v/>
      </c>
      <c r="V786">
        <f>TEXTJOIN("; ",TRUE,[@flag_oras],[@flag_tva],[@flag_scadenta],[@flag_zi])</f>
        <v/>
      </c>
    </row>
    <row r="787">
      <c r="A787" t="inlineStr">
        <is>
          <t>F-2025-00786</t>
        </is>
      </c>
      <c r="B787" s="12" t="n">
        <v>46128</v>
      </c>
      <c r="C787" t="inlineStr">
        <is>
          <t>SC INTEGROMED SA</t>
        </is>
      </c>
      <c r="D787" t="inlineStr">
        <is>
          <t>Cluj</t>
        </is>
      </c>
      <c r="E787" t="inlineStr">
        <is>
          <t>PRD-003</t>
        </is>
      </c>
      <c r="F787" t="inlineStr">
        <is>
          <t>Multifunctionala laser</t>
        </is>
      </c>
      <c r="G787" t="inlineStr">
        <is>
          <t>Echipamente birou</t>
        </is>
      </c>
      <c r="H787" t="n">
        <v>10</v>
      </c>
      <c r="I787" t="n">
        <v>3996.69</v>
      </c>
      <c r="J787" t="n">
        <v>39966.9</v>
      </c>
      <c r="K787" s="13" t="n">
        <v>0.19</v>
      </c>
      <c r="L787" t="n">
        <v>7593.71</v>
      </c>
      <c r="M787" t="n">
        <v>47560.61</v>
      </c>
      <c r="N787" t="inlineStr">
        <is>
          <t>RON</t>
        </is>
      </c>
      <c r="O787" t="inlineStr">
        <is>
          <t>Cluj-Napoca</t>
        </is>
      </c>
      <c r="P787" s="12" t="n">
        <v>46143</v>
      </c>
      <c r="Q787">
        <f>IF(COUNTIF(tbl_Localitati[oras_oficial],[@oras])=0,"ORAS NEALINIAT",IF(XLOOKUP([@oras],tbl_Localitati[oras_oficial],tbl_Localitati[judet],"?")&lt;&gt;[@judet],"JUDET NECORESPUNZATOR",""))</f>
        <v/>
      </c>
      <c r="R787">
        <f>IF(XLOOKUP([@categorie],tbl_RegulriTVA[categorie],tbl_RegulriTVA[cota_legala],-1)&lt;&gt;[@cota_tva],"TVA GRESIT","")</f>
        <v/>
      </c>
      <c r="S787">
        <f>IF([@data_scadentei]&lt;[@data_factura],"SCADENTA INAINTEA FACTURII","")</f>
        <v/>
      </c>
      <c r="T787">
        <f>IF(NETWORKDAYS.INTL([@data_factura],[@data_factura],1,tbl_SarbatoriLegale[data])=0,"ZI NELUCRATOARE","")</f>
        <v/>
      </c>
      <c r="U787">
        <f>IF([@motiv_anomalie]="","OK","DE INVESTIGAT")</f>
        <v/>
      </c>
      <c r="V787">
        <f>TEXTJOIN("; ",TRUE,[@flag_oras],[@flag_tva],[@flag_scadenta],[@flag_zi])</f>
        <v/>
      </c>
    </row>
    <row r="788">
      <c r="A788" t="inlineStr">
        <is>
          <t>F-2025-00787</t>
        </is>
      </c>
      <c r="B788" s="12" t="n">
        <v>46367</v>
      </c>
      <c r="C788" t="inlineStr">
        <is>
          <t>SC ZENITH AUTO SRL</t>
        </is>
      </c>
      <c r="D788" t="inlineStr">
        <is>
          <t>București</t>
        </is>
      </c>
      <c r="E788" t="inlineStr">
        <is>
          <t>PRD-011</t>
        </is>
      </c>
      <c r="F788" t="inlineStr">
        <is>
          <t>Trusa prim ajutor</t>
        </is>
      </c>
      <c r="G788" t="inlineStr">
        <is>
          <t>Produse farmaceutice</t>
        </is>
      </c>
      <c r="H788" t="n">
        <v>5</v>
      </c>
      <c r="I788" t="n">
        <v>47.12</v>
      </c>
      <c r="J788" t="n">
        <v>235.6</v>
      </c>
      <c r="K788" s="13" t="n">
        <v>0.09</v>
      </c>
      <c r="L788" t="n">
        <v>21.2</v>
      </c>
      <c r="M788" t="n">
        <v>256.8</v>
      </c>
      <c r="N788" t="inlineStr">
        <is>
          <t>RON</t>
        </is>
      </c>
      <c r="O788" t="inlineStr">
        <is>
          <t>București</t>
        </is>
      </c>
      <c r="P788" s="12" t="n">
        <v>46397</v>
      </c>
      <c r="Q788">
        <f>IF(COUNTIF(tbl_Localitati[oras_oficial],[@oras])=0,"ORAS NEALINIAT",IF(XLOOKUP([@oras],tbl_Localitati[oras_oficial],tbl_Localitati[judet],"?")&lt;&gt;[@judet],"JUDET NECORESPUNZATOR",""))</f>
        <v/>
      </c>
      <c r="R788">
        <f>IF(XLOOKUP([@categorie],tbl_RegulriTVA[categorie],tbl_RegulriTVA[cota_legala],-1)&lt;&gt;[@cota_tva],"TVA GRESIT","")</f>
        <v/>
      </c>
      <c r="S788">
        <f>IF([@data_scadentei]&lt;[@data_factura],"SCADENTA INAINTEA FACTURII","")</f>
        <v/>
      </c>
      <c r="T788">
        <f>IF(NETWORKDAYS.INTL([@data_factura],[@data_factura],1,tbl_SarbatoriLegale[data])=0,"ZI NELUCRATOARE","")</f>
        <v/>
      </c>
      <c r="U788">
        <f>IF([@motiv_anomalie]="","OK","DE INVESTIGAT")</f>
        <v/>
      </c>
      <c r="V788">
        <f>TEXTJOIN("; ",TRUE,[@flag_oras],[@flag_tva],[@flag_scadenta],[@flag_zi])</f>
        <v/>
      </c>
    </row>
    <row r="789">
      <c r="A789" t="inlineStr">
        <is>
          <t>F-2025-00788</t>
        </is>
      </c>
      <c r="B789" s="12" t="n">
        <v>46370</v>
      </c>
      <c r="C789" t="inlineStr">
        <is>
          <t>SC SOLARIS ENERGY SRL</t>
        </is>
      </c>
      <c r="D789" t="inlineStr">
        <is>
          <t>Prahova</t>
        </is>
      </c>
      <c r="E789" t="inlineStr">
        <is>
          <t>PRD-009</t>
        </is>
      </c>
      <c r="F789" t="inlineStr">
        <is>
          <t>Laptop business 15"</t>
        </is>
      </c>
      <c r="G789" t="inlineStr">
        <is>
          <t>Hardware IT</t>
        </is>
      </c>
      <c r="H789" t="n">
        <v>50</v>
      </c>
      <c r="I789" t="n">
        <v>27.55</v>
      </c>
      <c r="J789" t="n">
        <v>1377.5</v>
      </c>
      <c r="K789" s="13" t="n">
        <v>0.19</v>
      </c>
      <c r="L789" t="n">
        <v>261.73</v>
      </c>
      <c r="M789" t="n">
        <v>1639.23</v>
      </c>
      <c r="N789" t="inlineStr">
        <is>
          <t>RON</t>
        </is>
      </c>
      <c r="O789" t="inlineStr">
        <is>
          <t>Câmpina</t>
        </is>
      </c>
      <c r="P789" s="12" t="n">
        <v>46400</v>
      </c>
      <c r="Q789">
        <f>IF(COUNTIF(tbl_Localitati[oras_oficial],[@oras])=0,"ORAS NEALINIAT",IF(XLOOKUP([@oras],tbl_Localitati[oras_oficial],tbl_Localitati[judet],"?")&lt;&gt;[@judet],"JUDET NECORESPUNZATOR",""))</f>
        <v/>
      </c>
      <c r="R789">
        <f>IF(XLOOKUP([@categorie],tbl_RegulriTVA[categorie],tbl_RegulriTVA[cota_legala],-1)&lt;&gt;[@cota_tva],"TVA GRESIT","")</f>
        <v/>
      </c>
      <c r="S789">
        <f>IF([@data_scadentei]&lt;[@data_factura],"SCADENTA INAINTEA FACTURII","")</f>
        <v/>
      </c>
      <c r="T789">
        <f>IF(NETWORKDAYS.INTL([@data_factura],[@data_factura],1,tbl_SarbatoriLegale[data])=0,"ZI NELUCRATOARE","")</f>
        <v/>
      </c>
      <c r="U789">
        <f>IF([@motiv_anomalie]="","OK","DE INVESTIGAT")</f>
        <v/>
      </c>
      <c r="V789">
        <f>TEXTJOIN("; ",TRUE,[@flag_oras],[@flag_tva],[@flag_scadenta],[@flag_zi])</f>
        <v/>
      </c>
    </row>
    <row r="790">
      <c r="A790" t="inlineStr">
        <is>
          <t>F-2025-00789</t>
        </is>
      </c>
      <c r="B790" s="12" t="n">
        <v>46245</v>
      </c>
      <c r="C790" t="inlineStr">
        <is>
          <t>SC DACTECH SOLUTIONS SRL</t>
        </is>
      </c>
      <c r="D790" t="inlineStr">
        <is>
          <t>Argeș</t>
        </is>
      </c>
      <c r="E790" t="inlineStr">
        <is>
          <t>PRD-010</t>
        </is>
      </c>
      <c r="F790" t="inlineStr">
        <is>
          <t>Server rack 1U</t>
        </is>
      </c>
      <c r="G790" t="inlineStr">
        <is>
          <t>Hardware IT</t>
        </is>
      </c>
      <c r="H790" t="n">
        <v>5</v>
      </c>
      <c r="I790" t="n">
        <v>338.22</v>
      </c>
      <c r="J790" t="n">
        <v>1691.1</v>
      </c>
      <c r="K790" s="13" t="n">
        <v>0.19</v>
      </c>
      <c r="L790" t="n">
        <v>321.31</v>
      </c>
      <c r="M790" t="n">
        <v>2012.41</v>
      </c>
      <c r="N790" t="inlineStr">
        <is>
          <t>RON</t>
        </is>
      </c>
      <c r="O790" t="inlineStr">
        <is>
          <t>Pitești</t>
        </is>
      </c>
      <c r="P790" s="12" t="n">
        <v>46275</v>
      </c>
      <c r="Q790">
        <f>IF(COUNTIF(tbl_Localitati[oras_oficial],[@oras])=0,"ORAS NEALINIAT",IF(XLOOKUP([@oras],tbl_Localitati[oras_oficial],tbl_Localitati[judet],"?")&lt;&gt;[@judet],"JUDET NECORESPUNZATOR",""))</f>
        <v/>
      </c>
      <c r="R790">
        <f>IF(XLOOKUP([@categorie],tbl_RegulriTVA[categorie],tbl_RegulriTVA[cota_legala],-1)&lt;&gt;[@cota_tva],"TVA GRESIT","")</f>
        <v/>
      </c>
      <c r="S790">
        <f>IF([@data_scadentei]&lt;[@data_factura],"SCADENTA INAINTEA FACTURII","")</f>
        <v/>
      </c>
      <c r="T790">
        <f>IF(NETWORKDAYS.INTL([@data_factura],[@data_factura],1,tbl_SarbatoriLegale[data])=0,"ZI NELUCRATOARE","")</f>
        <v/>
      </c>
      <c r="U790">
        <f>IF([@motiv_anomalie]="","OK","DE INVESTIGAT")</f>
        <v/>
      </c>
      <c r="V790">
        <f>TEXTJOIN("; ",TRUE,[@flag_oras],[@flag_tva],[@flag_scadenta],[@flag_zi])</f>
        <v/>
      </c>
    </row>
    <row r="791">
      <c r="A791" t="inlineStr">
        <is>
          <t>F-2025-00790</t>
        </is>
      </c>
      <c r="B791" s="12" t="n">
        <v>46139</v>
      </c>
      <c r="C791" t="inlineStr">
        <is>
          <t>SC AROMET TRADING SRL</t>
        </is>
      </c>
      <c r="D791" t="inlineStr">
        <is>
          <t>Alba</t>
        </is>
      </c>
      <c r="E791" t="inlineStr">
        <is>
          <t>PRD-006</t>
        </is>
      </c>
      <c r="F791" t="inlineStr">
        <is>
          <t>Switch gigabit 24p</t>
        </is>
      </c>
      <c r="G791" t="inlineStr">
        <is>
          <t>Hardware IT</t>
        </is>
      </c>
      <c r="H791" t="n">
        <v>5</v>
      </c>
      <c r="I791" t="n">
        <v>748.87</v>
      </c>
      <c r="J791" t="n">
        <v>3744.35</v>
      </c>
      <c r="K791" s="13" t="n">
        <v>0.19</v>
      </c>
      <c r="L791" t="n">
        <v>711.4299999999999</v>
      </c>
      <c r="M791" t="n">
        <v>4455.78</v>
      </c>
      <c r="N791" t="inlineStr">
        <is>
          <t>RON</t>
        </is>
      </c>
      <c r="O791" t="inlineStr">
        <is>
          <t>Alba Iulia</t>
        </is>
      </c>
      <c r="P791" s="12" t="n">
        <v>46169</v>
      </c>
      <c r="Q791">
        <f>IF(COUNTIF(tbl_Localitati[oras_oficial],[@oras])=0,"ORAS NEALINIAT",IF(XLOOKUP([@oras],tbl_Localitati[oras_oficial],tbl_Localitati[judet],"?")&lt;&gt;[@judet],"JUDET NECORESPUNZATOR",""))</f>
        <v/>
      </c>
      <c r="R791">
        <f>IF(XLOOKUP([@categorie],tbl_RegulriTVA[categorie],tbl_RegulriTVA[cota_legala],-1)&lt;&gt;[@cota_tva],"TVA GRESIT","")</f>
        <v/>
      </c>
      <c r="S791">
        <f>IF([@data_scadentei]&lt;[@data_factura],"SCADENTA INAINTEA FACTURII","")</f>
        <v/>
      </c>
      <c r="T791">
        <f>IF(NETWORKDAYS.INTL([@data_factura],[@data_factura],1,tbl_SarbatoriLegale[data])=0,"ZI NELUCRATOARE","")</f>
        <v/>
      </c>
      <c r="U791">
        <f>IF([@motiv_anomalie]="","OK","DE INVESTIGAT")</f>
        <v/>
      </c>
      <c r="V791">
        <f>TEXTJOIN("; ",TRUE,[@flag_oras],[@flag_tva],[@flag_scadenta],[@flag_zi])</f>
        <v/>
      </c>
    </row>
    <row r="792">
      <c r="A792" t="inlineStr">
        <is>
          <t>F-2025-00791</t>
        </is>
      </c>
      <c r="B792" s="12" t="n">
        <v>46238</v>
      </c>
      <c r="C792" t="inlineStr">
        <is>
          <t>SC INTEGROMED SA</t>
        </is>
      </c>
      <c r="D792" t="inlineStr">
        <is>
          <t>Cluj</t>
        </is>
      </c>
      <c r="E792" t="inlineStr">
        <is>
          <t>PRD-008</t>
        </is>
      </c>
      <c r="F792" t="inlineStr">
        <is>
          <t>Licenta ERP contabilitate</t>
        </is>
      </c>
      <c r="G792" t="inlineStr">
        <is>
          <t>Licențe software</t>
        </is>
      </c>
      <c r="H792" t="n">
        <v>50</v>
      </c>
      <c r="I792" t="n">
        <v>460.86</v>
      </c>
      <c r="J792" t="n">
        <v>23043</v>
      </c>
      <c r="K792" s="13" t="n">
        <v>0.19</v>
      </c>
      <c r="L792" t="n">
        <v>4378.17</v>
      </c>
      <c r="M792" t="n">
        <v>27421.17</v>
      </c>
      <c r="N792" t="inlineStr">
        <is>
          <t>RON</t>
        </is>
      </c>
      <c r="O792" t="inlineStr">
        <is>
          <t>Cluj-Napoca</t>
        </is>
      </c>
      <c r="P792" s="12" t="n">
        <v>46268</v>
      </c>
      <c r="Q792">
        <f>IF(COUNTIF(tbl_Localitati[oras_oficial],[@oras])=0,"ORAS NEALINIAT",IF(XLOOKUP([@oras],tbl_Localitati[oras_oficial],tbl_Localitati[judet],"?")&lt;&gt;[@judet],"JUDET NECORESPUNZATOR",""))</f>
        <v/>
      </c>
      <c r="R792">
        <f>IF(XLOOKUP([@categorie],tbl_RegulriTVA[categorie],tbl_RegulriTVA[cota_legala],-1)&lt;&gt;[@cota_tva],"TVA GRESIT","")</f>
        <v/>
      </c>
      <c r="S792">
        <f>IF([@data_scadentei]&lt;[@data_factura],"SCADENTA INAINTEA FACTURII","")</f>
        <v/>
      </c>
      <c r="T792">
        <f>IF(NETWORKDAYS.INTL([@data_factura],[@data_factura],1,tbl_SarbatoriLegale[data])=0,"ZI NELUCRATOARE","")</f>
        <v/>
      </c>
      <c r="U792">
        <f>IF([@motiv_anomalie]="","OK","DE INVESTIGAT")</f>
        <v/>
      </c>
      <c r="V792">
        <f>TEXTJOIN("; ",TRUE,[@flag_oras],[@flag_tva],[@flag_scadenta],[@flag_zi])</f>
        <v/>
      </c>
    </row>
    <row r="793">
      <c r="A793" t="inlineStr">
        <is>
          <t>F-2025-00792</t>
        </is>
      </c>
      <c r="B793" s="12" t="n">
        <v>46304</v>
      </c>
      <c r="C793" t="inlineStr">
        <is>
          <t>SC DACTECH SOLUTIONS SRL</t>
        </is>
      </c>
      <c r="D793" t="inlineStr">
        <is>
          <t>Argeș</t>
        </is>
      </c>
      <c r="E793" t="inlineStr">
        <is>
          <t>PRD-004</t>
        </is>
      </c>
      <c r="F793" t="inlineStr">
        <is>
          <t>Tocator documente</t>
        </is>
      </c>
      <c r="G793" t="inlineStr">
        <is>
          <t>Echipamente birou</t>
        </is>
      </c>
      <c r="H793" t="n">
        <v>10</v>
      </c>
      <c r="I793" t="n">
        <v>899.9299999999999</v>
      </c>
      <c r="J793" t="n">
        <v>8999.299999999999</v>
      </c>
      <c r="K793" s="13" t="n">
        <v>0.19</v>
      </c>
      <c r="L793" t="n">
        <v>1709.87</v>
      </c>
      <c r="M793" t="n">
        <v>10709.17</v>
      </c>
      <c r="N793" t="inlineStr">
        <is>
          <t>RON</t>
        </is>
      </c>
      <c r="O793" t="inlineStr">
        <is>
          <t>Pitești</t>
        </is>
      </c>
      <c r="P793" s="12" t="n">
        <v>46364</v>
      </c>
      <c r="Q793">
        <f>IF(COUNTIF(tbl_Localitati[oras_oficial],[@oras])=0,"ORAS NEALINIAT",IF(XLOOKUP([@oras],tbl_Localitati[oras_oficial],tbl_Localitati[judet],"?")&lt;&gt;[@judet],"JUDET NECORESPUNZATOR",""))</f>
        <v/>
      </c>
      <c r="R793">
        <f>IF(XLOOKUP([@categorie],tbl_RegulriTVA[categorie],tbl_RegulriTVA[cota_legala],-1)&lt;&gt;[@cota_tva],"TVA GRESIT","")</f>
        <v/>
      </c>
      <c r="S793">
        <f>IF([@data_scadentei]&lt;[@data_factura],"SCADENTA INAINTEA FACTURII","")</f>
        <v/>
      </c>
      <c r="T793">
        <f>IF(NETWORKDAYS.INTL([@data_factura],[@data_factura],1,tbl_SarbatoriLegale[data])=0,"ZI NELUCRATOARE","")</f>
        <v/>
      </c>
      <c r="U793">
        <f>IF([@motiv_anomalie]="","OK","DE INVESTIGAT")</f>
        <v/>
      </c>
      <c r="V793">
        <f>TEXTJOIN("; ",TRUE,[@flag_oras],[@flag_tva],[@flag_scadenta],[@flag_zi])</f>
        <v/>
      </c>
    </row>
    <row r="794">
      <c r="A794" t="inlineStr">
        <is>
          <t>F-2025-00793</t>
        </is>
      </c>
      <c r="B794" s="12" t="n">
        <v>46294</v>
      </c>
      <c r="C794" t="inlineStr">
        <is>
          <t>SC INTEGROMED SA</t>
        </is>
      </c>
      <c r="D794" t="inlineStr">
        <is>
          <t>Cluj</t>
        </is>
      </c>
      <c r="E794" t="inlineStr">
        <is>
          <t>PRD-005</t>
        </is>
      </c>
      <c r="F794" t="inlineStr">
        <is>
          <t>Masti protectie cutie</t>
        </is>
      </c>
      <c r="G794" t="inlineStr">
        <is>
          <t>Produse farmaceutice</t>
        </is>
      </c>
      <c r="H794" t="n">
        <v>3</v>
      </c>
      <c r="I794" t="n">
        <v>260.31</v>
      </c>
      <c r="J794" t="n">
        <v>780.9299999999999</v>
      </c>
      <c r="K794" s="13" t="n">
        <v>0.09</v>
      </c>
      <c r="L794" t="n">
        <v>70.28</v>
      </c>
      <c r="M794" t="n">
        <v>851.21</v>
      </c>
      <c r="N794" t="inlineStr">
        <is>
          <t>RON</t>
        </is>
      </c>
      <c r="O794" t="inlineStr">
        <is>
          <t>Cluj-Napoca</t>
        </is>
      </c>
      <c r="P794" s="12" t="n">
        <v>46309</v>
      </c>
      <c r="Q794">
        <f>IF(COUNTIF(tbl_Localitati[oras_oficial],[@oras])=0,"ORAS NEALINIAT",IF(XLOOKUP([@oras],tbl_Localitati[oras_oficial],tbl_Localitati[judet],"?")&lt;&gt;[@judet],"JUDET NECORESPUNZATOR",""))</f>
        <v/>
      </c>
      <c r="R794">
        <f>IF(XLOOKUP([@categorie],tbl_RegulriTVA[categorie],tbl_RegulriTVA[cota_legala],-1)&lt;&gt;[@cota_tva],"TVA GRESIT","")</f>
        <v/>
      </c>
      <c r="S794">
        <f>IF([@data_scadentei]&lt;[@data_factura],"SCADENTA INAINTEA FACTURII","")</f>
        <v/>
      </c>
      <c r="T794">
        <f>IF(NETWORKDAYS.INTL([@data_factura],[@data_factura],1,tbl_SarbatoriLegale[data])=0,"ZI NELUCRATOARE","")</f>
        <v/>
      </c>
      <c r="U794">
        <f>IF([@motiv_anomalie]="","OK","DE INVESTIGAT")</f>
        <v/>
      </c>
      <c r="V794">
        <f>TEXTJOIN("; ",TRUE,[@flag_oras],[@flag_tva],[@flag_scadenta],[@flag_zi])</f>
        <v/>
      </c>
    </row>
    <row r="795">
      <c r="A795" t="inlineStr">
        <is>
          <t>F-2025-00794</t>
        </is>
      </c>
      <c r="B795" s="12" t="n">
        <v>46064</v>
      </c>
      <c r="C795" t="inlineStr">
        <is>
          <t>SC UNIFOOD DISTRIBUTION SA</t>
        </is>
      </c>
      <c r="D795" t="inlineStr">
        <is>
          <t>Sibiu</t>
        </is>
      </c>
      <c r="E795" t="inlineStr">
        <is>
          <t>PRD-003</t>
        </is>
      </c>
      <c r="F795" t="inlineStr">
        <is>
          <t>Statie de lucru desktop</t>
        </is>
      </c>
      <c r="G795" t="inlineStr">
        <is>
          <t>Hardware IT</t>
        </is>
      </c>
      <c r="H795" t="n">
        <v>1</v>
      </c>
      <c r="I795" t="n">
        <v>4071.29</v>
      </c>
      <c r="J795" t="n">
        <v>4071.29</v>
      </c>
      <c r="K795" s="13" t="n">
        <v>0.19</v>
      </c>
      <c r="L795" t="n">
        <v>773.55</v>
      </c>
      <c r="M795" t="n">
        <v>4844.84</v>
      </c>
      <c r="N795" t="inlineStr">
        <is>
          <t>RON</t>
        </is>
      </c>
      <c r="O795" t="inlineStr">
        <is>
          <t>Mediaș</t>
        </is>
      </c>
      <c r="P795" s="12" t="n">
        <v>46094</v>
      </c>
      <c r="Q795">
        <f>IF(COUNTIF(tbl_Localitati[oras_oficial],[@oras])=0,"ORAS NEALINIAT",IF(XLOOKUP([@oras],tbl_Localitati[oras_oficial],tbl_Localitati[judet],"?")&lt;&gt;[@judet],"JUDET NECORESPUNZATOR",""))</f>
        <v/>
      </c>
      <c r="R795">
        <f>IF(XLOOKUP([@categorie],tbl_RegulriTVA[categorie],tbl_RegulriTVA[cota_legala],-1)&lt;&gt;[@cota_tva],"TVA GRESIT","")</f>
        <v/>
      </c>
      <c r="S795">
        <f>IF([@data_scadentei]&lt;[@data_factura],"SCADENTA INAINTEA FACTURII","")</f>
        <v/>
      </c>
      <c r="T795">
        <f>IF(NETWORKDAYS.INTL([@data_factura],[@data_factura],1,tbl_SarbatoriLegale[data])=0,"ZI NELUCRATOARE","")</f>
        <v/>
      </c>
      <c r="U795">
        <f>IF([@motiv_anomalie]="","OK","DE INVESTIGAT")</f>
        <v/>
      </c>
      <c r="V795">
        <f>TEXTJOIN("; ",TRUE,[@flag_oras],[@flag_tva],[@flag_scadenta],[@flag_zi])</f>
        <v/>
      </c>
    </row>
    <row r="796">
      <c r="A796" t="inlineStr">
        <is>
          <t>F-2025-00795</t>
        </is>
      </c>
      <c r="B796" s="12" t="n">
        <v>46155</v>
      </c>
      <c r="C796" t="inlineStr">
        <is>
          <t>SC OMEGA SOFT SRL</t>
        </is>
      </c>
      <c r="D796" t="inlineStr">
        <is>
          <t>Dolj</t>
        </is>
      </c>
      <c r="E796" t="inlineStr">
        <is>
          <t>PRD-005</t>
        </is>
      </c>
      <c r="F796" t="inlineStr">
        <is>
          <t>Switch gigabit 24p</t>
        </is>
      </c>
      <c r="G796" t="inlineStr">
        <is>
          <t>Hardware IT</t>
        </is>
      </c>
      <c r="H796" t="n">
        <v>2</v>
      </c>
      <c r="I796" t="n">
        <v>259.11</v>
      </c>
      <c r="J796" t="n">
        <v>518.22</v>
      </c>
      <c r="K796" s="13" t="n">
        <v>0.19</v>
      </c>
      <c r="L796" t="n">
        <v>98.45999999999999</v>
      </c>
      <c r="M796" t="n">
        <v>616.6799999999999</v>
      </c>
      <c r="N796" t="inlineStr">
        <is>
          <t>RON</t>
        </is>
      </c>
      <c r="O796" t="inlineStr">
        <is>
          <t>Craiova</t>
        </is>
      </c>
      <c r="P796" s="12" t="n">
        <v>46200</v>
      </c>
      <c r="Q796">
        <f>IF(COUNTIF(tbl_Localitati[oras_oficial],[@oras])=0,"ORAS NEALINIAT",IF(XLOOKUP([@oras],tbl_Localitati[oras_oficial],tbl_Localitati[judet],"?")&lt;&gt;[@judet],"JUDET NECORESPUNZATOR",""))</f>
        <v/>
      </c>
      <c r="R796">
        <f>IF(XLOOKUP([@categorie],tbl_RegulriTVA[categorie],tbl_RegulriTVA[cota_legala],-1)&lt;&gt;[@cota_tva],"TVA GRESIT","")</f>
        <v/>
      </c>
      <c r="S796">
        <f>IF([@data_scadentei]&lt;[@data_factura],"SCADENTA INAINTEA FACTURII","")</f>
        <v/>
      </c>
      <c r="T796">
        <f>IF(NETWORKDAYS.INTL([@data_factura],[@data_factura],1,tbl_SarbatoriLegale[data])=0,"ZI NELUCRATOARE","")</f>
        <v/>
      </c>
      <c r="U796">
        <f>IF([@motiv_anomalie]="","OK","DE INVESTIGAT")</f>
        <v/>
      </c>
      <c r="V796">
        <f>TEXTJOIN("; ",TRUE,[@flag_oras],[@flag_tva],[@flag_scadenta],[@flag_zi])</f>
        <v/>
      </c>
    </row>
    <row r="797">
      <c r="A797" t="inlineStr">
        <is>
          <t>F-2025-00796</t>
        </is>
      </c>
      <c r="B797" s="12" t="n">
        <v>46176</v>
      </c>
      <c r="C797" t="inlineStr">
        <is>
          <t>SC DACTECH SOLUTIONS SRL</t>
        </is>
      </c>
      <c r="D797" t="inlineStr">
        <is>
          <t>Brașov</t>
        </is>
      </c>
      <c r="E797" t="inlineStr">
        <is>
          <t>PRD-005</t>
        </is>
      </c>
      <c r="F797" t="inlineStr">
        <is>
          <t>Consultanta implementare IT</t>
        </is>
      </c>
      <c r="G797" t="inlineStr">
        <is>
          <t>Servicii consultanță</t>
        </is>
      </c>
      <c r="H797" t="n">
        <v>2</v>
      </c>
      <c r="I797" t="n">
        <v>254.64</v>
      </c>
      <c r="J797" t="n">
        <v>509.28</v>
      </c>
      <c r="K797" s="13" t="n">
        <v>0.19</v>
      </c>
      <c r="L797" t="n">
        <v>96.76000000000001</v>
      </c>
      <c r="M797" t="n">
        <v>606.04</v>
      </c>
      <c r="N797" t="inlineStr">
        <is>
          <t>RON</t>
        </is>
      </c>
      <c r="O797" t="inlineStr">
        <is>
          <t>Pitești</t>
        </is>
      </c>
      <c r="P797" s="12" t="n">
        <v>46206</v>
      </c>
      <c r="Q797">
        <f>IF(COUNTIF(tbl_Localitati[oras_oficial],[@oras])=0,"ORAS NEALINIAT",IF(XLOOKUP([@oras],tbl_Localitati[oras_oficial],tbl_Localitati[judet],"?")&lt;&gt;[@judet],"JUDET NECORESPUNZATOR",""))</f>
        <v/>
      </c>
      <c r="R797">
        <f>IF(XLOOKUP([@categorie],tbl_RegulriTVA[categorie],tbl_RegulriTVA[cota_legala],-1)&lt;&gt;[@cota_tva],"TVA GRESIT","")</f>
        <v/>
      </c>
      <c r="S797">
        <f>IF([@data_scadentei]&lt;[@data_factura],"SCADENTA INAINTEA FACTURII","")</f>
        <v/>
      </c>
      <c r="T797">
        <f>IF(NETWORKDAYS.INTL([@data_factura],[@data_factura],1,tbl_SarbatoriLegale[data])=0,"ZI NELUCRATOARE","")</f>
        <v/>
      </c>
      <c r="U797">
        <f>IF([@motiv_anomalie]="","OK","DE INVESTIGAT")</f>
        <v/>
      </c>
      <c r="V797">
        <f>TEXTJOIN("; ",TRUE,[@flag_oras],[@flag_tva],[@flag_scadenta],[@flag_zi])</f>
        <v/>
      </c>
    </row>
    <row r="798">
      <c r="A798" t="inlineStr">
        <is>
          <t>F-2025-00797</t>
        </is>
      </c>
      <c r="B798" s="12" t="n">
        <v>46128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Ceai cutie 100buc</t>
        </is>
      </c>
      <c r="G798" t="inlineStr">
        <is>
          <t>Alimente</t>
        </is>
      </c>
      <c r="H798" t="n">
        <v>5</v>
      </c>
      <c r="I798" t="n">
        <v>2307.4</v>
      </c>
      <c r="J798" t="n">
        <v>11537</v>
      </c>
      <c r="K798" s="13" t="n">
        <v>0.09</v>
      </c>
      <c r="L798" t="n">
        <v>1038.33</v>
      </c>
      <c r="M798" t="n">
        <v>12575.33</v>
      </c>
      <c r="N798" t="inlineStr">
        <is>
          <t>RON</t>
        </is>
      </c>
      <c r="O798" t="inlineStr">
        <is>
          <t>Sibiu</t>
        </is>
      </c>
      <c r="P798" s="12" t="n">
        <v>46158</v>
      </c>
      <c r="Q798">
        <f>IF(COUNTIF(tbl_Localitati[oras_oficial],[@oras])=0,"ORAS NEALINIAT",IF(XLOOKUP([@oras],tbl_Localitati[oras_oficial],tbl_Localitati[judet],"?")&lt;&gt;[@judet],"JUDET NECORESPUNZATOR",""))</f>
        <v/>
      </c>
      <c r="R798">
        <f>IF(XLOOKUP([@categorie],tbl_RegulriTVA[categorie],tbl_RegulriTVA[cota_legala],-1)&lt;&gt;[@cota_tva],"TVA GRESIT","")</f>
        <v/>
      </c>
      <c r="S798">
        <f>IF([@data_scadentei]&lt;[@data_factura],"SCADENTA INAINTEA FACTURII","")</f>
        <v/>
      </c>
      <c r="T798">
        <f>IF(NETWORKDAYS.INTL([@data_factura],[@data_factura],1,tbl_SarbatoriLegale[data])=0,"ZI NELUCRATOARE","")</f>
        <v/>
      </c>
      <c r="U798">
        <f>IF([@motiv_anomalie]="","OK","DE INVESTIGAT")</f>
        <v/>
      </c>
      <c r="V798">
        <f>TEXTJOIN("; ",TRUE,[@flag_oras],[@flag_tva],[@flag_scadenta],[@flag_zi])</f>
        <v/>
      </c>
    </row>
    <row r="799">
      <c r="A799" t="inlineStr">
        <is>
          <t>F-2025-00798</t>
        </is>
      </c>
      <c r="B799" s="12" t="n">
        <v>46161</v>
      </c>
      <c r="C799" t="inlineStr">
        <is>
          <t>SC AROMET TRADING SRL</t>
        </is>
      </c>
      <c r="D799" t="inlineStr">
        <is>
          <t>Alba</t>
        </is>
      </c>
      <c r="E799" t="inlineStr">
        <is>
          <t>PRD-001</t>
        </is>
      </c>
      <c r="F799" t="inlineStr">
        <is>
          <t>Server rack 1U</t>
        </is>
      </c>
      <c r="G799" t="inlineStr">
        <is>
          <t>Hardware IT</t>
        </is>
      </c>
      <c r="H799" t="n">
        <v>2</v>
      </c>
      <c r="I799" t="n">
        <v>2297.01</v>
      </c>
      <c r="J799" t="n">
        <v>4594.02</v>
      </c>
      <c r="K799" s="13" t="n">
        <v>0.19</v>
      </c>
      <c r="L799" t="n">
        <v>872.86</v>
      </c>
      <c r="M799" t="n">
        <v>5466.88</v>
      </c>
      <c r="N799" t="inlineStr">
        <is>
          <t>RON</t>
        </is>
      </c>
      <c r="O799" t="inlineStr">
        <is>
          <t>Alba Iulia</t>
        </is>
      </c>
      <c r="P799" s="12" t="n">
        <v>46206</v>
      </c>
      <c r="Q799">
        <f>IF(COUNTIF(tbl_Localitati[oras_oficial],[@oras])=0,"ORAS NEALINIAT",IF(XLOOKUP([@oras],tbl_Localitati[oras_oficial],tbl_Localitati[judet],"?")&lt;&gt;[@judet],"JUDET NECORESPUNZATOR",""))</f>
        <v/>
      </c>
      <c r="R799">
        <f>IF(XLOOKUP([@categorie],tbl_RegulriTVA[categorie],tbl_RegulriTVA[cota_legala],-1)&lt;&gt;[@cota_tva],"TVA GRESIT","")</f>
        <v/>
      </c>
      <c r="S799">
        <f>IF([@data_scadentei]&lt;[@data_factura],"SCADENTA INAINTEA FACTURII","")</f>
        <v/>
      </c>
      <c r="T799">
        <f>IF(NETWORKDAYS.INTL([@data_factura],[@data_factura],1,tbl_SarbatoriLegale[data])=0,"ZI NELUCRATOARE","")</f>
        <v/>
      </c>
      <c r="U799">
        <f>IF([@motiv_anomalie]="","OK","DE INVESTIGAT")</f>
        <v/>
      </c>
      <c r="V799">
        <f>TEXTJOIN("; ",TRUE,[@flag_oras],[@flag_tva],[@flag_scadenta],[@flag_zi])</f>
        <v/>
      </c>
    </row>
    <row r="800">
      <c r="A800" t="inlineStr">
        <is>
          <t>F-2025-00799</t>
        </is>
      </c>
      <c r="B800" s="12" t="n">
        <v>46094</v>
      </c>
      <c r="C800" t="inlineStr">
        <is>
          <t>SC OMEGA SOFT SRL</t>
        </is>
      </c>
      <c r="D800" t="inlineStr">
        <is>
          <t>Dolj</t>
        </is>
      </c>
      <c r="E800" t="inlineStr">
        <is>
          <t>PRD-002</t>
        </is>
      </c>
      <c r="F800" t="inlineStr">
        <is>
          <t>Telefon IP birou</t>
        </is>
      </c>
      <c r="G800" t="inlineStr">
        <is>
          <t>Echipamente birou</t>
        </is>
      </c>
      <c r="H800" t="n">
        <v>2</v>
      </c>
      <c r="I800" t="n">
        <v>1065.05</v>
      </c>
      <c r="J800" t="n">
        <v>2130.1</v>
      </c>
      <c r="K800" s="13" t="n">
        <v>0.19</v>
      </c>
      <c r="L800" t="n">
        <v>404.72</v>
      </c>
      <c r="M800" t="n">
        <v>2534.82</v>
      </c>
      <c r="N800" t="inlineStr">
        <is>
          <t>RON</t>
        </is>
      </c>
      <c r="O800" t="inlineStr">
        <is>
          <t>Craiova</t>
        </is>
      </c>
      <c r="P800" s="12" t="n">
        <v>46154</v>
      </c>
      <c r="Q800">
        <f>IF(COUNTIF(tbl_Localitati[oras_oficial],[@oras])=0,"ORAS NEALINIAT",IF(XLOOKUP([@oras],tbl_Localitati[oras_oficial],tbl_Localitati[judet],"?")&lt;&gt;[@judet],"JUDET NECORESPUNZATOR",""))</f>
        <v/>
      </c>
      <c r="R800">
        <f>IF(XLOOKUP([@categorie],tbl_RegulriTVA[categorie],tbl_RegulriTVA[cota_legala],-1)&lt;&gt;[@cota_tva],"TVA GRESIT","")</f>
        <v/>
      </c>
      <c r="S800">
        <f>IF([@data_scadentei]&lt;[@data_factura],"SCADENTA INAINTEA FACTURII","")</f>
        <v/>
      </c>
      <c r="T800">
        <f>IF(NETWORKDAYS.INTL([@data_factura],[@data_factura],1,tbl_SarbatoriLegale[data])=0,"ZI NELUCRATOARE","")</f>
        <v/>
      </c>
      <c r="U800">
        <f>IF([@motiv_anomalie]="","OK","DE INVESTIGAT")</f>
        <v/>
      </c>
      <c r="V800">
        <f>TEXTJOIN("; ",TRUE,[@flag_oras],[@flag_tva],[@flag_scadenta],[@flag_zi])</f>
        <v/>
      </c>
    </row>
    <row r="801">
      <c r="A801" t="inlineStr">
        <is>
          <t>F-2025-00800</t>
        </is>
      </c>
      <c r="B801" s="12" t="n">
        <v>46310</v>
      </c>
      <c r="C801" t="inlineStr">
        <is>
          <t>SC SOLARIS ENERGY SRL</t>
        </is>
      </c>
      <c r="D801" t="inlineStr">
        <is>
          <t>Prahova</t>
        </is>
      </c>
      <c r="E801" t="inlineStr">
        <is>
          <t>PRD-012</t>
        </is>
      </c>
      <c r="F801" t="inlineStr">
        <is>
          <t>Monitor 27" 4K</t>
        </is>
      </c>
      <c r="G801" t="inlineStr">
        <is>
          <t>Hardware IT</t>
        </is>
      </c>
      <c r="H801" t="n">
        <v>2</v>
      </c>
      <c r="I801" t="n">
        <v>187.14</v>
      </c>
      <c r="J801" t="n">
        <v>374.28</v>
      </c>
      <c r="K801" s="13" t="n">
        <v>0.05</v>
      </c>
      <c r="L801" t="n">
        <v>18.71</v>
      </c>
      <c r="M801" t="n">
        <v>392.99</v>
      </c>
      <c r="N801" t="inlineStr">
        <is>
          <t>RON</t>
        </is>
      </c>
      <c r="O801" t="inlineStr">
        <is>
          <t>Câmpina</t>
        </is>
      </c>
      <c r="P801" s="12" t="n">
        <v>46355</v>
      </c>
      <c r="Q801">
        <f>IF(COUNTIF(tbl_Localitati[oras_oficial],[@oras])=0,"ORAS NEALINIAT",IF(XLOOKUP([@oras],tbl_Localitati[oras_oficial],tbl_Localitati[judet],"?")&lt;&gt;[@judet],"JUDET NECORESPUNZATOR",""))</f>
        <v/>
      </c>
      <c r="R801">
        <f>IF(XLOOKUP([@categorie],tbl_RegulriTVA[categorie],tbl_RegulriTVA[cota_legala],-1)&lt;&gt;[@cota_tva],"TVA GRESIT","")</f>
        <v/>
      </c>
      <c r="S801">
        <f>IF([@data_scadentei]&lt;[@data_factura],"SCADENTA INAINTEA FACTURII","")</f>
        <v/>
      </c>
      <c r="T801">
        <f>IF(NETWORKDAYS.INTL([@data_factura],[@data_factura],1,tbl_SarbatoriLegale[data])=0,"ZI NELUCRATOARE","")</f>
        <v/>
      </c>
      <c r="U801">
        <f>IF([@motiv_anomalie]="","OK","DE INVESTIGAT")</f>
        <v/>
      </c>
      <c r="V801">
        <f>TEXTJOIN("; ",TRUE,[@flag_oras],[@flag_tva],[@flag_scadenta],[@flag_zi])</f>
        <v/>
      </c>
    </row>
    <row r="802">
      <c r="A802" t="inlineStr">
        <is>
          <t>F-2025-00801</t>
        </is>
      </c>
      <c r="B802" s="12" t="n">
        <v>46289</v>
      </c>
      <c r="C802" t="inlineStr">
        <is>
          <t>SC NORDIS DISTRIBUTIE SRL</t>
        </is>
      </c>
      <c r="D802" t="inlineStr">
        <is>
          <t>Constanța</t>
        </is>
      </c>
      <c r="E802" t="inlineStr">
        <is>
          <t>PRD-002</t>
        </is>
      </c>
      <c r="F802" t="inlineStr">
        <is>
          <t>Licenta Office 365 anuala</t>
        </is>
      </c>
      <c r="G802" t="inlineStr">
        <is>
          <t>Licențe software</t>
        </is>
      </c>
      <c r="H802" t="n">
        <v>3</v>
      </c>
      <c r="I802" t="n">
        <v>1098.62</v>
      </c>
      <c r="J802" t="n">
        <v>3295.86</v>
      </c>
      <c r="K802" s="13" t="n">
        <v>0.19</v>
      </c>
      <c r="L802" t="n">
        <v>626.21</v>
      </c>
      <c r="M802" t="n">
        <v>3922.07</v>
      </c>
      <c r="N802" t="inlineStr">
        <is>
          <t>RON</t>
        </is>
      </c>
      <c r="O802" t="inlineStr">
        <is>
          <t>Mangalia</t>
        </is>
      </c>
      <c r="P802" s="12" t="n">
        <v>46304</v>
      </c>
      <c r="Q802">
        <f>IF(COUNTIF(tbl_Localitati[oras_oficial],[@oras])=0,"ORAS NEALINIAT",IF(XLOOKUP([@oras],tbl_Localitati[oras_oficial],tbl_Localitati[judet],"?")&lt;&gt;[@judet],"JUDET NECORESPUNZATOR",""))</f>
        <v/>
      </c>
      <c r="R802">
        <f>IF(XLOOKUP([@categorie],tbl_RegulriTVA[categorie],tbl_RegulriTVA[cota_legala],-1)&lt;&gt;[@cota_tva],"TVA GRESIT","")</f>
        <v/>
      </c>
      <c r="S802">
        <f>IF([@data_scadentei]&lt;[@data_factura],"SCADENTA INAINTEA FACTURII","")</f>
        <v/>
      </c>
      <c r="T802">
        <f>IF(NETWORKDAYS.INTL([@data_factura],[@data_factura],1,tbl_SarbatoriLegale[data])=0,"ZI NELUCRATOARE","")</f>
        <v/>
      </c>
      <c r="U802">
        <f>IF([@motiv_anomalie]="","OK","DE INVESTIGAT")</f>
        <v/>
      </c>
      <c r="V802">
        <f>TEXTJOIN("; ",TRUE,[@flag_oras],[@flag_tva],[@flag_scadenta],[@flag_zi])</f>
        <v/>
      </c>
    </row>
    <row r="803">
      <c r="A803" t="inlineStr">
        <is>
          <t>F-2025-00802</t>
        </is>
      </c>
      <c r="B803" s="12" t="n">
        <v>46084</v>
      </c>
      <c r="C803" t="inlineStr">
        <is>
          <t>SC ZENITH AUTO SRL</t>
        </is>
      </c>
      <c r="D803" t="inlineStr">
        <is>
          <t>București</t>
        </is>
      </c>
      <c r="E803" t="inlineStr">
        <is>
          <t>PRD-001</t>
        </is>
      </c>
      <c r="F803" t="inlineStr">
        <is>
          <t>Licenta antivirus enterprise</t>
        </is>
      </c>
      <c r="G803" t="inlineStr">
        <is>
          <t>Licențe software</t>
        </is>
      </c>
      <c r="H803" t="n">
        <v>3</v>
      </c>
      <c r="I803" t="n">
        <v>2384.44</v>
      </c>
      <c r="J803" t="n">
        <v>7153.32</v>
      </c>
      <c r="K803" s="13" t="n">
        <v>0.19</v>
      </c>
      <c r="L803" t="n">
        <v>1359.13</v>
      </c>
      <c r="M803" t="n">
        <v>8512.450000000001</v>
      </c>
      <c r="N803" t="inlineStr">
        <is>
          <t>RON</t>
        </is>
      </c>
      <c r="O803" t="inlineStr">
        <is>
          <t>București</t>
        </is>
      </c>
      <c r="P803" s="12" t="n">
        <v>46114</v>
      </c>
      <c r="Q803">
        <f>IF(COUNTIF(tbl_Localitati[oras_oficial],[@oras])=0,"ORAS NEALINIAT",IF(XLOOKUP([@oras],tbl_Localitati[oras_oficial],tbl_Localitati[judet],"?")&lt;&gt;[@judet],"JUDET NECORESPUNZATOR",""))</f>
        <v/>
      </c>
      <c r="R803">
        <f>IF(XLOOKUP([@categorie],tbl_RegulriTVA[categorie],tbl_RegulriTVA[cota_legala],-1)&lt;&gt;[@cota_tva],"TVA GRESIT","")</f>
        <v/>
      </c>
      <c r="S803">
        <f>IF([@data_scadentei]&lt;[@data_factura],"SCADENTA INAINTEA FACTURII","")</f>
        <v/>
      </c>
      <c r="T803">
        <f>IF(NETWORKDAYS.INTL([@data_factura],[@data_factura],1,tbl_SarbatoriLegale[data])=0,"ZI NELUCRATOARE","")</f>
        <v/>
      </c>
      <c r="U803">
        <f>IF([@motiv_anomalie]="","OK","DE INVESTIGAT")</f>
        <v/>
      </c>
      <c r="V803">
        <f>TEXTJOIN("; ",TRUE,[@flag_oras],[@flag_tva],[@flag_scadenta],[@flag_zi])</f>
        <v/>
      </c>
    </row>
    <row r="804">
      <c r="A804" t="inlineStr">
        <is>
          <t>F-2025-00803</t>
        </is>
      </c>
      <c r="B804" s="12" t="n">
        <v>46171</v>
      </c>
      <c r="C804" t="inlineStr">
        <is>
          <t>SC METALPLAST INVEST SA</t>
        </is>
      </c>
      <c r="D804" t="inlineStr">
        <is>
          <t>Cluj</t>
        </is>
      </c>
      <c r="E804" t="inlineStr">
        <is>
          <t>PRD-011</t>
        </is>
      </c>
      <c r="F804" t="inlineStr">
        <is>
          <t>Masti protectie cutie</t>
        </is>
      </c>
      <c r="G804" t="inlineStr">
        <is>
          <t>Produse farmaceutice</t>
        </is>
      </c>
      <c r="H804" t="n">
        <v>50</v>
      </c>
      <c r="I804" t="n">
        <v>43.34</v>
      </c>
      <c r="J804" t="n">
        <v>2167</v>
      </c>
      <c r="K804" s="13" t="n">
        <v>0.09</v>
      </c>
      <c r="L804" t="n">
        <v>195.03</v>
      </c>
      <c r="M804" t="n">
        <v>2362.03</v>
      </c>
      <c r="N804" t="inlineStr">
        <is>
          <t>RON</t>
        </is>
      </c>
      <c r="O804" t="inlineStr">
        <is>
          <t>Tm</t>
        </is>
      </c>
      <c r="P804" s="12" t="n">
        <v>46201</v>
      </c>
      <c r="Q804">
        <f>IF(COUNTIF(tbl_Localitati[oras_oficial],[@oras])=0,"ORAS NEALINIAT",IF(XLOOKUP([@oras],tbl_Localitati[oras_oficial],tbl_Localitati[judet],"?")&lt;&gt;[@judet],"JUDET NECORESPUNZATOR",""))</f>
        <v/>
      </c>
      <c r="R804">
        <f>IF(XLOOKUP([@categorie],tbl_RegulriTVA[categorie],tbl_RegulriTVA[cota_legala],-1)&lt;&gt;[@cota_tva],"TVA GRESIT","")</f>
        <v/>
      </c>
      <c r="S804">
        <f>IF([@data_scadentei]&lt;[@data_factura],"SCADENTA INAINTEA FACTURII","")</f>
        <v/>
      </c>
      <c r="T804">
        <f>IF(NETWORKDAYS.INTL([@data_factura],[@data_factura],1,tbl_SarbatoriLegale[data])=0,"ZI NELUCRATOARE","")</f>
        <v/>
      </c>
      <c r="U804">
        <f>IF([@motiv_anomalie]="","OK","DE INVESTIGAT")</f>
        <v/>
      </c>
      <c r="V804">
        <f>TEXTJOIN("; ",TRUE,[@flag_oras],[@flag_tva],[@flag_scadenta],[@flag_zi])</f>
        <v/>
      </c>
    </row>
    <row r="805">
      <c r="A805" t="inlineStr">
        <is>
          <t>F-2025-00804</t>
        </is>
      </c>
      <c r="B805" s="12" t="n">
        <v>46062</v>
      </c>
      <c r="C805" t="inlineStr">
        <is>
          <t>SC DACTECH SOLUTIONS SRL</t>
        </is>
      </c>
      <c r="D805" t="inlineStr">
        <is>
          <t>Argeș</t>
        </is>
      </c>
      <c r="E805" t="inlineStr">
        <is>
          <t>PRD-003</t>
        </is>
      </c>
      <c r="F805" t="inlineStr">
        <is>
          <t>Monitor 27" 4K</t>
        </is>
      </c>
      <c r="G805" t="inlineStr">
        <is>
          <t>Hardware IT</t>
        </is>
      </c>
      <c r="H805" t="n">
        <v>1</v>
      </c>
      <c r="I805" t="n">
        <v>4175.27</v>
      </c>
      <c r="J805" t="n">
        <v>4175.27</v>
      </c>
      <c r="K805" s="13" t="n">
        <v>0.09</v>
      </c>
      <c r="L805" t="n">
        <v>375.77</v>
      </c>
      <c r="M805" t="n">
        <v>4551.04</v>
      </c>
      <c r="N805" t="inlineStr">
        <is>
          <t>RON</t>
        </is>
      </c>
      <c r="O805" t="inlineStr">
        <is>
          <t>Pitești</t>
        </is>
      </c>
      <c r="P805" s="12" t="n">
        <v>46077</v>
      </c>
      <c r="Q805">
        <f>IF(COUNTIF(tbl_Localitati[oras_oficial],[@oras])=0,"ORAS NEALINIAT",IF(XLOOKUP([@oras],tbl_Localitati[oras_oficial],tbl_Localitati[judet],"?")&lt;&gt;[@judet],"JUDET NECORESPUNZATOR",""))</f>
        <v/>
      </c>
      <c r="R805">
        <f>IF(XLOOKUP([@categorie],tbl_RegulriTVA[categorie],tbl_RegulriTVA[cota_legala],-1)&lt;&gt;[@cota_tva],"TVA GRESIT","")</f>
        <v/>
      </c>
      <c r="S805">
        <f>IF([@data_scadentei]&lt;[@data_factura],"SCADENTA INAINTEA FACTURII","")</f>
        <v/>
      </c>
      <c r="T805">
        <f>IF(NETWORKDAYS.INTL([@data_factura],[@data_factura],1,tbl_SarbatoriLegale[data])=0,"ZI NELUCRATOARE","")</f>
        <v/>
      </c>
      <c r="U805">
        <f>IF([@motiv_anomalie]="","OK","DE INVESTIGAT")</f>
        <v/>
      </c>
      <c r="V805">
        <f>TEXTJOIN("; ",TRUE,[@flag_oras],[@flag_tva],[@flag_scadenta],[@flag_zi])</f>
        <v/>
      </c>
    </row>
    <row r="806">
      <c r="A806" t="inlineStr">
        <is>
          <t>F-2025-00805</t>
        </is>
      </c>
      <c r="B806" s="12" t="n">
        <v>46162</v>
      </c>
      <c r="C806" t="inlineStr">
        <is>
          <t>SC RAPID LOGISTIC SA</t>
        </is>
      </c>
      <c r="D806" t="inlineStr">
        <is>
          <t>Prahova</t>
        </is>
      </c>
      <c r="E806" t="inlineStr">
        <is>
          <t>PRD-009</t>
        </is>
      </c>
      <c r="F806" t="inlineStr">
        <is>
          <t>Multifunctionala laser</t>
        </is>
      </c>
      <c r="G806" t="inlineStr">
        <is>
          <t>Echipamente birou</t>
        </is>
      </c>
      <c r="H806" t="n">
        <v>10</v>
      </c>
      <c r="I806" t="n">
        <v>29.11</v>
      </c>
      <c r="J806" t="n">
        <v>291.1</v>
      </c>
      <c r="K806" s="13" t="n">
        <v>0.19</v>
      </c>
      <c r="L806" t="n">
        <v>55.31</v>
      </c>
      <c r="M806" t="n">
        <v>346.41</v>
      </c>
      <c r="N806" t="inlineStr">
        <is>
          <t>RON</t>
        </is>
      </c>
      <c r="O806" t="inlineStr">
        <is>
          <t>Ploiești</t>
        </is>
      </c>
      <c r="P806" s="12" t="n">
        <v>46192</v>
      </c>
      <c r="Q806">
        <f>IF(COUNTIF(tbl_Localitati[oras_oficial],[@oras])=0,"ORAS NEALINIAT",IF(XLOOKUP([@oras],tbl_Localitati[oras_oficial],tbl_Localitati[judet],"?")&lt;&gt;[@judet],"JUDET NECORESPUNZATOR",""))</f>
        <v/>
      </c>
      <c r="R806">
        <f>IF(XLOOKUP([@categorie],tbl_RegulriTVA[categorie],tbl_RegulriTVA[cota_legala],-1)&lt;&gt;[@cota_tva],"TVA GRESIT","")</f>
        <v/>
      </c>
      <c r="S806">
        <f>IF([@data_scadentei]&lt;[@data_factura],"SCADENTA INAINTEA FACTURII","")</f>
        <v/>
      </c>
      <c r="T806">
        <f>IF(NETWORKDAYS.INTL([@data_factura],[@data_factura],1,tbl_SarbatoriLegale[data])=0,"ZI NELUCRATOARE","")</f>
        <v/>
      </c>
      <c r="U806">
        <f>IF([@motiv_anomalie]="","OK","DE INVESTIGAT")</f>
        <v/>
      </c>
      <c r="V806">
        <f>TEXTJOIN("; ",TRUE,[@flag_oras],[@flag_tva],[@flag_scadenta],[@flag_zi])</f>
        <v/>
      </c>
    </row>
    <row r="807">
      <c r="A807" t="inlineStr">
        <is>
          <t>F-2025-00806</t>
        </is>
      </c>
      <c r="B807" s="12" t="n">
        <v>46059</v>
      </c>
      <c r="C807" t="inlineStr">
        <is>
          <t>SC AROMET TRADING SRL</t>
        </is>
      </c>
      <c r="D807" t="inlineStr">
        <is>
          <t>Alba</t>
        </is>
      </c>
      <c r="E807" t="inlineStr">
        <is>
          <t>PRD-006</t>
        </is>
      </c>
      <c r="F807" t="inlineStr">
        <is>
          <t>Server rack 1U</t>
        </is>
      </c>
      <c r="G807" t="inlineStr">
        <is>
          <t>Hardware IT</t>
        </is>
      </c>
      <c r="H807" t="n">
        <v>5</v>
      </c>
      <c r="I807" t="n">
        <v>762.87</v>
      </c>
      <c r="J807" t="n">
        <v>3814.35</v>
      </c>
      <c r="K807" s="13" t="n">
        <v>0.19</v>
      </c>
      <c r="L807" t="n">
        <v>724.73</v>
      </c>
      <c r="M807" t="n">
        <v>4539.08</v>
      </c>
      <c r="N807" t="inlineStr">
        <is>
          <t>RON</t>
        </is>
      </c>
      <c r="O807" t="inlineStr">
        <is>
          <t>Alba Iulia</t>
        </is>
      </c>
      <c r="P807" s="12" t="n">
        <v>46044</v>
      </c>
      <c r="Q807">
        <f>IF(COUNTIF(tbl_Localitati[oras_oficial],[@oras])=0,"ORAS NEALINIAT",IF(XLOOKUP([@oras],tbl_Localitati[oras_oficial],tbl_Localitati[judet],"?")&lt;&gt;[@judet],"JUDET NECORESPUNZATOR",""))</f>
        <v/>
      </c>
      <c r="R807">
        <f>IF(XLOOKUP([@categorie],tbl_RegulriTVA[categorie],tbl_RegulriTVA[cota_legala],-1)&lt;&gt;[@cota_tva],"TVA GRESIT","")</f>
        <v/>
      </c>
      <c r="S807">
        <f>IF([@data_scadentei]&lt;[@data_factura],"SCADENTA INAINTEA FACTURII","")</f>
        <v/>
      </c>
      <c r="T807">
        <f>IF(NETWORKDAYS.INTL([@data_factura],[@data_factura],1,tbl_SarbatoriLegale[data])=0,"ZI NELUCRATOARE","")</f>
        <v/>
      </c>
      <c r="U807">
        <f>IF([@motiv_anomalie]="","OK","DE INVESTIGAT")</f>
        <v/>
      </c>
      <c r="V807">
        <f>TEXTJOIN("; ",TRUE,[@flag_oras],[@flag_tva],[@flag_scadenta],[@flag_zi])</f>
        <v/>
      </c>
    </row>
    <row r="808">
      <c r="A808" t="inlineStr">
        <is>
          <t>F-2025-00807</t>
        </is>
      </c>
      <c r="B808" s="12" t="n">
        <v>46233</v>
      </c>
      <c r="C808" t="inlineStr">
        <is>
          <t>SC NORDIS DISTRIBUTIE SRL</t>
        </is>
      </c>
      <c r="D808" t="inlineStr">
        <is>
          <t>Constanța</t>
        </is>
      </c>
      <c r="E808" t="inlineStr">
        <is>
          <t>PRD-007</t>
        </is>
      </c>
      <c r="F808" t="inlineStr">
        <is>
          <t>Telefon IP birou</t>
        </is>
      </c>
      <c r="G808" t="inlineStr">
        <is>
          <t>Echipamente birou</t>
        </is>
      </c>
      <c r="H808" t="n">
        <v>5</v>
      </c>
      <c r="I808" t="n">
        <v>172.01</v>
      </c>
      <c r="J808" t="n">
        <v>860.05</v>
      </c>
      <c r="K808" s="13" t="n">
        <v>0.19</v>
      </c>
      <c r="L808" t="n">
        <v>163.41</v>
      </c>
      <c r="M808" t="n">
        <v>1023.46</v>
      </c>
      <c r="N808" t="inlineStr">
        <is>
          <t>RON</t>
        </is>
      </c>
      <c r="O808" t="inlineStr">
        <is>
          <t>Mangalia</t>
        </is>
      </c>
      <c r="P808" s="12" t="n">
        <v>46278</v>
      </c>
      <c r="Q808">
        <f>IF(COUNTIF(tbl_Localitati[oras_oficial],[@oras])=0,"ORAS NEALINIAT",IF(XLOOKUP([@oras],tbl_Localitati[oras_oficial],tbl_Localitati[judet],"?")&lt;&gt;[@judet],"JUDET NECORESPUNZATOR",""))</f>
        <v/>
      </c>
      <c r="R808">
        <f>IF(XLOOKUP([@categorie],tbl_RegulriTVA[categorie],tbl_RegulriTVA[cota_legala],-1)&lt;&gt;[@cota_tva],"TVA GRESIT","")</f>
        <v/>
      </c>
      <c r="S808">
        <f>IF([@data_scadentei]&lt;[@data_factura],"SCADENTA INAINTEA FACTURII","")</f>
        <v/>
      </c>
      <c r="T808">
        <f>IF(NETWORKDAYS.INTL([@data_factura],[@data_factura],1,tbl_SarbatoriLegale[data])=0,"ZI NELUCRATOARE","")</f>
        <v/>
      </c>
      <c r="U808">
        <f>IF([@motiv_anomalie]="","OK","DE INVESTIGAT")</f>
        <v/>
      </c>
      <c r="V808">
        <f>TEXTJOIN("; ",TRUE,[@flag_oras],[@flag_tva],[@flag_scadenta],[@flag_zi])</f>
        <v/>
      </c>
    </row>
    <row r="809">
      <c r="A809" t="inlineStr">
        <is>
          <t>F-2025-00808</t>
        </is>
      </c>
      <c r="B809" s="12" t="n">
        <v>46037</v>
      </c>
      <c r="C809" t="inlineStr">
        <is>
          <t>SC AROMET TRADING SRL</t>
        </is>
      </c>
      <c r="D809" t="inlineStr">
        <is>
          <t>Alba</t>
        </is>
      </c>
      <c r="E809" t="inlineStr">
        <is>
          <t>PRD-009</t>
        </is>
      </c>
      <c r="F809" t="inlineStr">
        <is>
          <t>Monitor 27" 4K</t>
        </is>
      </c>
      <c r="G809" t="inlineStr">
        <is>
          <t>Hardware IT</t>
        </is>
      </c>
      <c r="H809" t="n">
        <v>20</v>
      </c>
      <c r="I809" t="n">
        <v>26.77</v>
      </c>
      <c r="J809" t="n">
        <v>535.4</v>
      </c>
      <c r="K809" s="13" t="n">
        <v>0.19</v>
      </c>
      <c r="L809" t="n">
        <v>101.73</v>
      </c>
      <c r="M809" t="n">
        <v>637.13</v>
      </c>
      <c r="N809" t="inlineStr">
        <is>
          <t>RON</t>
        </is>
      </c>
      <c r="O809" t="inlineStr">
        <is>
          <t>Alba Iulia</t>
        </is>
      </c>
      <c r="P809" s="12" t="n">
        <v>46052</v>
      </c>
      <c r="Q809">
        <f>IF(COUNTIF(tbl_Localitati[oras_oficial],[@oras])=0,"ORAS NEALINIAT",IF(XLOOKUP([@oras],tbl_Localitati[oras_oficial],tbl_Localitati[judet],"?")&lt;&gt;[@judet],"JUDET NECORESPUNZATOR",""))</f>
        <v/>
      </c>
      <c r="R809">
        <f>IF(XLOOKUP([@categorie],tbl_RegulriTVA[categorie],tbl_RegulriTVA[cota_legala],-1)&lt;&gt;[@cota_tva],"TVA GRESIT","")</f>
        <v/>
      </c>
      <c r="S809">
        <f>IF([@data_scadentei]&lt;[@data_factura],"SCADENTA INAINTEA FACTURII","")</f>
        <v/>
      </c>
      <c r="T809">
        <f>IF(NETWORKDAYS.INTL([@data_factura],[@data_factura],1,tbl_SarbatoriLegale[data])=0,"ZI NELUCRATOARE","")</f>
        <v/>
      </c>
      <c r="U809">
        <f>IF([@motiv_anomalie]="","OK","DE INVESTIGAT")</f>
        <v/>
      </c>
      <c r="V809">
        <f>TEXTJOIN("; ",TRUE,[@flag_oras],[@flag_tva],[@flag_scadenta],[@flag_zi])</f>
        <v/>
      </c>
    </row>
    <row r="810">
      <c r="A810" t="inlineStr">
        <is>
          <t>F-2025-00809</t>
        </is>
      </c>
      <c r="B810" s="12" t="n">
        <v>46062</v>
      </c>
      <c r="C810" t="inlineStr">
        <is>
          <t>SC DACTECH SOLUTIONS SRL</t>
        </is>
      </c>
      <c r="D810" t="inlineStr">
        <is>
          <t>Argeș</t>
        </is>
      </c>
      <c r="E810" t="inlineStr">
        <is>
          <t>PRD-005</t>
        </is>
      </c>
      <c r="F810" t="inlineStr">
        <is>
          <t>Suport tehnic anual</t>
        </is>
      </c>
      <c r="G810" t="inlineStr">
        <is>
          <t>Servicii consultanță</t>
        </is>
      </c>
      <c r="H810" t="n">
        <v>1</v>
      </c>
      <c r="I810" t="n">
        <v>258.65</v>
      </c>
      <c r="J810" t="n">
        <v>258.65</v>
      </c>
      <c r="K810" s="13" t="n">
        <v>0.19</v>
      </c>
      <c r="L810" t="n">
        <v>49.14</v>
      </c>
      <c r="M810" t="n">
        <v>307.79</v>
      </c>
      <c r="N810" t="inlineStr">
        <is>
          <t>RON</t>
        </is>
      </c>
      <c r="O810" t="inlineStr">
        <is>
          <t>Pitești</t>
        </is>
      </c>
      <c r="P810" s="12" t="n">
        <v>46107</v>
      </c>
      <c r="Q810">
        <f>IF(COUNTIF(tbl_Localitati[oras_oficial],[@oras])=0,"ORAS NEALINIAT",IF(XLOOKUP([@oras],tbl_Localitati[oras_oficial],tbl_Localitati[judet],"?")&lt;&gt;[@judet],"JUDET NECORESPUNZATOR",""))</f>
        <v/>
      </c>
      <c r="R810">
        <f>IF(XLOOKUP([@categorie],tbl_RegulriTVA[categorie],tbl_RegulriTVA[cota_legala],-1)&lt;&gt;[@cota_tva],"TVA GRESIT","")</f>
        <v/>
      </c>
      <c r="S810">
        <f>IF([@data_scadentei]&lt;[@data_factura],"SCADENTA INAINTEA FACTURII","")</f>
        <v/>
      </c>
      <c r="T810">
        <f>IF(NETWORKDAYS.INTL([@data_factura],[@data_factura],1,tbl_SarbatoriLegale[data])=0,"ZI NELUCRATOARE","")</f>
        <v/>
      </c>
      <c r="U810">
        <f>IF([@motiv_anomalie]="","OK","DE INVESTIGAT")</f>
        <v/>
      </c>
      <c r="V810">
        <f>TEXTJOIN("; ",TRUE,[@flag_oras],[@flag_tva],[@flag_scadenta],[@flag_zi])</f>
        <v/>
      </c>
    </row>
    <row r="811">
      <c r="A811" t="inlineStr">
        <is>
          <t>F-2025-00810</t>
        </is>
      </c>
      <c r="B811" s="12" t="n">
        <v>46034</v>
      </c>
      <c r="C811" t="inlineStr">
        <is>
          <t>SC METALPLAST INVEST SA</t>
        </is>
      </c>
      <c r="D811" t="inlineStr">
        <is>
          <t>Cluj</t>
        </is>
      </c>
      <c r="E811" t="inlineStr">
        <is>
          <t>PRD-005</t>
        </is>
      </c>
      <c r="F811" t="inlineStr">
        <is>
          <t>Telefon IP birou</t>
        </is>
      </c>
      <c r="G811" t="inlineStr">
        <is>
          <t>Echipamente birou</t>
        </is>
      </c>
      <c r="H811" t="n">
        <v>3</v>
      </c>
      <c r="I811" t="n">
        <v>245.36</v>
      </c>
      <c r="J811" t="n">
        <v>736.08</v>
      </c>
      <c r="K811" s="13" t="n">
        <v>0.19</v>
      </c>
      <c r="L811" t="n">
        <v>139.86</v>
      </c>
      <c r="M811" t="n">
        <v>875.9400000000001</v>
      </c>
      <c r="N811" t="inlineStr">
        <is>
          <t>RON</t>
        </is>
      </c>
      <c r="O811" t="inlineStr">
        <is>
          <t>Turda</t>
        </is>
      </c>
      <c r="P811" s="12" t="n">
        <v>46064</v>
      </c>
      <c r="Q811">
        <f>IF(COUNTIF(tbl_Localitati[oras_oficial],[@oras])=0,"ORAS NEALINIAT",IF(XLOOKUP([@oras],tbl_Localitati[oras_oficial],tbl_Localitati[judet],"?")&lt;&gt;[@judet],"JUDET NECORESPUNZATOR",""))</f>
        <v/>
      </c>
      <c r="R811">
        <f>IF(XLOOKUP([@categorie],tbl_RegulriTVA[categorie],tbl_RegulriTVA[cota_legala],-1)&lt;&gt;[@cota_tva],"TVA GRESIT","")</f>
        <v/>
      </c>
      <c r="S811">
        <f>IF([@data_scadentei]&lt;[@data_factura],"SCADENTA INAINTEA FACTURII","")</f>
        <v/>
      </c>
      <c r="T811">
        <f>IF(NETWORKDAYS.INTL([@data_factura],[@data_factura],1,tbl_SarbatoriLegale[data])=0,"ZI NELUCRATOARE","")</f>
        <v/>
      </c>
      <c r="U811">
        <f>IF([@motiv_anomalie]="","OK","DE INVESTIGAT")</f>
        <v/>
      </c>
      <c r="V811">
        <f>TEXTJOIN("; ",TRUE,[@flag_oras],[@flag_tva],[@flag_scadenta],[@flag_zi])</f>
        <v/>
      </c>
    </row>
    <row r="812">
      <c r="A812" t="inlineStr">
        <is>
          <t>F-2025-00811</t>
        </is>
      </c>
      <c r="B812" s="12" t="n">
        <v>46314</v>
      </c>
      <c r="C812" t="inlineStr">
        <is>
          <t>SC DACTECH SOLUTIONS SRL</t>
        </is>
      </c>
      <c r="D812" t="inlineStr">
        <is>
          <t>Argeș</t>
        </is>
      </c>
      <c r="E812" t="inlineStr">
        <is>
          <t>PRD-006</t>
        </is>
      </c>
      <c r="F812" t="inlineStr">
        <is>
          <t>Tocator documente</t>
        </is>
      </c>
      <c r="G812" t="inlineStr">
        <is>
          <t>Echipamente birou</t>
        </is>
      </c>
      <c r="H812" t="n">
        <v>5</v>
      </c>
      <c r="I812" t="n">
        <v>753.1799999999999</v>
      </c>
      <c r="J812" t="n">
        <v>3765.9</v>
      </c>
      <c r="K812" s="13" t="n">
        <v>0.19</v>
      </c>
      <c r="L812" t="n">
        <v>715.52</v>
      </c>
      <c r="M812" t="n">
        <v>4481.42</v>
      </c>
      <c r="N812" t="inlineStr">
        <is>
          <t>RON</t>
        </is>
      </c>
      <c r="O812" t="inlineStr">
        <is>
          <t>Pitești</t>
        </is>
      </c>
      <c r="P812" s="12" t="n">
        <v>46329</v>
      </c>
      <c r="Q812">
        <f>IF(COUNTIF(tbl_Localitati[oras_oficial],[@oras])=0,"ORAS NEALINIAT",IF(XLOOKUP([@oras],tbl_Localitati[oras_oficial],tbl_Localitati[judet],"?")&lt;&gt;[@judet],"JUDET NECORESPUNZATOR",""))</f>
        <v/>
      </c>
      <c r="R812">
        <f>IF(XLOOKUP([@categorie],tbl_RegulriTVA[categorie],tbl_RegulriTVA[cota_legala],-1)&lt;&gt;[@cota_tva],"TVA GRESIT","")</f>
        <v/>
      </c>
      <c r="S812">
        <f>IF([@data_scadentei]&lt;[@data_factura],"SCADENTA INAINTEA FACTURII","")</f>
        <v/>
      </c>
      <c r="T812">
        <f>IF(NETWORKDAYS.INTL([@data_factura],[@data_factura],1,tbl_SarbatoriLegale[data])=0,"ZI NELUCRATOARE","")</f>
        <v/>
      </c>
      <c r="U812">
        <f>IF([@motiv_anomalie]="","OK","DE INVESTIGAT")</f>
        <v/>
      </c>
      <c r="V812">
        <f>TEXTJOIN("; ",TRUE,[@flag_oras],[@flag_tva],[@flag_scadenta],[@flag_zi])</f>
        <v/>
      </c>
    </row>
    <row r="813">
      <c r="A813" t="inlineStr">
        <is>
          <t>F-2025-00812</t>
        </is>
      </c>
      <c r="B813" s="12" t="n">
        <v>46220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Training utilizatori</t>
        </is>
      </c>
      <c r="G813" t="inlineStr">
        <is>
          <t>Servicii consultanță</t>
        </is>
      </c>
      <c r="H813" t="n">
        <v>1</v>
      </c>
      <c r="I813" t="n">
        <v>4057.45</v>
      </c>
      <c r="J813" t="n">
        <v>4057.45</v>
      </c>
      <c r="K813" s="13" t="n">
        <v>0.19</v>
      </c>
      <c r="L813" t="n">
        <v>770.92</v>
      </c>
      <c r="M813" t="n">
        <v>4828.37</v>
      </c>
      <c r="N813" t="inlineStr">
        <is>
          <t>RON</t>
        </is>
      </c>
      <c r="O813" t="inlineStr">
        <is>
          <t>Sibiu</t>
        </is>
      </c>
      <c r="P813" s="12" t="n">
        <v>46250</v>
      </c>
      <c r="Q813">
        <f>IF(COUNTIF(tbl_Localitati[oras_oficial],[@oras])=0,"ORAS NEALINIAT",IF(XLOOKUP([@oras],tbl_Localitati[oras_oficial],tbl_Localitati[judet],"?")&lt;&gt;[@judet],"JUDET NECORESPUNZATOR",""))</f>
        <v/>
      </c>
      <c r="R813">
        <f>IF(XLOOKUP([@categorie],tbl_RegulriTVA[categorie],tbl_RegulriTVA[cota_legala],-1)&lt;&gt;[@cota_tva],"TVA GRESIT","")</f>
        <v/>
      </c>
      <c r="S813">
        <f>IF([@data_scadentei]&lt;[@data_factura],"SCADENTA INAINTEA FACTURII","")</f>
        <v/>
      </c>
      <c r="T813">
        <f>IF(NETWORKDAYS.INTL([@data_factura],[@data_factura],1,tbl_SarbatoriLegale[data])=0,"ZI NELUCRATOARE","")</f>
        <v/>
      </c>
      <c r="U813">
        <f>IF([@motiv_anomalie]="","OK","DE INVESTIGAT")</f>
        <v/>
      </c>
      <c r="V813">
        <f>TEXTJOIN("; ",TRUE,[@flag_oras],[@flag_tva],[@flag_scadenta],[@flag_zi])</f>
        <v/>
      </c>
    </row>
    <row r="814">
      <c r="A814" t="inlineStr">
        <is>
          <t>F-2025-00813</t>
        </is>
      </c>
      <c r="B814" s="12" t="n">
        <v>46078</v>
      </c>
      <c r="C814" t="inlineStr">
        <is>
          <t>SC UNIFOOD DISTRIBUTION SA</t>
        </is>
      </c>
      <c r="D814" t="inlineStr">
        <is>
          <t>Sibiu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 IT</t>
        </is>
      </c>
      <c r="H814" t="n">
        <v>1</v>
      </c>
      <c r="I814" t="n">
        <v>1100.96</v>
      </c>
      <c r="J814" t="n">
        <v>1100.96</v>
      </c>
      <c r="K814" s="13" t="n">
        <v>0.09</v>
      </c>
      <c r="L814" t="n">
        <v>99.09</v>
      </c>
      <c r="M814" t="n">
        <v>1200.05</v>
      </c>
      <c r="N814" t="inlineStr">
        <is>
          <t>RON</t>
        </is>
      </c>
      <c r="O814" t="inlineStr">
        <is>
          <t>Mediaș</t>
        </is>
      </c>
      <c r="P814" s="12" t="n">
        <v>46108</v>
      </c>
      <c r="Q814">
        <f>IF(COUNTIF(tbl_Localitati[oras_oficial],[@oras])=0,"ORAS NEALINIAT",IF(XLOOKUP([@oras],tbl_Localitati[oras_oficial],tbl_Localitati[judet],"?")&lt;&gt;[@judet],"JUDET NECORESPUNZATOR",""))</f>
        <v/>
      </c>
      <c r="R814">
        <f>IF(XLOOKUP([@categorie],tbl_RegulriTVA[categorie],tbl_RegulriTVA[cota_legala],-1)&lt;&gt;[@cota_tva],"TVA GRESIT","")</f>
        <v/>
      </c>
      <c r="S814">
        <f>IF([@data_scadentei]&lt;[@data_factura],"SCADENTA INAINTEA FACTURII","")</f>
        <v/>
      </c>
      <c r="T814">
        <f>IF(NETWORKDAYS.INTL([@data_factura],[@data_factura],1,tbl_SarbatoriLegale[data])=0,"ZI NELUCRATOARE","")</f>
        <v/>
      </c>
      <c r="U814">
        <f>IF([@motiv_anomalie]="","OK","DE INVESTIGAT")</f>
        <v/>
      </c>
      <c r="V814">
        <f>TEXTJOIN("; ",TRUE,[@flag_oras],[@flag_tva],[@flag_scadenta],[@flag_zi])</f>
        <v/>
      </c>
    </row>
    <row r="815">
      <c r="A815" t="inlineStr">
        <is>
          <t>F-2025-00814</t>
        </is>
      </c>
      <c r="B815" s="12" t="n">
        <v>46211</v>
      </c>
      <c r="C815" t="inlineStr">
        <is>
          <t>SC METALPLAST INVEST SA</t>
        </is>
      </c>
      <c r="D815" t="inlineStr">
        <is>
          <t>Cluj</t>
        </is>
      </c>
      <c r="E815" t="inlineStr">
        <is>
          <t>PRD-005</t>
        </is>
      </c>
      <c r="F815" t="inlineStr">
        <is>
          <t>Licenta Office 365 anuala</t>
        </is>
      </c>
      <c r="G815" t="inlineStr">
        <is>
          <t>Licențe software</t>
        </is>
      </c>
      <c r="H815" t="n">
        <v>3</v>
      </c>
      <c r="I815" t="n">
        <v>251.44</v>
      </c>
      <c r="J815" t="n">
        <v>754.3200000000001</v>
      </c>
      <c r="K815" s="13" t="n">
        <v>0.19</v>
      </c>
      <c r="L815" t="n">
        <v>143.32</v>
      </c>
      <c r="M815" t="n">
        <v>897.64</v>
      </c>
      <c r="N815" t="inlineStr">
        <is>
          <t>RON</t>
        </is>
      </c>
      <c r="O815" t="inlineStr">
        <is>
          <t>Turda</t>
        </is>
      </c>
      <c r="P815" s="12" t="n">
        <v>46241</v>
      </c>
      <c r="Q815">
        <f>IF(COUNTIF(tbl_Localitati[oras_oficial],[@oras])=0,"ORAS NEALINIAT",IF(XLOOKUP([@oras],tbl_Localitati[oras_oficial],tbl_Localitati[judet],"?")&lt;&gt;[@judet],"JUDET NECORESPUNZATOR",""))</f>
        <v/>
      </c>
      <c r="R815">
        <f>IF(XLOOKUP([@categorie],tbl_RegulriTVA[categorie],tbl_RegulriTVA[cota_legala],-1)&lt;&gt;[@cota_tva],"TVA GRESIT","")</f>
        <v/>
      </c>
      <c r="S815">
        <f>IF([@data_scadentei]&lt;[@data_factura],"SCADENTA INAINTEA FACTURII","")</f>
        <v/>
      </c>
      <c r="T815">
        <f>IF(NETWORKDAYS.INTL([@data_factura],[@data_factura],1,tbl_SarbatoriLegale[data])=0,"ZI NELUCRATOARE","")</f>
        <v/>
      </c>
      <c r="U815">
        <f>IF([@motiv_anomalie]="","OK","DE INVESTIGAT")</f>
        <v/>
      </c>
      <c r="V815">
        <f>TEXTJOIN("; ",TRUE,[@flag_oras],[@flag_tva],[@flag_scadenta],[@flag_zi])</f>
        <v/>
      </c>
    </row>
    <row r="816">
      <c r="A816" t="inlineStr">
        <is>
          <t>F-2025-00815</t>
        </is>
      </c>
      <c r="B816" s="12" t="n">
        <v>46190</v>
      </c>
      <c r="C816" t="inlineStr">
        <is>
          <t>SC METALPLAST INVEST SA</t>
        </is>
      </c>
      <c r="D816" t="inlineStr">
        <is>
          <t>Cluj</t>
        </is>
      </c>
      <c r="E816" t="inlineStr">
        <is>
          <t>PRD-012</t>
        </is>
      </c>
      <c r="F816" t="inlineStr">
        <is>
          <t>Server rack 1U</t>
        </is>
      </c>
      <c r="G816" t="inlineStr">
        <is>
          <t>Hardware IT</t>
        </is>
      </c>
      <c r="H816" t="n">
        <v>1</v>
      </c>
      <c r="I816" t="n">
        <v>177.13</v>
      </c>
      <c r="J816" t="n">
        <v>177.13</v>
      </c>
      <c r="K816" s="13" t="n">
        <v>0.19</v>
      </c>
      <c r="L816" t="n">
        <v>33.65</v>
      </c>
      <c r="M816" t="n">
        <v>210.78</v>
      </c>
      <c r="N816" t="inlineStr">
        <is>
          <t>RON</t>
        </is>
      </c>
      <c r="O816" t="inlineStr">
        <is>
          <t>Turda</t>
        </is>
      </c>
      <c r="P816" s="12" t="n">
        <v>46220</v>
      </c>
      <c r="Q816">
        <f>IF(COUNTIF(tbl_Localitati[oras_oficial],[@oras])=0,"ORAS NEALINIAT",IF(XLOOKUP([@oras],tbl_Localitati[oras_oficial],tbl_Localitati[judet],"?")&lt;&gt;[@judet],"JUDET NECORESPUNZATOR",""))</f>
        <v/>
      </c>
      <c r="R816">
        <f>IF(XLOOKUP([@categorie],tbl_RegulriTVA[categorie],tbl_RegulriTVA[cota_legala],-1)&lt;&gt;[@cota_tva],"TVA GRESIT","")</f>
        <v/>
      </c>
      <c r="S816">
        <f>IF([@data_scadentei]&lt;[@data_factura],"SCADENTA INAINTEA FACTURII","")</f>
        <v/>
      </c>
      <c r="T816">
        <f>IF(NETWORKDAYS.INTL([@data_factura],[@data_factura],1,tbl_SarbatoriLegale[data])=0,"ZI NELUCRATOARE","")</f>
        <v/>
      </c>
      <c r="U816">
        <f>IF([@motiv_anomalie]="","OK","DE INVESTIGAT")</f>
        <v/>
      </c>
      <c r="V816">
        <f>TEXTJOIN("; ",TRUE,[@flag_oras],[@flag_tva],[@flag_scadenta],[@flag_zi])</f>
        <v/>
      </c>
    </row>
    <row r="817">
      <c r="A817" t="inlineStr">
        <is>
          <t>F-2025-00816</t>
        </is>
      </c>
      <c r="B817" s="12" t="n">
        <v>46206</v>
      </c>
      <c r="C817" t="inlineStr">
        <is>
          <t>SC ZENITH AUTO SRL</t>
        </is>
      </c>
      <c r="D817" t="inlineStr">
        <is>
          <t>București</t>
        </is>
      </c>
      <c r="E817" t="inlineStr">
        <is>
          <t>PRD-001</t>
        </is>
      </c>
      <c r="F817" t="inlineStr">
        <is>
          <t>Licenta ERP contabilitate</t>
        </is>
      </c>
      <c r="G817" t="inlineStr">
        <is>
          <t>Licențe software</t>
        </is>
      </c>
      <c r="H817" t="n">
        <v>1</v>
      </c>
      <c r="I817" t="n">
        <v>2483.37</v>
      </c>
      <c r="J817" t="n">
        <v>2483.37</v>
      </c>
      <c r="K817" s="13" t="n">
        <v>0.19</v>
      </c>
      <c r="L817" t="n">
        <v>471.84</v>
      </c>
      <c r="M817" t="n">
        <v>2955.21</v>
      </c>
      <c r="N817" t="inlineStr">
        <is>
          <t>RON</t>
        </is>
      </c>
      <c r="O817" t="inlineStr">
        <is>
          <t>București</t>
        </is>
      </c>
      <c r="P817" s="12" t="n">
        <v>46221</v>
      </c>
      <c r="Q817">
        <f>IF(COUNTIF(tbl_Localitati[oras_oficial],[@oras])=0,"ORAS NEALINIAT",IF(XLOOKUP([@oras],tbl_Localitati[oras_oficial],tbl_Localitati[judet],"?")&lt;&gt;[@judet],"JUDET NECORESPUNZATOR",""))</f>
        <v/>
      </c>
      <c r="R817">
        <f>IF(XLOOKUP([@categorie],tbl_RegulriTVA[categorie],tbl_RegulriTVA[cota_legala],-1)&lt;&gt;[@cota_tva],"TVA GRESIT","")</f>
        <v/>
      </c>
      <c r="S817">
        <f>IF([@data_scadentei]&lt;[@data_factura],"SCADENTA INAINTEA FACTURII","")</f>
        <v/>
      </c>
      <c r="T817">
        <f>IF(NETWORKDAYS.INTL([@data_factura],[@data_factura],1,tbl_SarbatoriLegale[data])=0,"ZI NELUCRATOARE","")</f>
        <v/>
      </c>
      <c r="U817">
        <f>IF([@motiv_anomalie]="","OK","DE INVESTIGAT")</f>
        <v/>
      </c>
      <c r="V817">
        <f>TEXTJOIN("; ",TRUE,[@flag_oras],[@flag_tva],[@flag_scadenta],[@flag_zi])</f>
        <v/>
      </c>
    </row>
    <row r="818">
      <c r="A818" t="inlineStr">
        <is>
          <t>F-2025-00817</t>
        </is>
      </c>
      <c r="B818" s="12" t="n">
        <v>46374</v>
      </c>
      <c r="C818" t="inlineStr">
        <is>
          <t>SC AROMET TRADING SRL</t>
        </is>
      </c>
      <c r="D818" t="inlineStr">
        <is>
          <t>Alba</t>
        </is>
      </c>
      <c r="E818" t="inlineStr">
        <is>
          <t>PRD-010</t>
        </is>
      </c>
      <c r="F818" t="inlineStr">
        <is>
          <t>Abonament suita cloud</t>
        </is>
      </c>
      <c r="G818" t="inlineStr">
        <is>
          <t>Licențe software</t>
        </is>
      </c>
      <c r="H818" t="n">
        <v>10</v>
      </c>
      <c r="I818" t="n">
        <v>367.35</v>
      </c>
      <c r="J818" t="n">
        <v>3673.5</v>
      </c>
      <c r="K818" s="13" t="n">
        <v>0.19</v>
      </c>
      <c r="L818" t="n">
        <v>697.97</v>
      </c>
      <c r="M818" t="n">
        <v>4371.47</v>
      </c>
      <c r="N818" t="inlineStr">
        <is>
          <t>RON</t>
        </is>
      </c>
      <c r="O818" t="inlineStr">
        <is>
          <t>Alba Iulia</t>
        </is>
      </c>
      <c r="P818" s="12" t="n">
        <v>46404</v>
      </c>
      <c r="Q818">
        <f>IF(COUNTIF(tbl_Localitati[oras_oficial],[@oras])=0,"ORAS NEALINIAT",IF(XLOOKUP([@oras],tbl_Localitati[oras_oficial],tbl_Localitati[judet],"?")&lt;&gt;[@judet],"JUDET NECORESPUNZATOR",""))</f>
        <v/>
      </c>
      <c r="R818">
        <f>IF(XLOOKUP([@categorie],tbl_RegulriTVA[categorie],tbl_RegulriTVA[cota_legala],-1)&lt;&gt;[@cota_tva],"TVA GRESIT","")</f>
        <v/>
      </c>
      <c r="S818">
        <f>IF([@data_scadentei]&lt;[@data_factura],"SCADENTA INAINTEA FACTURII","")</f>
        <v/>
      </c>
      <c r="T818">
        <f>IF(NETWORKDAYS.INTL([@data_factura],[@data_factura],1,tbl_SarbatoriLegale[data])=0,"ZI NELUCRATOARE","")</f>
        <v/>
      </c>
      <c r="U818">
        <f>IF([@motiv_anomalie]="","OK","DE INVESTIGAT")</f>
        <v/>
      </c>
      <c r="V818">
        <f>TEXTJOIN("; ",TRUE,[@flag_oras],[@flag_tva],[@flag_scadenta],[@flag_zi])</f>
        <v/>
      </c>
    </row>
    <row r="819">
      <c r="A819" t="inlineStr">
        <is>
          <t>F-2025-00818</t>
        </is>
      </c>
      <c r="B819" s="12" t="n">
        <v>46254</v>
      </c>
      <c r="C819" t="inlineStr">
        <is>
          <t>SC AROMET TRADING SRL</t>
        </is>
      </c>
      <c r="D819" t="inlineStr">
        <is>
          <t>Alba</t>
        </is>
      </c>
      <c r="E819" t="inlineStr">
        <is>
          <t>PRD-002</t>
        </is>
      </c>
      <c r="F819" t="inlineStr">
        <is>
          <t>Training utilizatori</t>
        </is>
      </c>
      <c r="G819" t="inlineStr">
        <is>
          <t>Servicii consultanță</t>
        </is>
      </c>
      <c r="H819" t="n">
        <v>1</v>
      </c>
      <c r="I819" t="n">
        <v>1136</v>
      </c>
      <c r="J819" t="n">
        <v>1136</v>
      </c>
      <c r="K819" s="13" t="n">
        <v>0.05</v>
      </c>
      <c r="L819" t="n">
        <v>56.8</v>
      </c>
      <c r="M819" t="n">
        <v>1192.8</v>
      </c>
      <c r="N819" t="inlineStr">
        <is>
          <t>RON</t>
        </is>
      </c>
      <c r="O819" t="inlineStr">
        <is>
          <t>Alba Iulia</t>
        </is>
      </c>
      <c r="P819" s="12" t="n">
        <v>46284</v>
      </c>
      <c r="Q819">
        <f>IF(COUNTIF(tbl_Localitati[oras_oficial],[@oras])=0,"ORAS NEALINIAT",IF(XLOOKUP([@oras],tbl_Localitati[oras_oficial],tbl_Localitati[judet],"?")&lt;&gt;[@judet],"JUDET NECORESPUNZATOR",""))</f>
        <v/>
      </c>
      <c r="R819">
        <f>IF(XLOOKUP([@categorie],tbl_RegulriTVA[categorie],tbl_RegulriTVA[cota_legala],-1)&lt;&gt;[@cota_tva],"TVA GRESIT","")</f>
        <v/>
      </c>
      <c r="S819">
        <f>IF([@data_scadentei]&lt;[@data_factura],"SCADENTA INAINTEA FACTURII","")</f>
        <v/>
      </c>
      <c r="T819">
        <f>IF(NETWORKDAYS.INTL([@data_factura],[@data_factura],1,tbl_SarbatoriLegale[data])=0,"ZI NELUCRATOARE","")</f>
        <v/>
      </c>
      <c r="U819">
        <f>IF([@motiv_anomalie]="","OK","DE INVESTIGAT")</f>
        <v/>
      </c>
      <c r="V819">
        <f>TEXTJOIN("; ",TRUE,[@flag_oras],[@flag_tva],[@flag_scadenta],[@flag_zi])</f>
        <v/>
      </c>
    </row>
    <row r="820">
      <c r="A820" t="inlineStr">
        <is>
          <t>F-2025-00819</t>
        </is>
      </c>
      <c r="B820" s="12" t="n">
        <v>46077</v>
      </c>
      <c r="C820" t="inlineStr">
        <is>
          <t>SC INTEGROMED SA</t>
        </is>
      </c>
      <c r="D820" t="inlineStr">
        <is>
          <t>Cluj</t>
        </is>
      </c>
      <c r="E820" t="inlineStr">
        <is>
          <t>PRD-008</t>
        </is>
      </c>
      <c r="F820" t="inlineStr">
        <is>
          <t>Laptop business 15"</t>
        </is>
      </c>
      <c r="G820" t="inlineStr">
        <is>
          <t>Hardware IT</t>
        </is>
      </c>
      <c r="H820" t="n">
        <v>10</v>
      </c>
      <c r="I820" t="n">
        <v>434.88</v>
      </c>
      <c r="J820" t="n">
        <v>4348.8</v>
      </c>
      <c r="K820" s="13" t="n">
        <v>0.19</v>
      </c>
      <c r="L820" t="n">
        <v>826.27</v>
      </c>
      <c r="M820" t="n">
        <v>5175.07</v>
      </c>
      <c r="N820" t="inlineStr">
        <is>
          <t>RON</t>
        </is>
      </c>
      <c r="O820" t="inlineStr">
        <is>
          <t>Cluj-Napoca</t>
        </is>
      </c>
      <c r="P820" s="12" t="n">
        <v>46107</v>
      </c>
      <c r="Q820">
        <f>IF(COUNTIF(tbl_Localitati[oras_oficial],[@oras])=0,"ORAS NEALINIAT",IF(XLOOKUP([@oras],tbl_Localitati[oras_oficial],tbl_Localitati[judet],"?")&lt;&gt;[@judet],"JUDET NECORESPUNZATOR",""))</f>
        <v/>
      </c>
      <c r="R820">
        <f>IF(XLOOKUP([@categorie],tbl_RegulriTVA[categorie],tbl_RegulriTVA[cota_legala],-1)&lt;&gt;[@cota_tva],"TVA GRESIT","")</f>
        <v/>
      </c>
      <c r="S820">
        <f>IF([@data_scadentei]&lt;[@data_factura],"SCADENTA INAINTEA FACTURII","")</f>
        <v/>
      </c>
      <c r="T820">
        <f>IF(NETWORKDAYS.INTL([@data_factura],[@data_factura],1,tbl_SarbatoriLegale[data])=0,"ZI NELUCRATOARE","")</f>
        <v/>
      </c>
      <c r="U820">
        <f>IF([@motiv_anomalie]="","OK","DE INVESTIGAT")</f>
        <v/>
      </c>
      <c r="V820">
        <f>TEXTJOIN("; ",TRUE,[@flag_oras],[@flag_tva],[@flag_scadenta],[@flag_zi])</f>
        <v/>
      </c>
    </row>
    <row r="821">
      <c r="A821" t="inlineStr">
        <is>
          <t>F-2025-00820</t>
        </is>
      </c>
      <c r="B821" s="12" t="n">
        <v>46153</v>
      </c>
      <c r="C821" t="inlineStr">
        <is>
          <t>SC OMEGA SOFT SRL</t>
        </is>
      </c>
      <c r="D821" t="inlineStr">
        <is>
          <t>Dolj</t>
        </is>
      </c>
      <c r="E821" t="inlineStr">
        <is>
          <t>PRD-006</t>
        </is>
      </c>
      <c r="F821" t="inlineStr">
        <is>
          <t>Telefon IP birou</t>
        </is>
      </c>
      <c r="G821" t="inlineStr">
        <is>
          <t>Echipamente birou</t>
        </is>
      </c>
      <c r="H821" t="n">
        <v>25</v>
      </c>
      <c r="I821" t="n">
        <v>716.17</v>
      </c>
      <c r="J821" t="n">
        <v>17904.25</v>
      </c>
      <c r="K821" s="13" t="n">
        <v>0.19</v>
      </c>
      <c r="L821" t="n">
        <v>3401.81</v>
      </c>
      <c r="M821" t="n">
        <v>21306.06</v>
      </c>
      <c r="N821" t="inlineStr">
        <is>
          <t>RON</t>
        </is>
      </c>
      <c r="O821" t="inlineStr">
        <is>
          <t>Craiova</t>
        </is>
      </c>
      <c r="P821" s="12" t="n">
        <v>46198</v>
      </c>
      <c r="Q821">
        <f>IF(COUNTIF(tbl_Localitati[oras_oficial],[@oras])=0,"ORAS NEALINIAT",IF(XLOOKUP([@oras],tbl_Localitati[oras_oficial],tbl_Localitati[judet],"?")&lt;&gt;[@judet],"JUDET NECORESPUNZATOR",""))</f>
        <v/>
      </c>
      <c r="R821">
        <f>IF(XLOOKUP([@categorie],tbl_RegulriTVA[categorie],tbl_RegulriTVA[cota_legala],-1)&lt;&gt;[@cota_tva],"TVA GRESIT","")</f>
        <v/>
      </c>
      <c r="S821">
        <f>IF([@data_scadentei]&lt;[@data_factura],"SCADENTA INAINTEA FACTURII","")</f>
        <v/>
      </c>
      <c r="T821">
        <f>IF(NETWORKDAYS.INTL([@data_factura],[@data_factura],1,tbl_SarbatoriLegale[data])=0,"ZI NELUCRATOARE","")</f>
        <v/>
      </c>
      <c r="U821">
        <f>IF([@motiv_anomalie]="","OK","DE INVESTIGAT")</f>
        <v/>
      </c>
      <c r="V821">
        <f>TEXTJOIN("; ",TRUE,[@flag_oras],[@flag_tva],[@flag_scadenta],[@flag_zi])</f>
        <v/>
      </c>
    </row>
    <row r="822">
      <c r="A822" t="inlineStr">
        <is>
          <t>F-2025-00821</t>
        </is>
      </c>
      <c r="B822" s="12" t="n">
        <v>46191</v>
      </c>
      <c r="C822" t="inlineStr">
        <is>
          <t>SC AROMET TRADING SRL</t>
        </is>
      </c>
      <c r="D822" t="inlineStr">
        <is>
          <t>Alba</t>
        </is>
      </c>
      <c r="E822" t="inlineStr">
        <is>
          <t>PRD-011</t>
        </is>
      </c>
      <c r="F822" t="inlineStr">
        <is>
          <t>Abonament suita cloud</t>
        </is>
      </c>
      <c r="G822" t="inlineStr">
        <is>
          <t>Licențe software</t>
        </is>
      </c>
      <c r="H822" t="n">
        <v>20</v>
      </c>
      <c r="I822" t="n">
        <v>43.21</v>
      </c>
      <c r="J822" t="n">
        <v>864.2</v>
      </c>
      <c r="K822" s="13" t="n">
        <v>0.19</v>
      </c>
      <c r="L822" t="n">
        <v>164.2</v>
      </c>
      <c r="M822" t="n">
        <v>1028.4</v>
      </c>
      <c r="N822" t="inlineStr">
        <is>
          <t>RON</t>
        </is>
      </c>
      <c r="O822" t="inlineStr">
        <is>
          <t>Alba Iulia</t>
        </is>
      </c>
      <c r="P822" s="12" t="n">
        <v>46221</v>
      </c>
      <c r="Q822">
        <f>IF(COUNTIF(tbl_Localitati[oras_oficial],[@oras])=0,"ORAS NEALINIAT",IF(XLOOKUP([@oras],tbl_Localitati[oras_oficial],tbl_Localitati[judet],"?")&lt;&gt;[@judet],"JUDET NECORESPUNZATOR",""))</f>
        <v/>
      </c>
      <c r="R822">
        <f>IF(XLOOKUP([@categorie],tbl_RegulriTVA[categorie],tbl_RegulriTVA[cota_legala],-1)&lt;&gt;[@cota_tva],"TVA GRESIT","")</f>
        <v/>
      </c>
      <c r="S822">
        <f>IF([@data_scadentei]&lt;[@data_factura],"SCADENTA INAINTEA FACTURII","")</f>
        <v/>
      </c>
      <c r="T822">
        <f>IF(NETWORKDAYS.INTL([@data_factura],[@data_factura],1,tbl_SarbatoriLegale[data])=0,"ZI NELUCRATOARE","")</f>
        <v/>
      </c>
      <c r="U822">
        <f>IF([@motiv_anomalie]="","OK","DE INVESTIGAT")</f>
        <v/>
      </c>
      <c r="V822">
        <f>TEXTJOIN("; ",TRUE,[@flag_oras],[@flag_tva],[@flag_scadenta],[@flag_zi])</f>
        <v/>
      </c>
    </row>
    <row r="823">
      <c r="A823" t="inlineStr">
        <is>
          <t>F-2025-00822</t>
        </is>
      </c>
      <c r="B823" s="12" t="n">
        <v>46387</v>
      </c>
      <c r="C823" t="inlineStr">
        <is>
          <t>SC AROMET TRADING SRL</t>
        </is>
      </c>
      <c r="D823" t="inlineStr">
        <is>
          <t>Alba</t>
        </is>
      </c>
      <c r="E823" t="inlineStr">
        <is>
          <t>PRD-009</t>
        </is>
      </c>
      <c r="F823" t="inlineStr">
        <is>
          <t>Apa plata bax</t>
        </is>
      </c>
      <c r="G823" t="inlineStr">
        <is>
          <t>Alimente</t>
        </is>
      </c>
      <c r="H823" t="n">
        <v>10</v>
      </c>
      <c r="I823" t="n">
        <v>27.29</v>
      </c>
      <c r="J823" t="n">
        <v>272.9</v>
      </c>
      <c r="K823" s="13" t="n">
        <v>0.09</v>
      </c>
      <c r="L823" t="n">
        <v>24.56</v>
      </c>
      <c r="M823" t="n">
        <v>297.46</v>
      </c>
      <c r="N823" t="inlineStr">
        <is>
          <t>RON</t>
        </is>
      </c>
      <c r="O823" t="inlineStr">
        <is>
          <t>Alba Iulia</t>
        </is>
      </c>
      <c r="P823" s="12" t="n">
        <v>46432</v>
      </c>
      <c r="Q823">
        <f>IF(COUNTIF(tbl_Localitati[oras_oficial],[@oras])=0,"ORAS NEALINIAT",IF(XLOOKUP([@oras],tbl_Localitati[oras_oficial],tbl_Localitati[judet],"?")&lt;&gt;[@judet],"JUDET NECORESPUNZATOR",""))</f>
        <v/>
      </c>
      <c r="R823">
        <f>IF(XLOOKUP([@categorie],tbl_RegulriTVA[categorie],tbl_RegulriTVA[cota_legala],-1)&lt;&gt;[@cota_tva],"TVA GRESIT","")</f>
        <v/>
      </c>
      <c r="S823">
        <f>IF([@data_scadentei]&lt;[@data_factura],"SCADENTA INAINTEA FACTURII","")</f>
        <v/>
      </c>
      <c r="T823">
        <f>IF(NETWORKDAYS.INTL([@data_factura],[@data_factura],1,tbl_SarbatoriLegale[data])=0,"ZI NELUCRATOARE","")</f>
        <v/>
      </c>
      <c r="U823">
        <f>IF([@motiv_anomalie]="","OK","DE INVESTIGAT")</f>
        <v/>
      </c>
      <c r="V823">
        <f>TEXTJOIN("; ",TRUE,[@flag_oras],[@flag_tva],[@flag_scadenta],[@flag_zi])</f>
        <v/>
      </c>
    </row>
    <row r="824">
      <c r="A824" t="inlineStr">
        <is>
          <t>F-2025-00823</t>
        </is>
      </c>
      <c r="B824" s="12" t="n">
        <v>46148</v>
      </c>
      <c r="C824" t="inlineStr">
        <is>
          <t>SC AROMET TRADING SRL</t>
        </is>
      </c>
      <c r="D824" t="inlineStr">
        <is>
          <t>Alba</t>
        </is>
      </c>
      <c r="E824" t="inlineStr">
        <is>
          <t>PRD-006</t>
        </is>
      </c>
      <c r="F824" t="inlineStr">
        <is>
          <t>Licenta antivirus enterprise</t>
        </is>
      </c>
      <c r="G824" t="inlineStr">
        <is>
          <t>Licențe software</t>
        </is>
      </c>
      <c r="H824" t="n">
        <v>1</v>
      </c>
      <c r="I824" t="n">
        <v>716.37</v>
      </c>
      <c r="J824" t="n">
        <v>716.37</v>
      </c>
      <c r="K824" s="13" t="n">
        <v>0.19</v>
      </c>
      <c r="L824" t="n">
        <v>136.11</v>
      </c>
      <c r="M824" t="n">
        <v>852.48</v>
      </c>
      <c r="N824" t="inlineStr">
        <is>
          <t>RON</t>
        </is>
      </c>
      <c r="O824" t="inlineStr">
        <is>
          <t>Alba Iulia</t>
        </is>
      </c>
      <c r="P824" s="12" t="n">
        <v>46193</v>
      </c>
      <c r="Q824">
        <f>IF(COUNTIF(tbl_Localitati[oras_oficial],[@oras])=0,"ORAS NEALINIAT",IF(XLOOKUP([@oras],tbl_Localitati[oras_oficial],tbl_Localitati[judet],"?")&lt;&gt;[@judet],"JUDET NECORESPUNZATOR",""))</f>
        <v/>
      </c>
      <c r="R824">
        <f>IF(XLOOKUP([@categorie],tbl_RegulriTVA[categorie],tbl_RegulriTVA[cota_legala],-1)&lt;&gt;[@cota_tva],"TVA GRESIT","")</f>
        <v/>
      </c>
      <c r="S824">
        <f>IF([@data_scadentei]&lt;[@data_factura],"SCADENTA INAINTEA FACTURII","")</f>
        <v/>
      </c>
      <c r="T824">
        <f>IF(NETWORKDAYS.INTL([@data_factura],[@data_factura],1,tbl_SarbatoriLegale[data])=0,"ZI NELUCRATOARE","")</f>
        <v/>
      </c>
      <c r="U824">
        <f>IF([@motiv_anomalie]="","OK","DE INVESTIGAT")</f>
        <v/>
      </c>
      <c r="V824">
        <f>TEXTJOIN("; ",TRUE,[@flag_oras],[@flag_tva],[@flag_scadenta],[@flag_zi])</f>
        <v/>
      </c>
    </row>
    <row r="825">
      <c r="A825" t="inlineStr">
        <is>
          <t>F-2025-00824</t>
        </is>
      </c>
      <c r="B825" s="12" t="n">
        <v>46146</v>
      </c>
      <c r="C825" t="inlineStr">
        <is>
          <t>SC INTEGROMED SA</t>
        </is>
      </c>
      <c r="D825" t="inlineStr">
        <is>
          <t>Cluj</t>
        </is>
      </c>
      <c r="E825" t="inlineStr">
        <is>
          <t>PRD-009</t>
        </is>
      </c>
      <c r="F825" t="inlineStr">
        <is>
          <t>Telefon IP birou</t>
        </is>
      </c>
      <c r="G825" t="inlineStr">
        <is>
          <t>Echipamente birou</t>
        </is>
      </c>
      <c r="H825" t="n">
        <v>50</v>
      </c>
      <c r="I825" t="n">
        <v>26.72</v>
      </c>
      <c r="J825" t="n">
        <v>1336</v>
      </c>
      <c r="K825" s="13" t="n">
        <v>0.19</v>
      </c>
      <c r="L825" t="n">
        <v>253.84</v>
      </c>
      <c r="M825" t="n">
        <v>1589.84</v>
      </c>
      <c r="N825" t="inlineStr">
        <is>
          <t>RON</t>
        </is>
      </c>
      <c r="O825" t="inlineStr">
        <is>
          <t>Cluj-Napoca</t>
        </is>
      </c>
      <c r="P825" s="12" t="n">
        <v>46176</v>
      </c>
      <c r="Q825">
        <f>IF(COUNTIF(tbl_Localitati[oras_oficial],[@oras])=0,"ORAS NEALINIAT",IF(XLOOKUP([@oras],tbl_Localitati[oras_oficial],tbl_Localitati[judet],"?")&lt;&gt;[@judet],"JUDET NECORESPUNZATOR",""))</f>
        <v/>
      </c>
      <c r="R825">
        <f>IF(XLOOKUP([@categorie],tbl_RegulriTVA[categorie],tbl_RegulriTVA[cota_legala],-1)&lt;&gt;[@cota_tva],"TVA GRESIT","")</f>
        <v/>
      </c>
      <c r="S825">
        <f>IF([@data_scadentei]&lt;[@data_factura],"SCADENTA INAINTEA FACTURII","")</f>
        <v/>
      </c>
      <c r="T825">
        <f>IF(NETWORKDAYS.INTL([@data_factura],[@data_factura],1,tbl_SarbatoriLegale[data])=0,"ZI NELUCRATOARE","")</f>
        <v/>
      </c>
      <c r="U825">
        <f>IF([@motiv_anomalie]="","OK","DE INVESTIGAT")</f>
        <v/>
      </c>
      <c r="V825">
        <f>TEXTJOIN("; ",TRUE,[@flag_oras],[@flag_tva],[@flag_scadenta],[@flag_zi])</f>
        <v/>
      </c>
    </row>
    <row r="826">
      <c r="A826" t="inlineStr">
        <is>
          <t>F-2025-00825</t>
        </is>
      </c>
      <c r="B826" s="12" t="n">
        <v>46135</v>
      </c>
      <c r="C826" t="inlineStr">
        <is>
          <t>SC AROMET TRADING SRL</t>
        </is>
      </c>
      <c r="D826" t="inlineStr">
        <is>
          <t>Alba</t>
        </is>
      </c>
      <c r="E826" t="inlineStr">
        <is>
          <t>PRD-010</t>
        </is>
      </c>
      <c r="F826" t="inlineStr">
        <is>
          <t>Abonament suita cloud</t>
        </is>
      </c>
      <c r="G826" t="inlineStr">
        <is>
          <t>Licențe software</t>
        </is>
      </c>
      <c r="H826" t="n">
        <v>10</v>
      </c>
      <c r="I826" t="n">
        <v>338.49</v>
      </c>
      <c r="J826" t="n">
        <v>3384.9</v>
      </c>
      <c r="K826" s="13" t="n">
        <v>0.19</v>
      </c>
      <c r="L826" t="n">
        <v>643.13</v>
      </c>
      <c r="M826" t="n">
        <v>4028.03</v>
      </c>
      <c r="N826" t="inlineStr">
        <is>
          <t>RON</t>
        </is>
      </c>
      <c r="O826" t="inlineStr">
        <is>
          <t>Alba Iulia</t>
        </is>
      </c>
      <c r="P826" s="12" t="n">
        <v>46195</v>
      </c>
      <c r="Q826">
        <f>IF(COUNTIF(tbl_Localitati[oras_oficial],[@oras])=0,"ORAS NEALINIAT",IF(XLOOKUP([@oras],tbl_Localitati[oras_oficial],tbl_Localitati[judet],"?")&lt;&gt;[@judet],"JUDET NECORESPUNZATOR",""))</f>
        <v/>
      </c>
      <c r="R826">
        <f>IF(XLOOKUP([@categorie],tbl_RegulriTVA[categorie],tbl_RegulriTVA[cota_legala],-1)&lt;&gt;[@cota_tva],"TVA GRESIT","")</f>
        <v/>
      </c>
      <c r="S826">
        <f>IF([@data_scadentei]&lt;[@data_factura],"SCADENTA INAINTEA FACTURII","")</f>
        <v/>
      </c>
      <c r="T826">
        <f>IF(NETWORKDAYS.INTL([@data_factura],[@data_factura],1,tbl_SarbatoriLegale[data])=0,"ZI NELUCRATOARE","")</f>
        <v/>
      </c>
      <c r="U826">
        <f>IF([@motiv_anomalie]="","OK","DE INVESTIGAT")</f>
        <v/>
      </c>
      <c r="V826">
        <f>TEXTJOIN("; ",TRUE,[@flag_oras],[@flag_tva],[@flag_scadenta],[@flag_zi])</f>
        <v/>
      </c>
    </row>
    <row r="827">
      <c r="A827" t="inlineStr">
        <is>
          <t>F-2025-00826</t>
        </is>
      </c>
      <c r="B827" s="12" t="n">
        <v>46315</v>
      </c>
      <c r="C827" t="inlineStr">
        <is>
          <t>SC AROMET TRADING SRL</t>
        </is>
      </c>
      <c r="D827" t="inlineStr">
        <is>
          <t>Dolj</t>
        </is>
      </c>
      <c r="E827" t="inlineStr">
        <is>
          <t>PRD-005</t>
        </is>
      </c>
      <c r="F827" t="inlineStr">
        <is>
          <t>Suport tehnic anual</t>
        </is>
      </c>
      <c r="G827" t="inlineStr">
        <is>
          <t>Servicii consultanță</t>
        </is>
      </c>
      <c r="H827" t="n">
        <v>5</v>
      </c>
      <c r="I827" t="n">
        <v>243.7</v>
      </c>
      <c r="J827" t="n">
        <v>1218.5</v>
      </c>
      <c r="K827" s="13" t="n">
        <v>0.19</v>
      </c>
      <c r="L827" t="n">
        <v>231.52</v>
      </c>
      <c r="M827" t="n">
        <v>1450.02</v>
      </c>
      <c r="N827" t="inlineStr">
        <is>
          <t>RON</t>
        </is>
      </c>
      <c r="O827" t="inlineStr">
        <is>
          <t>Alba Iulia</t>
        </is>
      </c>
      <c r="P827" s="12" t="n">
        <v>46345</v>
      </c>
      <c r="Q827">
        <f>IF(COUNTIF(tbl_Localitati[oras_oficial],[@oras])=0,"ORAS NEALINIAT",IF(XLOOKUP([@oras],tbl_Localitati[oras_oficial],tbl_Localitati[judet],"?")&lt;&gt;[@judet],"JUDET NECORESPUNZATOR",""))</f>
        <v/>
      </c>
      <c r="R827">
        <f>IF(XLOOKUP([@categorie],tbl_RegulriTVA[categorie],tbl_RegulriTVA[cota_legala],-1)&lt;&gt;[@cota_tva],"TVA GRESIT","")</f>
        <v/>
      </c>
      <c r="S827">
        <f>IF([@data_scadentei]&lt;[@data_factura],"SCADENTA INAINTEA FACTURII","")</f>
        <v/>
      </c>
      <c r="T827">
        <f>IF(NETWORKDAYS.INTL([@data_factura],[@data_factura],1,tbl_SarbatoriLegale[data])=0,"ZI NELUCRATOARE","")</f>
        <v/>
      </c>
      <c r="U827">
        <f>IF([@motiv_anomalie]="","OK","DE INVESTIGAT")</f>
        <v/>
      </c>
      <c r="V827">
        <f>TEXTJOIN("; ",TRUE,[@flag_oras],[@flag_tva],[@flag_scadenta],[@flag_zi])</f>
        <v/>
      </c>
    </row>
    <row r="828">
      <c r="A828" t="inlineStr">
        <is>
          <t>F-2025-00827</t>
        </is>
      </c>
      <c r="B828" s="12" t="n">
        <v>46132</v>
      </c>
      <c r="C828" t="inlineStr">
        <is>
          <t>SC DACTECH SOLUTIONS SRL</t>
        </is>
      </c>
      <c r="D828" t="inlineStr">
        <is>
          <t>Argeș</t>
        </is>
      </c>
      <c r="E828" t="inlineStr">
        <is>
          <t>PRD-005</t>
        </is>
      </c>
      <c r="F828" t="inlineStr">
        <is>
          <t>Videoproiector sala</t>
        </is>
      </c>
      <c r="G828" t="inlineStr">
        <is>
          <t>Echipamente birou</t>
        </is>
      </c>
      <c r="H828" t="n">
        <v>1</v>
      </c>
      <c r="I828" t="n">
        <v>258.64</v>
      </c>
      <c r="J828" t="n">
        <v>258.64</v>
      </c>
      <c r="K828" s="13" t="n">
        <v>0.09</v>
      </c>
      <c r="L828" t="n">
        <v>23.28</v>
      </c>
      <c r="M828" t="n">
        <v>281.92</v>
      </c>
      <c r="N828" t="inlineStr">
        <is>
          <t>RON</t>
        </is>
      </c>
      <c r="O828" t="inlineStr">
        <is>
          <t>Pitești</t>
        </is>
      </c>
      <c r="P828" s="12" t="n">
        <v>46162</v>
      </c>
      <c r="Q828">
        <f>IF(COUNTIF(tbl_Localitati[oras_oficial],[@oras])=0,"ORAS NEALINIAT",IF(XLOOKUP([@oras],tbl_Localitati[oras_oficial],tbl_Localitati[judet],"?")&lt;&gt;[@judet],"JUDET NECORESPUNZATOR",""))</f>
        <v/>
      </c>
      <c r="R828">
        <f>IF(XLOOKUP([@categorie],tbl_RegulriTVA[categorie],tbl_RegulriTVA[cota_legala],-1)&lt;&gt;[@cota_tva],"TVA GRESIT","")</f>
        <v/>
      </c>
      <c r="S828">
        <f>IF([@data_scadentei]&lt;[@data_factura],"SCADENTA INAINTEA FACTURII","")</f>
        <v/>
      </c>
      <c r="T828">
        <f>IF(NETWORKDAYS.INTL([@data_factura],[@data_factura],1,tbl_SarbatoriLegale[data])=0,"ZI NELUCRATOARE","")</f>
        <v/>
      </c>
      <c r="U828">
        <f>IF([@motiv_anomalie]="","OK","DE INVESTIGAT")</f>
        <v/>
      </c>
      <c r="V828">
        <f>TEXTJOIN("; ",TRUE,[@flag_oras],[@flag_tva],[@flag_scadenta],[@flag_zi])</f>
        <v/>
      </c>
    </row>
    <row r="829">
      <c r="A829" t="inlineStr">
        <is>
          <t>F-2025-00828</t>
        </is>
      </c>
      <c r="B829" s="12" t="n">
        <v>46371</v>
      </c>
      <c r="C829" t="inlineStr">
        <is>
          <t>SC INTEGROMED SA</t>
        </is>
      </c>
      <c r="D829" t="inlineStr">
        <is>
          <t>Cluj</t>
        </is>
      </c>
      <c r="E829" t="inlineStr">
        <is>
          <t>PRD-002</t>
        </is>
      </c>
      <c r="F829" t="inlineStr">
        <is>
          <t>Statie de lucru desktop</t>
        </is>
      </c>
      <c r="G829" t="inlineStr">
        <is>
          <t>Hardware IT</t>
        </is>
      </c>
      <c r="H829" t="n">
        <v>3</v>
      </c>
      <c r="I829" t="n">
        <v>1118.21</v>
      </c>
      <c r="J829" t="n">
        <v>3354.63</v>
      </c>
      <c r="K829" s="13" t="n">
        <v>0.19</v>
      </c>
      <c r="L829" t="n">
        <v>637.38</v>
      </c>
      <c r="M829" t="n">
        <v>3992.01</v>
      </c>
      <c r="N829" t="inlineStr">
        <is>
          <t>RON</t>
        </is>
      </c>
      <c r="O829" t="inlineStr">
        <is>
          <t>Cluj-Napoca</t>
        </is>
      </c>
      <c r="P829" s="12" t="n">
        <v>46416</v>
      </c>
      <c r="Q829">
        <f>IF(COUNTIF(tbl_Localitati[oras_oficial],[@oras])=0,"ORAS NEALINIAT",IF(XLOOKUP([@oras],tbl_Localitati[oras_oficial],tbl_Localitati[judet],"?")&lt;&gt;[@judet],"JUDET NECORESPUNZATOR",""))</f>
        <v/>
      </c>
      <c r="R829">
        <f>IF(XLOOKUP([@categorie],tbl_RegulriTVA[categorie],tbl_RegulriTVA[cota_legala],-1)&lt;&gt;[@cota_tva],"TVA GRESIT","")</f>
        <v/>
      </c>
      <c r="S829">
        <f>IF([@data_scadentei]&lt;[@data_factura],"SCADENTA INAINTEA FACTURII","")</f>
        <v/>
      </c>
      <c r="T829">
        <f>IF(NETWORKDAYS.INTL([@data_factura],[@data_factura],1,tbl_SarbatoriLegale[data])=0,"ZI NELUCRATOARE","")</f>
        <v/>
      </c>
      <c r="U829">
        <f>IF([@motiv_anomalie]="","OK","DE INVESTIGAT")</f>
        <v/>
      </c>
      <c r="V829">
        <f>TEXTJOIN("; ",TRUE,[@flag_oras],[@flag_tva],[@flag_scadenta],[@flag_zi])</f>
        <v/>
      </c>
    </row>
    <row r="830">
      <c r="A830" t="inlineStr">
        <is>
          <t>F-2025-00829</t>
        </is>
      </c>
      <c r="B830" s="12" t="n">
        <v>46230</v>
      </c>
      <c r="C830" t="inlineStr">
        <is>
          <t>SC NORDIS DISTRIBUTIE SRL</t>
        </is>
      </c>
      <c r="D830" t="inlineStr">
        <is>
          <t>Constanța</t>
        </is>
      </c>
      <c r="E830" t="inlineStr">
        <is>
          <t>PRD-012</t>
        </is>
      </c>
      <c r="F830" t="inlineStr">
        <is>
          <t>Consultanta implementare IT</t>
        </is>
      </c>
      <c r="G830" t="inlineStr">
        <is>
          <t>Servicii consultanță</t>
        </is>
      </c>
      <c r="H830" t="n">
        <v>2</v>
      </c>
      <c r="I830" t="n">
        <v>177.35</v>
      </c>
      <c r="J830" t="n">
        <v>354.7</v>
      </c>
      <c r="K830" s="13" t="n">
        <v>0.19</v>
      </c>
      <c r="L830" t="n">
        <v>67.39</v>
      </c>
      <c r="M830" t="n">
        <v>422.09</v>
      </c>
      <c r="N830" t="inlineStr">
        <is>
          <t>RON</t>
        </is>
      </c>
      <c r="O830" t="inlineStr">
        <is>
          <t>Mangalia</t>
        </is>
      </c>
      <c r="P830" s="12" t="n">
        <v>46260</v>
      </c>
      <c r="Q830">
        <f>IF(COUNTIF(tbl_Localitati[oras_oficial],[@oras])=0,"ORAS NEALINIAT",IF(XLOOKUP([@oras],tbl_Localitati[oras_oficial],tbl_Localitati[judet],"?")&lt;&gt;[@judet],"JUDET NECORESPUNZATOR",""))</f>
        <v/>
      </c>
      <c r="R830">
        <f>IF(XLOOKUP([@categorie],tbl_RegulriTVA[categorie],tbl_RegulriTVA[cota_legala],-1)&lt;&gt;[@cota_tva],"TVA GRESIT","")</f>
        <v/>
      </c>
      <c r="S830">
        <f>IF([@data_scadentei]&lt;[@data_factura],"SCADENTA INAINTEA FACTURII","")</f>
        <v/>
      </c>
      <c r="T830">
        <f>IF(NETWORKDAYS.INTL([@data_factura],[@data_factura],1,tbl_SarbatoriLegale[data])=0,"ZI NELUCRATOARE","")</f>
        <v/>
      </c>
      <c r="U830">
        <f>IF([@motiv_anomalie]="","OK","DE INVESTIGAT")</f>
        <v/>
      </c>
      <c r="V830">
        <f>TEXTJOIN("; ",TRUE,[@flag_oras],[@flag_tva],[@flag_scadenta],[@flag_zi])</f>
        <v/>
      </c>
    </row>
    <row r="831">
      <c r="A831" t="inlineStr">
        <is>
          <t>F-2025-00830</t>
        </is>
      </c>
      <c r="B831" s="12" t="n">
        <v>46199</v>
      </c>
      <c r="C831" t="inlineStr">
        <is>
          <t>SC PROVITA MEDICAL SRL</t>
        </is>
      </c>
      <c r="D831" t="inlineStr">
        <is>
          <t>Mureș</t>
        </is>
      </c>
      <c r="E831" t="inlineStr">
        <is>
          <t>PRD-002</t>
        </is>
      </c>
      <c r="F831" t="inlineStr">
        <is>
          <t>Dezinfectant maini 5L</t>
        </is>
      </c>
      <c r="G831" t="inlineStr">
        <is>
          <t>Produse farmaceutice</t>
        </is>
      </c>
      <c r="H831" t="n">
        <v>5</v>
      </c>
      <c r="I831" t="n">
        <v>1151.02</v>
      </c>
      <c r="J831" t="n">
        <v>5755.1</v>
      </c>
      <c r="K831" s="13" t="n">
        <v>0.09</v>
      </c>
      <c r="L831" t="n">
        <v>517.96</v>
      </c>
      <c r="M831" t="n">
        <v>6273.06</v>
      </c>
      <c r="N831" t="inlineStr">
        <is>
          <t>RON</t>
        </is>
      </c>
      <c r="O831" t="inlineStr">
        <is>
          <t>Târgu Mureș</t>
        </is>
      </c>
      <c r="P831" s="12" t="n">
        <v>46259</v>
      </c>
      <c r="Q831">
        <f>IF(COUNTIF(tbl_Localitati[oras_oficial],[@oras])=0,"ORAS NEALINIAT",IF(XLOOKUP([@oras],tbl_Localitati[oras_oficial],tbl_Localitati[judet],"?")&lt;&gt;[@judet],"JUDET NECORESPUNZATOR",""))</f>
        <v/>
      </c>
      <c r="R831">
        <f>IF(XLOOKUP([@categorie],tbl_RegulriTVA[categorie],tbl_RegulriTVA[cota_legala],-1)&lt;&gt;[@cota_tva],"TVA GRESIT","")</f>
        <v/>
      </c>
      <c r="S831">
        <f>IF([@data_scadentei]&lt;[@data_factura],"SCADENTA INAINTEA FACTURII","")</f>
        <v/>
      </c>
      <c r="T831">
        <f>IF(NETWORKDAYS.INTL([@data_factura],[@data_factura],1,tbl_SarbatoriLegale[data])=0,"ZI NELUCRATOARE","")</f>
        <v/>
      </c>
      <c r="U831">
        <f>IF([@motiv_anomalie]="","OK","DE INVESTIGAT")</f>
        <v/>
      </c>
      <c r="V831">
        <f>TEXTJOIN("; ",TRUE,[@flag_oras],[@flag_tva],[@flag_scadenta],[@flag_zi])</f>
        <v/>
      </c>
    </row>
    <row r="832">
      <c r="A832" t="inlineStr">
        <is>
          <t>F-2025-00831</t>
        </is>
      </c>
      <c r="B832" s="12" t="n">
        <v>46321</v>
      </c>
      <c r="C832" t="inlineStr">
        <is>
          <t>SC NORDIS DISTRIBUTIE SRL</t>
        </is>
      </c>
      <c r="D832" t="inlineStr">
        <is>
          <t>Constanța</t>
        </is>
      </c>
      <c r="E832" t="inlineStr">
        <is>
          <t>PRD-003</t>
        </is>
      </c>
      <c r="F832" t="inlineStr">
        <is>
          <t>Multifunctionala laser</t>
        </is>
      </c>
      <c r="G832" t="inlineStr">
        <is>
          <t>Echipamente birou</t>
        </is>
      </c>
      <c r="H832" t="n">
        <v>2</v>
      </c>
      <c r="I832" t="n">
        <v>4195.95</v>
      </c>
      <c r="J832" t="n">
        <v>8391.9</v>
      </c>
      <c r="K832" s="13" t="n">
        <v>0.19</v>
      </c>
      <c r="L832" t="n">
        <v>1594.46</v>
      </c>
      <c r="M832" t="n">
        <v>9986.360000000001</v>
      </c>
      <c r="N832" t="inlineStr">
        <is>
          <t>RON</t>
        </is>
      </c>
      <c r="O832" t="inlineStr">
        <is>
          <t>Mangalia</t>
        </is>
      </c>
      <c r="P832" s="12" t="n">
        <v>46351</v>
      </c>
      <c r="Q832">
        <f>IF(COUNTIF(tbl_Localitati[oras_oficial],[@oras])=0,"ORAS NEALINIAT",IF(XLOOKUP([@oras],tbl_Localitati[oras_oficial],tbl_Localitati[judet],"?")&lt;&gt;[@judet],"JUDET NECORESPUNZATOR",""))</f>
        <v/>
      </c>
      <c r="R832">
        <f>IF(XLOOKUP([@categorie],tbl_RegulriTVA[categorie],tbl_RegulriTVA[cota_legala],-1)&lt;&gt;[@cota_tva],"TVA GRESIT","")</f>
        <v/>
      </c>
      <c r="S832">
        <f>IF([@data_scadentei]&lt;[@data_factura],"SCADENTA INAINTEA FACTURII","")</f>
        <v/>
      </c>
      <c r="T832">
        <f>IF(NETWORKDAYS.INTL([@data_factura],[@data_factura],1,tbl_SarbatoriLegale[data])=0,"ZI NELUCRATOARE","")</f>
        <v/>
      </c>
      <c r="U832">
        <f>IF([@motiv_anomalie]="","OK","DE INVESTIGAT")</f>
        <v/>
      </c>
      <c r="V832">
        <f>TEXTJOIN("; ",TRUE,[@flag_oras],[@flag_tva],[@flag_scadenta],[@flag_zi])</f>
        <v/>
      </c>
    </row>
    <row r="833">
      <c r="A833" t="inlineStr">
        <is>
          <t>F-2025-00832</t>
        </is>
      </c>
      <c r="B833" s="12" t="n">
        <v>46275</v>
      </c>
      <c r="C833" t="inlineStr">
        <is>
          <t>SC AROMET TRADING SRL</t>
        </is>
      </c>
      <c r="D833" t="inlineStr">
        <is>
          <t>Alba</t>
        </is>
      </c>
      <c r="E833" t="inlineStr">
        <is>
          <t>PRD-006</t>
        </is>
      </c>
      <c r="F833" t="inlineStr">
        <is>
          <t>Tocator documente</t>
        </is>
      </c>
      <c r="G833" t="inlineStr">
        <is>
          <t>Echipamente birou</t>
        </is>
      </c>
      <c r="H833" t="n">
        <v>1</v>
      </c>
      <c r="I833" t="n">
        <v>779.64</v>
      </c>
      <c r="J833" t="n">
        <v>779.64</v>
      </c>
      <c r="K833" s="13" t="n">
        <v>0.19</v>
      </c>
      <c r="L833" t="n">
        <v>148.13</v>
      </c>
      <c r="M833" t="n">
        <v>927.77</v>
      </c>
      <c r="N833" t="inlineStr">
        <is>
          <t>RON</t>
        </is>
      </c>
      <c r="O833" t="inlineStr">
        <is>
          <t>Alba Iulia</t>
        </is>
      </c>
      <c r="P833" s="12" t="n">
        <v>46305</v>
      </c>
      <c r="Q833">
        <f>IF(COUNTIF(tbl_Localitati[oras_oficial],[@oras])=0,"ORAS NEALINIAT",IF(XLOOKUP([@oras],tbl_Localitati[oras_oficial],tbl_Localitati[judet],"?")&lt;&gt;[@judet],"JUDET NECORESPUNZATOR",""))</f>
        <v/>
      </c>
      <c r="R833">
        <f>IF(XLOOKUP([@categorie],tbl_RegulriTVA[categorie],tbl_RegulriTVA[cota_legala],-1)&lt;&gt;[@cota_tva],"TVA GRESIT","")</f>
        <v/>
      </c>
      <c r="S833">
        <f>IF([@data_scadentei]&lt;[@data_factura],"SCADENTA INAINTEA FACTURII","")</f>
        <v/>
      </c>
      <c r="T833">
        <f>IF(NETWORKDAYS.INTL([@data_factura],[@data_factura],1,tbl_SarbatoriLegale[data])=0,"ZI NELUCRATOARE","")</f>
        <v/>
      </c>
      <c r="U833">
        <f>IF([@motiv_anomalie]="","OK","DE INVESTIGAT")</f>
        <v/>
      </c>
      <c r="V833">
        <f>TEXTJOIN("; ",TRUE,[@flag_oras],[@flag_tva],[@flag_scadenta],[@flag_zi])</f>
        <v/>
      </c>
    </row>
    <row r="834">
      <c r="A834" t="inlineStr">
        <is>
          <t>F-2025-00833</t>
        </is>
      </c>
      <c r="B834" s="12" t="n">
        <v>46140</v>
      </c>
      <c r="C834" t="inlineStr">
        <is>
          <t>SC OMEGA SOFT SRL</t>
        </is>
      </c>
      <c r="D834" t="inlineStr">
        <is>
          <t>Dolj</t>
        </is>
      </c>
      <c r="E834" t="inlineStr">
        <is>
          <t>PRD-001</t>
        </is>
      </c>
      <c r="F834" t="inlineStr">
        <is>
          <t>Pachet protocol sedinte</t>
        </is>
      </c>
      <c r="G834" t="inlineStr">
        <is>
          <t>Alimente</t>
        </is>
      </c>
      <c r="H834" t="n">
        <v>2</v>
      </c>
      <c r="I834" t="n">
        <v>2314.14</v>
      </c>
      <c r="J834" t="n">
        <v>4628.28</v>
      </c>
      <c r="K834" s="13" t="n">
        <v>0.09</v>
      </c>
      <c r="L834" t="n">
        <v>416.55</v>
      </c>
      <c r="M834" t="n">
        <v>5044.83</v>
      </c>
      <c r="N834" t="inlineStr">
        <is>
          <t>RON</t>
        </is>
      </c>
      <c r="O834" t="inlineStr">
        <is>
          <t>Craiova</t>
        </is>
      </c>
      <c r="P834" s="12" t="n">
        <v>46170</v>
      </c>
      <c r="Q834">
        <f>IF(COUNTIF(tbl_Localitati[oras_oficial],[@oras])=0,"ORAS NEALINIAT",IF(XLOOKUP([@oras],tbl_Localitati[oras_oficial],tbl_Localitati[judet],"?")&lt;&gt;[@judet],"JUDET NECORESPUNZATOR",""))</f>
        <v/>
      </c>
      <c r="R834">
        <f>IF(XLOOKUP([@categorie],tbl_RegulriTVA[categorie],tbl_RegulriTVA[cota_legala],-1)&lt;&gt;[@cota_tva],"TVA GRESIT","")</f>
        <v/>
      </c>
      <c r="S834">
        <f>IF([@data_scadentei]&lt;[@data_factura],"SCADENTA INAINTEA FACTURII","")</f>
        <v/>
      </c>
      <c r="T834">
        <f>IF(NETWORKDAYS.INTL([@data_factura],[@data_factura],1,tbl_SarbatoriLegale[data])=0,"ZI NELUCRATOARE","")</f>
        <v/>
      </c>
      <c r="U834">
        <f>IF([@motiv_anomalie]="","OK","DE INVESTIGAT")</f>
        <v/>
      </c>
      <c r="V834">
        <f>TEXTJOIN("; ",TRUE,[@flag_oras],[@flag_tva],[@flag_scadenta],[@flag_zi])</f>
        <v/>
      </c>
    </row>
    <row r="835">
      <c r="A835" t="inlineStr">
        <is>
          <t>F-2025-00834</t>
        </is>
      </c>
      <c r="B835" s="12" t="n">
        <v>46084</v>
      </c>
      <c r="C835" t="inlineStr">
        <is>
          <t>SC METALPLAST INVEST SA</t>
        </is>
      </c>
      <c r="D835" t="inlineStr">
        <is>
          <t>Cluj</t>
        </is>
      </c>
      <c r="E835" t="inlineStr">
        <is>
          <t>PRD-004</t>
        </is>
      </c>
      <c r="F835" t="inlineStr">
        <is>
          <t>Ceai cutie 100buc</t>
        </is>
      </c>
      <c r="G835" t="inlineStr">
        <is>
          <t>Alimente</t>
        </is>
      </c>
      <c r="H835" t="n">
        <v>1</v>
      </c>
      <c r="I835" t="n">
        <v>916.73</v>
      </c>
      <c r="J835" t="n">
        <v>916.73</v>
      </c>
      <c r="K835" s="13" t="n">
        <v>0.09</v>
      </c>
      <c r="L835" t="n">
        <v>82.51000000000001</v>
      </c>
      <c r="M835" t="n">
        <v>999.24</v>
      </c>
      <c r="N835" t="inlineStr">
        <is>
          <t>RON</t>
        </is>
      </c>
      <c r="O835" t="inlineStr">
        <is>
          <t>Turda</t>
        </is>
      </c>
      <c r="P835" s="12" t="n">
        <v>46144</v>
      </c>
      <c r="Q835">
        <f>IF(COUNTIF(tbl_Localitati[oras_oficial],[@oras])=0,"ORAS NEALINIAT",IF(XLOOKUP([@oras],tbl_Localitati[oras_oficial],tbl_Localitati[judet],"?")&lt;&gt;[@judet],"JUDET NECORESPUNZATOR",""))</f>
        <v/>
      </c>
      <c r="R835">
        <f>IF(XLOOKUP([@categorie],tbl_RegulriTVA[categorie],tbl_RegulriTVA[cota_legala],-1)&lt;&gt;[@cota_tva],"TVA GRESIT","")</f>
        <v/>
      </c>
      <c r="S835">
        <f>IF([@data_scadentei]&lt;[@data_factura],"SCADENTA INAINTEA FACTURII","")</f>
        <v/>
      </c>
      <c r="T835">
        <f>IF(NETWORKDAYS.INTL([@data_factura],[@data_factura],1,tbl_SarbatoriLegale[data])=0,"ZI NELUCRATOARE","")</f>
        <v/>
      </c>
      <c r="U835">
        <f>IF([@motiv_anomalie]="","OK","DE INVESTIGAT")</f>
        <v/>
      </c>
      <c r="V835">
        <f>TEXTJOIN("; ",TRUE,[@flag_oras],[@flag_tva],[@flag_scadenta],[@flag_zi])</f>
        <v/>
      </c>
    </row>
    <row r="836">
      <c r="A836" t="inlineStr">
        <is>
          <t>F-2025-00835</t>
        </is>
      </c>
      <c r="B836" s="12" t="n">
        <v>46055</v>
      </c>
      <c r="C836" t="inlineStr">
        <is>
          <t>SC DACTECH SOLUTIONS SRL</t>
        </is>
      </c>
      <c r="D836" t="inlineStr">
        <is>
          <t>Argeș</t>
        </is>
      </c>
      <c r="E836" t="inlineStr">
        <is>
          <t>PRD-004</t>
        </is>
      </c>
      <c r="F836" t="inlineStr">
        <is>
          <t>Telefon IP birou</t>
        </is>
      </c>
      <c r="G836" t="inlineStr">
        <is>
          <t>Echipamente birou</t>
        </is>
      </c>
      <c r="H836" t="n">
        <v>1</v>
      </c>
      <c r="I836" t="n">
        <v>925.64</v>
      </c>
      <c r="J836" t="n">
        <v>925.64</v>
      </c>
      <c r="K836" s="13" t="n">
        <v>0.19</v>
      </c>
      <c r="L836" t="n">
        <v>175.87</v>
      </c>
      <c r="M836" t="n">
        <v>1101.51</v>
      </c>
      <c r="N836" t="inlineStr">
        <is>
          <t>RON</t>
        </is>
      </c>
      <c r="O836" t="inlineStr">
        <is>
          <t>Pitești</t>
        </is>
      </c>
      <c r="P836" s="12" t="n">
        <v>46085</v>
      </c>
      <c r="Q836">
        <f>IF(COUNTIF(tbl_Localitati[oras_oficial],[@oras])=0,"ORAS NEALINIAT",IF(XLOOKUP([@oras],tbl_Localitati[oras_oficial],tbl_Localitati[judet],"?")&lt;&gt;[@judet],"JUDET NECORESPUNZATOR",""))</f>
        <v/>
      </c>
      <c r="R836">
        <f>IF(XLOOKUP([@categorie],tbl_RegulriTVA[categorie],tbl_RegulriTVA[cota_legala],-1)&lt;&gt;[@cota_tva],"TVA GRESIT","")</f>
        <v/>
      </c>
      <c r="S836">
        <f>IF([@data_scadentei]&lt;[@data_factura],"SCADENTA INAINTEA FACTURII","")</f>
        <v/>
      </c>
      <c r="T836">
        <f>IF(NETWORKDAYS.INTL([@data_factura],[@data_factura],1,tbl_SarbatoriLegale[data])=0,"ZI NELUCRATOARE","")</f>
        <v/>
      </c>
      <c r="U836">
        <f>IF([@motiv_anomalie]="","OK","DE INVESTIGAT")</f>
        <v/>
      </c>
      <c r="V836">
        <f>TEXTJOIN("; ",TRUE,[@flag_oras],[@flag_tva],[@flag_scadenta],[@flag_zi])</f>
        <v/>
      </c>
    </row>
    <row r="837">
      <c r="A837" t="inlineStr">
        <is>
          <t>F-2025-00836</t>
        </is>
      </c>
      <c r="B837" s="12" t="n">
        <v>46177</v>
      </c>
      <c r="C837" t="inlineStr">
        <is>
          <t>SC ZENITH AUTO SRL</t>
        </is>
      </c>
      <c r="D837" t="inlineStr">
        <is>
          <t>București</t>
        </is>
      </c>
      <c r="E837" t="inlineStr">
        <is>
          <t>PRD-008</t>
        </is>
      </c>
      <c r="F837" t="inlineStr">
        <is>
          <t>Training utilizatori</t>
        </is>
      </c>
      <c r="G837" t="inlineStr">
        <is>
          <t>Servicii consultanță</t>
        </is>
      </c>
      <c r="H837" t="n">
        <v>10</v>
      </c>
      <c r="I837" t="n">
        <v>431.42</v>
      </c>
      <c r="J837" t="n">
        <v>4314.2</v>
      </c>
      <c r="K837" s="13" t="n">
        <v>0.19</v>
      </c>
      <c r="L837" t="n">
        <v>819.7</v>
      </c>
      <c r="M837" t="n">
        <v>5133.9</v>
      </c>
      <c r="N837" t="inlineStr">
        <is>
          <t>RON</t>
        </is>
      </c>
      <c r="O837" t="inlineStr">
        <is>
          <t>București</t>
        </is>
      </c>
      <c r="P837" s="12" t="n">
        <v>46222</v>
      </c>
      <c r="Q837">
        <f>IF(COUNTIF(tbl_Localitati[oras_oficial],[@oras])=0,"ORAS NEALINIAT",IF(XLOOKUP([@oras],tbl_Localitati[oras_oficial],tbl_Localitati[judet],"?")&lt;&gt;[@judet],"JUDET NECORESPUNZATOR",""))</f>
        <v/>
      </c>
      <c r="R837">
        <f>IF(XLOOKUP([@categorie],tbl_RegulriTVA[categorie],tbl_RegulriTVA[cota_legala],-1)&lt;&gt;[@cota_tva],"TVA GRESIT","")</f>
        <v/>
      </c>
      <c r="S837">
        <f>IF([@data_scadentei]&lt;[@data_factura],"SCADENTA INAINTEA FACTURII","")</f>
        <v/>
      </c>
      <c r="T837">
        <f>IF(NETWORKDAYS.INTL([@data_factura],[@data_factura],1,tbl_SarbatoriLegale[data])=0,"ZI NELUCRATOARE","")</f>
        <v/>
      </c>
      <c r="U837">
        <f>IF([@motiv_anomalie]="","OK","DE INVESTIGAT")</f>
        <v/>
      </c>
      <c r="V837">
        <f>TEXTJOIN("; ",TRUE,[@flag_oras],[@flag_tva],[@flag_scadenta],[@flag_zi])</f>
        <v/>
      </c>
    </row>
    <row r="838">
      <c r="A838" t="inlineStr">
        <is>
          <t>F-2025-00837</t>
        </is>
      </c>
      <c r="B838" s="12" t="n">
        <v>46042</v>
      </c>
      <c r="C838" t="inlineStr">
        <is>
          <t>SC SOLARIS ENERGY SRL</t>
        </is>
      </c>
      <c r="D838" t="inlineStr">
        <is>
          <t>Prahova</t>
        </is>
      </c>
      <c r="E838" t="inlineStr">
        <is>
          <t>PRD-007</t>
        </is>
      </c>
      <c r="F838" t="inlineStr">
        <is>
          <t>Consultanta implementare IT</t>
        </is>
      </c>
      <c r="G838" t="inlineStr">
        <is>
          <t>Servicii consultanță</t>
        </is>
      </c>
      <c r="H838" t="n">
        <v>1</v>
      </c>
      <c r="I838" t="n">
        <v>172.85</v>
      </c>
      <c r="J838" t="n">
        <v>172.85</v>
      </c>
      <c r="K838" s="13" t="n">
        <v>0.19</v>
      </c>
      <c r="L838" t="n">
        <v>32.84</v>
      </c>
      <c r="M838" t="n">
        <v>205.69</v>
      </c>
      <c r="N838" t="inlineStr">
        <is>
          <t>RON</t>
        </is>
      </c>
      <c r="O838" t="inlineStr">
        <is>
          <t>Câmpina</t>
        </is>
      </c>
      <c r="P838" s="12" t="n">
        <v>46072</v>
      </c>
      <c r="Q838">
        <f>IF(COUNTIF(tbl_Localitati[oras_oficial],[@oras])=0,"ORAS NEALINIAT",IF(XLOOKUP([@oras],tbl_Localitati[oras_oficial],tbl_Localitati[judet],"?")&lt;&gt;[@judet],"JUDET NECORESPUNZATOR",""))</f>
        <v/>
      </c>
      <c r="R838">
        <f>IF(XLOOKUP([@categorie],tbl_RegulriTVA[categorie],tbl_RegulriTVA[cota_legala],-1)&lt;&gt;[@cota_tva],"TVA GRESIT","")</f>
        <v/>
      </c>
      <c r="S838">
        <f>IF([@data_scadentei]&lt;[@data_factura],"SCADENTA INAINTEA FACTURII","")</f>
        <v/>
      </c>
      <c r="T838">
        <f>IF(NETWORKDAYS.INTL([@data_factura],[@data_factura],1,tbl_SarbatoriLegale[data])=0,"ZI NELUCRATOARE","")</f>
        <v/>
      </c>
      <c r="U838">
        <f>IF([@motiv_anomalie]="","OK","DE INVESTIGAT")</f>
        <v/>
      </c>
      <c r="V838">
        <f>TEXTJOIN("; ",TRUE,[@flag_oras],[@flag_tva],[@flag_scadenta],[@flag_zi])</f>
        <v/>
      </c>
    </row>
    <row r="839">
      <c r="A839" t="inlineStr">
        <is>
          <t>F-2025-00838</t>
        </is>
      </c>
      <c r="B839" s="12" t="n">
        <v>46309</v>
      </c>
      <c r="C839" t="inlineStr">
        <is>
          <t>SC PROVITA MEDICAL SRL</t>
        </is>
      </c>
      <c r="D839" t="inlineStr">
        <is>
          <t>Mureș</t>
        </is>
      </c>
      <c r="E839" t="inlineStr">
        <is>
          <t>PRD-010</t>
        </is>
      </c>
      <c r="F839" t="inlineStr">
        <is>
          <t>Monitor 27" 4K</t>
        </is>
      </c>
      <c r="G839" t="inlineStr">
        <is>
          <t>Hardware IT</t>
        </is>
      </c>
      <c r="H839" t="n">
        <v>20</v>
      </c>
      <c r="I839" t="n">
        <v>345.07</v>
      </c>
      <c r="J839" t="n">
        <v>6901.4</v>
      </c>
      <c r="K839" s="13" t="n">
        <v>0.19</v>
      </c>
      <c r="L839" t="n">
        <v>1311.27</v>
      </c>
      <c r="M839" t="n">
        <v>8212.67</v>
      </c>
      <c r="N839" t="inlineStr">
        <is>
          <t>RON</t>
        </is>
      </c>
      <c r="O839" t="inlineStr">
        <is>
          <t>Târgu Mureș</t>
        </is>
      </c>
      <c r="P839" s="12" t="n">
        <v>46339</v>
      </c>
      <c r="Q839">
        <f>IF(COUNTIF(tbl_Localitati[oras_oficial],[@oras])=0,"ORAS NEALINIAT",IF(XLOOKUP([@oras],tbl_Localitati[oras_oficial],tbl_Localitati[judet],"?")&lt;&gt;[@judet],"JUDET NECORESPUNZATOR",""))</f>
        <v/>
      </c>
      <c r="R839">
        <f>IF(XLOOKUP([@categorie],tbl_RegulriTVA[categorie],tbl_RegulriTVA[cota_legala],-1)&lt;&gt;[@cota_tva],"TVA GRESIT","")</f>
        <v/>
      </c>
      <c r="S839">
        <f>IF([@data_scadentei]&lt;[@data_factura],"SCADENTA INAINTEA FACTURII","")</f>
        <v/>
      </c>
      <c r="T839">
        <f>IF(NETWORKDAYS.INTL([@data_factura],[@data_factura],1,tbl_SarbatoriLegale[data])=0,"ZI NELUCRATOARE","")</f>
        <v/>
      </c>
      <c r="U839">
        <f>IF([@motiv_anomalie]="","OK","DE INVESTIGAT")</f>
        <v/>
      </c>
      <c r="V839">
        <f>TEXTJOIN("; ",TRUE,[@flag_oras],[@flag_tva],[@flag_scadenta],[@flag_zi])</f>
        <v/>
      </c>
    </row>
    <row r="840">
      <c r="A840" t="inlineStr">
        <is>
          <t>F-2025-00839</t>
        </is>
      </c>
      <c r="B840" s="12" t="n">
        <v>46266</v>
      </c>
      <c r="C840" t="inlineStr">
        <is>
          <t>SC INTEGROMED SA</t>
        </is>
      </c>
      <c r="D840" t="inlineStr">
        <is>
          <t>Cluj</t>
        </is>
      </c>
      <c r="E840" t="inlineStr">
        <is>
          <t>PRD-009</t>
        </is>
      </c>
      <c r="F840" t="inlineStr">
        <is>
          <t>Laptop business 15"</t>
        </is>
      </c>
      <c r="G840" t="inlineStr">
        <is>
          <t>Hardware IT</t>
        </is>
      </c>
      <c r="H840" t="n">
        <v>50</v>
      </c>
      <c r="I840" t="n">
        <v>28.54</v>
      </c>
      <c r="J840" t="n">
        <v>1427</v>
      </c>
      <c r="K840" s="13" t="n">
        <v>0.19</v>
      </c>
      <c r="L840" t="n">
        <v>271.13</v>
      </c>
      <c r="M840" t="n">
        <v>1698.13</v>
      </c>
      <c r="N840" t="inlineStr">
        <is>
          <t>RON</t>
        </is>
      </c>
      <c r="O840" t="inlineStr">
        <is>
          <t>Cluj-Napoca</t>
        </is>
      </c>
      <c r="P840" s="12" t="n">
        <v>46311</v>
      </c>
      <c r="Q840">
        <f>IF(COUNTIF(tbl_Localitati[oras_oficial],[@oras])=0,"ORAS NEALINIAT",IF(XLOOKUP([@oras],tbl_Localitati[oras_oficial],tbl_Localitati[judet],"?")&lt;&gt;[@judet],"JUDET NECORESPUNZATOR",""))</f>
        <v/>
      </c>
      <c r="R840">
        <f>IF(XLOOKUP([@categorie],tbl_RegulriTVA[categorie],tbl_RegulriTVA[cota_legala],-1)&lt;&gt;[@cota_tva],"TVA GRESIT","")</f>
        <v/>
      </c>
      <c r="S840">
        <f>IF([@data_scadentei]&lt;[@data_factura],"SCADENTA INAINTEA FACTURII","")</f>
        <v/>
      </c>
      <c r="T840">
        <f>IF(NETWORKDAYS.INTL([@data_factura],[@data_factura],1,tbl_SarbatoriLegale[data])=0,"ZI NELUCRATOARE","")</f>
        <v/>
      </c>
      <c r="U840">
        <f>IF([@motiv_anomalie]="","OK","DE INVESTIGAT")</f>
        <v/>
      </c>
      <c r="V840">
        <f>TEXTJOIN("; ",TRUE,[@flag_oras],[@flag_tva],[@flag_scadenta],[@flag_zi])</f>
        <v/>
      </c>
    </row>
    <row r="841">
      <c r="A841" t="inlineStr">
        <is>
          <t>F-2025-00840</t>
        </is>
      </c>
      <c r="B841" s="12" t="n">
        <v>46266</v>
      </c>
      <c r="C841" t="inlineStr">
        <is>
          <t>SC INTEGROMED SA</t>
        </is>
      </c>
      <c r="D841" t="inlineStr">
        <is>
          <t>Cluj</t>
        </is>
      </c>
      <c r="E841" t="inlineStr">
        <is>
          <t>PRD-006</t>
        </is>
      </c>
      <c r="F841" t="inlineStr">
        <is>
          <t>Training utilizatori</t>
        </is>
      </c>
      <c r="G841" t="inlineStr">
        <is>
          <t>Servicii consultanță</t>
        </is>
      </c>
      <c r="H841" t="n">
        <v>10</v>
      </c>
      <c r="I841" t="n">
        <v>730.86</v>
      </c>
      <c r="J841" t="n">
        <v>7308.6</v>
      </c>
      <c r="K841" s="13" t="n">
        <v>0.19</v>
      </c>
      <c r="L841" t="n">
        <v>1388.63</v>
      </c>
      <c r="M841" t="n">
        <v>8697.23</v>
      </c>
      <c r="N841" t="inlineStr">
        <is>
          <t>RON</t>
        </is>
      </c>
      <c r="O841" t="inlineStr">
        <is>
          <t>Cluj-Napoca</t>
        </is>
      </c>
      <c r="P841" s="12" t="n">
        <v>46326</v>
      </c>
      <c r="Q841">
        <f>IF(COUNTIF(tbl_Localitati[oras_oficial],[@oras])=0,"ORAS NEALINIAT",IF(XLOOKUP([@oras],tbl_Localitati[oras_oficial],tbl_Localitati[judet],"?")&lt;&gt;[@judet],"JUDET NECORESPUNZATOR",""))</f>
        <v/>
      </c>
      <c r="R841">
        <f>IF(XLOOKUP([@categorie],tbl_RegulriTVA[categorie],tbl_RegulriTVA[cota_legala],-1)&lt;&gt;[@cota_tva],"TVA GRESIT","")</f>
        <v/>
      </c>
      <c r="S841">
        <f>IF([@data_scadentei]&lt;[@data_factura],"SCADENTA INAINTEA FACTURII","")</f>
        <v/>
      </c>
      <c r="T841">
        <f>IF(NETWORKDAYS.INTL([@data_factura],[@data_factura],1,tbl_SarbatoriLegale[data])=0,"ZI NELUCRATOARE","")</f>
        <v/>
      </c>
      <c r="U841">
        <f>IF([@motiv_anomalie]="","OK","DE INVESTIGAT")</f>
        <v/>
      </c>
      <c r="V841">
        <f>TEXTJOIN("; ",TRUE,[@flag_oras],[@flag_tva],[@flag_scadenta],[@flag_zi])</f>
        <v/>
      </c>
    </row>
    <row r="842">
      <c r="A842" t="inlineStr">
        <is>
          <t>F-2025-00841</t>
        </is>
      </c>
      <c r="B842" s="12" t="n">
        <v>46150</v>
      </c>
      <c r="C842" t="inlineStr">
        <is>
          <t>SC NORDIS DISTRIBUTIE SRL</t>
        </is>
      </c>
      <c r="D842" t="inlineStr">
        <is>
          <t>Constanța</t>
        </is>
      </c>
      <c r="E842" t="inlineStr">
        <is>
          <t>PRD-009</t>
        </is>
      </c>
      <c r="F842" t="inlineStr">
        <is>
          <t>Manual proceduri interne</t>
        </is>
      </c>
      <c r="G842" t="inlineStr">
        <is>
          <t>Cărți și manuale</t>
        </is>
      </c>
      <c r="H842" t="n">
        <v>20</v>
      </c>
      <c r="I842" t="n">
        <v>28.96</v>
      </c>
      <c r="J842" t="n">
        <v>579.2</v>
      </c>
      <c r="K842" s="13" t="n">
        <v>0.05</v>
      </c>
      <c r="L842" t="n">
        <v>28.96</v>
      </c>
      <c r="M842" t="n">
        <v>608.16</v>
      </c>
      <c r="N842" t="inlineStr">
        <is>
          <t>RON</t>
        </is>
      </c>
      <c r="O842" t="inlineStr">
        <is>
          <t>Mangalia</t>
        </is>
      </c>
      <c r="P842" s="12" t="n">
        <v>46180</v>
      </c>
      <c r="Q842">
        <f>IF(COUNTIF(tbl_Localitati[oras_oficial],[@oras])=0,"ORAS NEALINIAT",IF(XLOOKUP([@oras],tbl_Localitati[oras_oficial],tbl_Localitati[judet],"?")&lt;&gt;[@judet],"JUDET NECORESPUNZATOR",""))</f>
        <v/>
      </c>
      <c r="R842">
        <f>IF(XLOOKUP([@categorie],tbl_RegulriTVA[categorie],tbl_RegulriTVA[cota_legala],-1)&lt;&gt;[@cota_tva],"TVA GRESIT","")</f>
        <v/>
      </c>
      <c r="S842">
        <f>IF([@data_scadentei]&lt;[@data_factura],"SCADENTA INAINTEA FACTURII","")</f>
        <v/>
      </c>
      <c r="T842">
        <f>IF(NETWORKDAYS.INTL([@data_factura],[@data_factura],1,tbl_SarbatoriLegale[data])=0,"ZI NELUCRATOARE","")</f>
        <v/>
      </c>
      <c r="U842">
        <f>IF([@motiv_anomalie]="","OK","DE INVESTIGAT")</f>
        <v/>
      </c>
      <c r="V842">
        <f>TEXTJOIN("; ",TRUE,[@flag_oras],[@flag_tva],[@flag_scadenta],[@flag_zi])</f>
        <v/>
      </c>
    </row>
    <row r="843">
      <c r="A843" t="inlineStr">
        <is>
          <t>F-2025-00842</t>
        </is>
      </c>
      <c r="B843" s="12" t="n">
        <v>46064</v>
      </c>
      <c r="C843" t="inlineStr">
        <is>
          <t>SC OMEGA SOFT SRL</t>
        </is>
      </c>
      <c r="D843" t="inlineStr">
        <is>
          <t>Dolj</t>
        </is>
      </c>
      <c r="E843" t="inlineStr">
        <is>
          <t>PRD-001</t>
        </is>
      </c>
      <c r="F843" t="inlineStr">
        <is>
          <t>Statie de lucru desktop</t>
        </is>
      </c>
      <c r="G843" t="inlineStr">
        <is>
          <t>Hardware IT</t>
        </is>
      </c>
      <c r="H843" t="n">
        <v>1</v>
      </c>
      <c r="I843" t="n">
        <v>2460.39</v>
      </c>
      <c r="J843" t="n">
        <v>2460.39</v>
      </c>
      <c r="K843" s="13" t="n">
        <v>0.19</v>
      </c>
      <c r="L843" t="n">
        <v>467.47</v>
      </c>
      <c r="M843" t="n">
        <v>2927.86</v>
      </c>
      <c r="N843" t="inlineStr">
        <is>
          <t>RON</t>
        </is>
      </c>
      <c r="O843" t="inlineStr">
        <is>
          <t>Craiova</t>
        </is>
      </c>
      <c r="P843" s="12" t="n">
        <v>46094</v>
      </c>
      <c r="Q843">
        <f>IF(COUNTIF(tbl_Localitati[oras_oficial],[@oras])=0,"ORAS NEALINIAT",IF(XLOOKUP([@oras],tbl_Localitati[oras_oficial],tbl_Localitati[judet],"?")&lt;&gt;[@judet],"JUDET NECORESPUNZATOR",""))</f>
        <v/>
      </c>
      <c r="R843">
        <f>IF(XLOOKUP([@categorie],tbl_RegulriTVA[categorie],tbl_RegulriTVA[cota_legala],-1)&lt;&gt;[@cota_tva],"TVA GRESIT","")</f>
        <v/>
      </c>
      <c r="S843">
        <f>IF([@data_scadentei]&lt;[@data_factura],"SCADENTA INAINTEA FACTURII","")</f>
        <v/>
      </c>
      <c r="T843">
        <f>IF(NETWORKDAYS.INTL([@data_factura],[@data_factura],1,tbl_SarbatoriLegale[data])=0,"ZI NELUCRATOARE","")</f>
        <v/>
      </c>
      <c r="U843">
        <f>IF([@motiv_anomalie]="","OK","DE INVESTIGAT")</f>
        <v/>
      </c>
      <c r="V843">
        <f>TEXTJOIN("; ",TRUE,[@flag_oras],[@flag_tva],[@flag_scadenta],[@flag_zi])</f>
        <v/>
      </c>
    </row>
    <row r="844">
      <c r="A844" t="inlineStr">
        <is>
          <t>F-2025-00843</t>
        </is>
      </c>
      <c r="B844" s="12" t="n">
        <v>46302</v>
      </c>
      <c r="C844" t="inlineStr">
        <is>
          <t>SC ELECTROBUILD SRL</t>
        </is>
      </c>
      <c r="D844" t="inlineStr">
        <is>
          <t>Bacău</t>
        </is>
      </c>
      <c r="E844" t="inlineStr">
        <is>
          <t>PRD-008</t>
        </is>
      </c>
      <c r="F844" t="inlineStr">
        <is>
          <t>Tocator documente</t>
        </is>
      </c>
      <c r="G844" t="inlineStr">
        <is>
          <t>Echipamente birou</t>
        </is>
      </c>
      <c r="H844" t="n">
        <v>1</v>
      </c>
      <c r="I844" t="n">
        <v>467.65</v>
      </c>
      <c r="J844" t="n">
        <v>467.65</v>
      </c>
      <c r="K844" s="13" t="n">
        <v>0.19</v>
      </c>
      <c r="L844" t="n">
        <v>88.84999999999999</v>
      </c>
      <c r="M844" t="n">
        <v>556.5</v>
      </c>
      <c r="N844" t="inlineStr">
        <is>
          <t>RON</t>
        </is>
      </c>
      <c r="O844" t="inlineStr">
        <is>
          <t>Bacău</t>
        </is>
      </c>
      <c r="P844" s="12" t="n">
        <v>46347</v>
      </c>
      <c r="Q844">
        <f>IF(COUNTIF(tbl_Localitati[oras_oficial],[@oras])=0,"ORAS NEALINIAT",IF(XLOOKUP([@oras],tbl_Localitati[oras_oficial],tbl_Localitati[judet],"?")&lt;&gt;[@judet],"JUDET NECORESPUNZATOR",""))</f>
        <v/>
      </c>
      <c r="R844">
        <f>IF(XLOOKUP([@categorie],tbl_RegulriTVA[categorie],tbl_RegulriTVA[cota_legala],-1)&lt;&gt;[@cota_tva],"TVA GRESIT","")</f>
        <v/>
      </c>
      <c r="S844">
        <f>IF([@data_scadentei]&lt;[@data_factura],"SCADENTA INAINTEA FACTURII","")</f>
        <v/>
      </c>
      <c r="T844">
        <f>IF(NETWORKDAYS.INTL([@data_factura],[@data_factura],1,tbl_SarbatoriLegale[data])=0,"ZI NELUCRATOARE","")</f>
        <v/>
      </c>
      <c r="U844">
        <f>IF([@motiv_anomalie]="","OK","DE INVESTIGAT")</f>
        <v/>
      </c>
      <c r="V844">
        <f>TEXTJOIN("; ",TRUE,[@flag_oras],[@flag_tva],[@flag_scadenta],[@flag_zi])</f>
        <v/>
      </c>
    </row>
    <row r="845">
      <c r="A845" t="inlineStr">
        <is>
          <t>F-2025-00844</t>
        </is>
      </c>
      <c r="B845" s="12" t="n">
        <v>46167</v>
      </c>
      <c r="C845" t="inlineStr">
        <is>
          <t>SC NORDIS DISTRIBUTIE SRL</t>
        </is>
      </c>
      <c r="D845" t="inlineStr">
        <is>
          <t>Constanța</t>
        </is>
      </c>
      <c r="E845" t="inlineStr">
        <is>
          <t>PRD-002</t>
        </is>
      </c>
      <c r="F845" t="inlineStr">
        <is>
          <t>Telefon IP birou</t>
        </is>
      </c>
      <c r="G845" t="inlineStr">
        <is>
          <t>Echipamente birou</t>
        </is>
      </c>
      <c r="H845" t="n">
        <v>2</v>
      </c>
      <c r="I845" t="n">
        <v>1123.39</v>
      </c>
      <c r="J845" t="n">
        <v>2246.78</v>
      </c>
      <c r="K845" s="13" t="n">
        <v>0.19</v>
      </c>
      <c r="L845" t="n">
        <v>426.89</v>
      </c>
      <c r="M845" t="n">
        <v>2673.67</v>
      </c>
      <c r="N845" t="inlineStr">
        <is>
          <t>RON</t>
        </is>
      </c>
      <c r="O845" t="inlineStr">
        <is>
          <t>Mangalia</t>
        </is>
      </c>
      <c r="P845" s="12" t="n">
        <v>46197</v>
      </c>
      <c r="Q845">
        <f>IF(COUNTIF(tbl_Localitati[oras_oficial],[@oras])=0,"ORAS NEALINIAT",IF(XLOOKUP([@oras],tbl_Localitati[oras_oficial],tbl_Localitati[judet],"?")&lt;&gt;[@judet],"JUDET NECORESPUNZATOR",""))</f>
        <v/>
      </c>
      <c r="R845">
        <f>IF(XLOOKUP([@categorie],tbl_RegulriTVA[categorie],tbl_RegulriTVA[cota_legala],-1)&lt;&gt;[@cota_tva],"TVA GRESIT","")</f>
        <v/>
      </c>
      <c r="S845">
        <f>IF([@data_scadentei]&lt;[@data_factura],"SCADENTA INAINTEA FACTURII","")</f>
        <v/>
      </c>
      <c r="T845">
        <f>IF(NETWORKDAYS.INTL([@data_factura],[@data_factura],1,tbl_SarbatoriLegale[data])=0,"ZI NELUCRATOARE","")</f>
        <v/>
      </c>
      <c r="U845">
        <f>IF([@motiv_anomalie]="","OK","DE INVESTIGAT")</f>
        <v/>
      </c>
      <c r="V845">
        <f>TEXTJOIN("; ",TRUE,[@flag_oras],[@flag_tva],[@flag_scadenta],[@flag_zi])</f>
        <v/>
      </c>
    </row>
    <row r="846">
      <c r="A846" t="inlineStr">
        <is>
          <t>F-2025-00845</t>
        </is>
      </c>
      <c r="B846" s="12" t="n">
        <v>46276</v>
      </c>
      <c r="C846" t="inlineStr">
        <is>
          <t>SC INTEGROMED SA</t>
        </is>
      </c>
      <c r="D846" t="inlineStr">
        <is>
          <t>Cluj</t>
        </is>
      </c>
      <c r="E846" t="inlineStr">
        <is>
          <t>PRD-005</t>
        </is>
      </c>
      <c r="F846" t="inlineStr">
        <is>
          <t>Carte tehnica IT</t>
        </is>
      </c>
      <c r="G846" t="inlineStr">
        <is>
          <t>Cărți și manuale</t>
        </is>
      </c>
      <c r="H846" t="n">
        <v>1</v>
      </c>
      <c r="I846" t="n">
        <v>248.18</v>
      </c>
      <c r="J846" t="n">
        <v>248.18</v>
      </c>
      <c r="K846" s="13" t="n">
        <v>0.05</v>
      </c>
      <c r="L846" t="n">
        <v>12.41</v>
      </c>
      <c r="M846" t="n">
        <v>260.59</v>
      </c>
      <c r="N846" t="inlineStr">
        <is>
          <t>RON</t>
        </is>
      </c>
      <c r="O846" t="inlineStr">
        <is>
          <t>Cluj-Napoca</t>
        </is>
      </c>
      <c r="P846" s="12" t="n">
        <v>46321</v>
      </c>
      <c r="Q846">
        <f>IF(COUNTIF(tbl_Localitati[oras_oficial],[@oras])=0,"ORAS NEALINIAT",IF(XLOOKUP([@oras],tbl_Localitati[oras_oficial],tbl_Localitati[judet],"?")&lt;&gt;[@judet],"JUDET NECORESPUNZATOR",""))</f>
        <v/>
      </c>
      <c r="R846">
        <f>IF(XLOOKUP([@categorie],tbl_RegulriTVA[categorie],tbl_RegulriTVA[cota_legala],-1)&lt;&gt;[@cota_tva],"TVA GRESIT","")</f>
        <v/>
      </c>
      <c r="S846">
        <f>IF([@data_scadentei]&lt;[@data_factura],"SCADENTA INAINTEA FACTURII","")</f>
        <v/>
      </c>
      <c r="T846">
        <f>IF(NETWORKDAYS.INTL([@data_factura],[@data_factura],1,tbl_SarbatoriLegale[data])=0,"ZI NELUCRATOARE","")</f>
        <v/>
      </c>
      <c r="U846">
        <f>IF([@motiv_anomalie]="","OK","DE INVESTIGAT")</f>
        <v/>
      </c>
      <c r="V846">
        <f>TEXTJOIN("; ",TRUE,[@flag_oras],[@flag_tva],[@flag_scadenta],[@flag_zi])</f>
        <v/>
      </c>
    </row>
    <row r="847">
      <c r="A847" t="inlineStr">
        <is>
          <t>F-2025-00846</t>
        </is>
      </c>
      <c r="B847" s="12" t="n">
        <v>46037</v>
      </c>
      <c r="C847" t="inlineStr">
        <is>
          <t>SC NORDIS DISTRIBUTIE SRL</t>
        </is>
      </c>
      <c r="D847" t="inlineStr">
        <is>
          <t>Constanța</t>
        </is>
      </c>
      <c r="E847" t="inlineStr">
        <is>
          <t>PRD-009</t>
        </is>
      </c>
      <c r="F847" t="inlineStr">
        <is>
          <t>Licenta Office 365 anuala</t>
        </is>
      </c>
      <c r="G847" t="inlineStr">
        <is>
          <t>Licențe software</t>
        </is>
      </c>
      <c r="H847" t="n">
        <v>50</v>
      </c>
      <c r="I847" t="n">
        <v>26.76</v>
      </c>
      <c r="J847" t="n">
        <v>1338</v>
      </c>
      <c r="K847" s="13" t="n">
        <v>0.19</v>
      </c>
      <c r="L847" t="n">
        <v>254.22</v>
      </c>
      <c r="M847" t="n">
        <v>1592.22</v>
      </c>
      <c r="N847" t="inlineStr">
        <is>
          <t>RON</t>
        </is>
      </c>
      <c r="O847" t="inlineStr">
        <is>
          <t>Mangalia</t>
        </is>
      </c>
      <c r="P847" s="12" t="n">
        <v>46067</v>
      </c>
      <c r="Q847">
        <f>IF(COUNTIF(tbl_Localitati[oras_oficial],[@oras])=0,"ORAS NEALINIAT",IF(XLOOKUP([@oras],tbl_Localitati[oras_oficial],tbl_Localitati[judet],"?")&lt;&gt;[@judet],"JUDET NECORESPUNZATOR",""))</f>
        <v/>
      </c>
      <c r="R847">
        <f>IF(XLOOKUP([@categorie],tbl_RegulriTVA[categorie],tbl_RegulriTVA[cota_legala],-1)&lt;&gt;[@cota_tva],"TVA GRESIT","")</f>
        <v/>
      </c>
      <c r="S847">
        <f>IF([@data_scadentei]&lt;[@data_factura],"SCADENTA INAINTEA FACTURII","")</f>
        <v/>
      </c>
      <c r="T847">
        <f>IF(NETWORKDAYS.INTL([@data_factura],[@data_factura],1,tbl_SarbatoriLegale[data])=0,"ZI NELUCRATOARE","")</f>
        <v/>
      </c>
      <c r="U847">
        <f>IF([@motiv_anomalie]="","OK","DE INVESTIGAT")</f>
        <v/>
      </c>
      <c r="V847">
        <f>TEXTJOIN("; ",TRUE,[@flag_oras],[@flag_tva],[@flag_scadenta],[@flag_zi])</f>
        <v/>
      </c>
    </row>
    <row r="848">
      <c r="A848" t="inlineStr">
        <is>
          <t>F-2025-00847</t>
        </is>
      </c>
      <c r="B848" s="12" t="n">
        <v>46183</v>
      </c>
      <c r="C848" t="inlineStr">
        <is>
          <t>SC RAPID LOGISTIC SA</t>
        </is>
      </c>
      <c r="D848" t="inlineStr">
        <is>
          <t>Prahova</t>
        </is>
      </c>
      <c r="E848" t="inlineStr">
        <is>
          <t>PRD-003</t>
        </is>
      </c>
      <c r="F848" t="inlineStr">
        <is>
          <t>Licenta Office 365 anuala</t>
        </is>
      </c>
      <c r="G848" t="inlineStr">
        <is>
          <t>Licențe software</t>
        </is>
      </c>
      <c r="H848" t="n">
        <v>1</v>
      </c>
      <c r="I848" t="n">
        <v>4358.36</v>
      </c>
      <c r="J848" t="n">
        <v>4358.36</v>
      </c>
      <c r="K848" s="13" t="n">
        <v>0.19</v>
      </c>
      <c r="L848" t="n">
        <v>828.09</v>
      </c>
      <c r="M848" t="n">
        <v>5186.45</v>
      </c>
      <c r="N848" t="inlineStr">
        <is>
          <t>RON</t>
        </is>
      </c>
      <c r="O848" t="inlineStr">
        <is>
          <t>Ploiești</t>
        </is>
      </c>
      <c r="P848" s="12" t="n">
        <v>46198</v>
      </c>
      <c r="Q848">
        <f>IF(COUNTIF(tbl_Localitati[oras_oficial],[@oras])=0,"ORAS NEALINIAT",IF(XLOOKUP([@oras],tbl_Localitati[oras_oficial],tbl_Localitati[judet],"?")&lt;&gt;[@judet],"JUDET NECORESPUNZATOR",""))</f>
        <v/>
      </c>
      <c r="R848">
        <f>IF(XLOOKUP([@categorie],tbl_RegulriTVA[categorie],tbl_RegulriTVA[cota_legala],-1)&lt;&gt;[@cota_tva],"TVA GRESIT","")</f>
        <v/>
      </c>
      <c r="S848">
        <f>IF([@data_scadentei]&lt;[@data_factura],"SCADENTA INAINTEA FACTURII","")</f>
        <v/>
      </c>
      <c r="T848">
        <f>IF(NETWORKDAYS.INTL([@data_factura],[@data_factura],1,tbl_SarbatoriLegale[data])=0,"ZI NELUCRATOARE","")</f>
        <v/>
      </c>
      <c r="U848">
        <f>IF([@motiv_anomalie]="","OK","DE INVESTIGAT")</f>
        <v/>
      </c>
      <c r="V848">
        <f>TEXTJOIN("; ",TRUE,[@flag_oras],[@flag_tva],[@flag_scadenta],[@flag_zi])</f>
        <v/>
      </c>
    </row>
    <row r="849">
      <c r="A849" t="inlineStr">
        <is>
          <t>F-2025-00848</t>
        </is>
      </c>
      <c r="B849" s="12" t="n">
        <v>46159</v>
      </c>
      <c r="C849" t="inlineStr">
        <is>
          <t>SC METALPLAST INVEST SA</t>
        </is>
      </c>
      <c r="D849" t="inlineStr">
        <is>
          <t>Cluj</t>
        </is>
      </c>
      <c r="E849" t="inlineStr">
        <is>
          <t>PRD-001</t>
        </is>
      </c>
      <c r="F849" t="inlineStr">
        <is>
          <t>Masti protectie cutie</t>
        </is>
      </c>
      <c r="G849" t="inlineStr">
        <is>
          <t>Produse farmaceutice</t>
        </is>
      </c>
      <c r="H849" t="n">
        <v>1</v>
      </c>
      <c r="I849" t="n">
        <v>2496.79</v>
      </c>
      <c r="J849" t="n">
        <v>2496.79</v>
      </c>
      <c r="K849" s="13" t="n">
        <v>0.09</v>
      </c>
      <c r="L849" t="n">
        <v>224.71</v>
      </c>
      <c r="M849" t="n">
        <v>2721.5</v>
      </c>
      <c r="N849" t="inlineStr">
        <is>
          <t>RON</t>
        </is>
      </c>
      <c r="O849" t="inlineStr">
        <is>
          <t>Turda</t>
        </is>
      </c>
      <c r="P849" s="12" t="n">
        <v>46189</v>
      </c>
      <c r="Q849">
        <f>IF(COUNTIF(tbl_Localitati[oras_oficial],[@oras])=0,"ORAS NEALINIAT",IF(XLOOKUP([@oras],tbl_Localitati[oras_oficial],tbl_Localitati[judet],"?")&lt;&gt;[@judet],"JUDET NECORESPUNZATOR",""))</f>
        <v/>
      </c>
      <c r="R849">
        <f>IF(XLOOKUP([@categorie],tbl_RegulriTVA[categorie],tbl_RegulriTVA[cota_legala],-1)&lt;&gt;[@cota_tva],"TVA GRESIT","")</f>
        <v/>
      </c>
      <c r="S849">
        <f>IF([@data_scadentei]&lt;[@data_factura],"SCADENTA INAINTEA FACTURII","")</f>
        <v/>
      </c>
      <c r="T849">
        <f>IF(NETWORKDAYS.INTL([@data_factura],[@data_factura],1,tbl_SarbatoriLegale[data])=0,"ZI NELUCRATOARE","")</f>
        <v/>
      </c>
      <c r="U849">
        <f>IF([@motiv_anomalie]="","OK","DE INVESTIGAT")</f>
        <v/>
      </c>
      <c r="V849">
        <f>TEXTJOIN("; ",TRUE,[@flag_oras],[@flag_tva],[@flag_scadenta],[@flag_zi])</f>
        <v/>
      </c>
    </row>
    <row r="850">
      <c r="A850" t="inlineStr">
        <is>
          <t>F-2025-00849</t>
        </is>
      </c>
      <c r="B850" s="12" t="n">
        <v>46197</v>
      </c>
      <c r="C850" t="inlineStr">
        <is>
          <t>SC METALPLAST INVEST SA</t>
        </is>
      </c>
      <c r="D850" t="inlineStr">
        <is>
          <t>Cluj</t>
        </is>
      </c>
      <c r="E850" t="inlineStr">
        <is>
          <t>PRD-001</t>
        </is>
      </c>
      <c r="F850" t="inlineStr">
        <is>
          <t>Abonament suita cloud</t>
        </is>
      </c>
      <c r="G850" t="inlineStr">
        <is>
          <t>Licențe software</t>
        </is>
      </c>
      <c r="H850" t="n">
        <v>1</v>
      </c>
      <c r="I850" t="n">
        <v>2390.63</v>
      </c>
      <c r="J850" t="n">
        <v>2390.63</v>
      </c>
      <c r="K850" s="13" t="n">
        <v>0.19</v>
      </c>
      <c r="L850" t="n">
        <v>454.22</v>
      </c>
      <c r="M850" t="n">
        <v>2844.85</v>
      </c>
      <c r="N850" t="inlineStr">
        <is>
          <t>RON</t>
        </is>
      </c>
      <c r="O850" t="inlineStr">
        <is>
          <t>Turda</t>
        </is>
      </c>
      <c r="P850" s="12" t="n">
        <v>46227</v>
      </c>
      <c r="Q850">
        <f>IF(COUNTIF(tbl_Localitati[oras_oficial],[@oras])=0,"ORAS NEALINIAT",IF(XLOOKUP([@oras],tbl_Localitati[oras_oficial],tbl_Localitati[judet],"?")&lt;&gt;[@judet],"JUDET NECORESPUNZATOR",""))</f>
        <v/>
      </c>
      <c r="R850">
        <f>IF(XLOOKUP([@categorie],tbl_RegulriTVA[categorie],tbl_RegulriTVA[cota_legala],-1)&lt;&gt;[@cota_tva],"TVA GRESIT","")</f>
        <v/>
      </c>
      <c r="S850">
        <f>IF([@data_scadentei]&lt;[@data_factura],"SCADENTA INAINTEA FACTURII","")</f>
        <v/>
      </c>
      <c r="T850">
        <f>IF(NETWORKDAYS.INTL([@data_factura],[@data_factura],1,tbl_SarbatoriLegale[data])=0,"ZI NELUCRATOARE","")</f>
        <v/>
      </c>
      <c r="U850">
        <f>IF([@motiv_anomalie]="","OK","DE INVESTIGAT")</f>
        <v/>
      </c>
      <c r="V850">
        <f>TEXTJOIN("; ",TRUE,[@flag_oras],[@flag_tva],[@flag_scadenta],[@flag_zi])</f>
        <v/>
      </c>
    </row>
    <row r="851">
      <c r="A851" t="inlineStr">
        <is>
          <t>F-2025-00850</t>
        </is>
      </c>
      <c r="B851" s="12" t="n">
        <v>46204</v>
      </c>
      <c r="C851" t="inlineStr">
        <is>
          <t>SC NORDIS DISTRIBUTIE SRL</t>
        </is>
      </c>
      <c r="D851" t="inlineStr">
        <is>
          <t>Constanța</t>
        </is>
      </c>
      <c r="E851" t="inlineStr">
        <is>
          <t>PRD-008</t>
        </is>
      </c>
      <c r="F851" t="inlineStr">
        <is>
          <t>Abonament suita cloud</t>
        </is>
      </c>
      <c r="G851" t="inlineStr">
        <is>
          <t>Licențe software</t>
        </is>
      </c>
      <c r="H851" t="n">
        <v>1</v>
      </c>
      <c r="I851" t="n">
        <v>464.27</v>
      </c>
      <c r="J851" t="n">
        <v>464.27</v>
      </c>
      <c r="K851" s="13" t="n">
        <v>0.19</v>
      </c>
      <c r="L851" t="n">
        <v>88.20999999999999</v>
      </c>
      <c r="M851" t="n">
        <v>552.48</v>
      </c>
      <c r="N851" t="inlineStr">
        <is>
          <t>RON</t>
        </is>
      </c>
      <c r="O851" t="inlineStr">
        <is>
          <t>Mangalia</t>
        </is>
      </c>
      <c r="P851" s="12" t="n">
        <v>46219</v>
      </c>
      <c r="Q851">
        <f>IF(COUNTIF(tbl_Localitati[oras_oficial],[@oras])=0,"ORAS NEALINIAT",IF(XLOOKUP([@oras],tbl_Localitati[oras_oficial],tbl_Localitati[judet],"?")&lt;&gt;[@judet],"JUDET NECORESPUNZATOR",""))</f>
        <v/>
      </c>
      <c r="R851">
        <f>IF(XLOOKUP([@categorie],tbl_RegulriTVA[categorie],tbl_RegulriTVA[cota_legala],-1)&lt;&gt;[@cota_tva],"TVA GRESIT","")</f>
        <v/>
      </c>
      <c r="S851">
        <f>IF([@data_scadentei]&lt;[@data_factura],"SCADENTA INAINTEA FACTURII","")</f>
        <v/>
      </c>
      <c r="T851">
        <f>IF(NETWORKDAYS.INTL([@data_factura],[@data_factura],1,tbl_SarbatoriLegale[data])=0,"ZI NELUCRATOARE","")</f>
        <v/>
      </c>
      <c r="U851">
        <f>IF([@motiv_anomalie]="","OK","DE INVESTIGAT")</f>
        <v/>
      </c>
      <c r="V851">
        <f>TEXTJOIN("; ",TRUE,[@flag_oras],[@flag_tva],[@flag_scadenta],[@flag_zi])</f>
        <v/>
      </c>
    </row>
    <row r="852">
      <c r="A852" t="inlineStr">
        <is>
          <t>F-2025-00851</t>
        </is>
      </c>
      <c r="B852" s="12" t="n">
        <v>46283</v>
      </c>
      <c r="C852" t="inlineStr">
        <is>
          <t>SC AROMET TRADING SRL</t>
        </is>
      </c>
      <c r="D852" t="inlineStr">
        <is>
          <t>Alba</t>
        </is>
      </c>
      <c r="E852" t="inlineStr">
        <is>
          <t>PRD-003</t>
        </is>
      </c>
      <c r="F852" t="inlineStr">
        <is>
          <t>Masti protectie cutie</t>
        </is>
      </c>
      <c r="G852" t="inlineStr">
        <is>
          <t>Produse farmaceutice</t>
        </is>
      </c>
      <c r="H852" t="n">
        <v>3</v>
      </c>
      <c r="I852" t="n">
        <v>4060.58</v>
      </c>
      <c r="J852" t="n">
        <v>12181.74</v>
      </c>
      <c r="K852" s="13" t="n">
        <v>0.09</v>
      </c>
      <c r="L852" t="n">
        <v>1096.36</v>
      </c>
      <c r="M852" t="n">
        <v>13278.1</v>
      </c>
      <c r="N852" t="inlineStr">
        <is>
          <t>RON</t>
        </is>
      </c>
      <c r="O852" t="inlineStr">
        <is>
          <t>Alba Iulia</t>
        </is>
      </c>
      <c r="P852" s="12" t="n">
        <v>46313</v>
      </c>
      <c r="Q852">
        <f>IF(COUNTIF(tbl_Localitati[oras_oficial],[@oras])=0,"ORAS NEALINIAT",IF(XLOOKUP([@oras],tbl_Localitati[oras_oficial],tbl_Localitati[judet],"?")&lt;&gt;[@judet],"JUDET NECORESPUNZATOR",""))</f>
        <v/>
      </c>
      <c r="R852">
        <f>IF(XLOOKUP([@categorie],tbl_RegulriTVA[categorie],tbl_RegulriTVA[cota_legala],-1)&lt;&gt;[@cota_tva],"TVA GRESIT","")</f>
        <v/>
      </c>
      <c r="S852">
        <f>IF([@data_scadentei]&lt;[@data_factura],"SCADENTA INAINTEA FACTURII","")</f>
        <v/>
      </c>
      <c r="T852">
        <f>IF(NETWORKDAYS.INTL([@data_factura],[@data_factura],1,tbl_SarbatoriLegale[data])=0,"ZI NELUCRATOARE","")</f>
        <v/>
      </c>
      <c r="U852">
        <f>IF([@motiv_anomalie]="","OK","DE INVESTIGAT")</f>
        <v/>
      </c>
      <c r="V852">
        <f>TEXTJOIN("; ",TRUE,[@flag_oras],[@flag_tva],[@flag_scadenta],[@flag_zi])</f>
        <v/>
      </c>
    </row>
    <row r="853">
      <c r="A853" t="inlineStr">
        <is>
          <t>F-2025-00852</t>
        </is>
      </c>
      <c r="B853" s="12" t="n">
        <v>46139</v>
      </c>
      <c r="C853" t="inlineStr">
        <is>
          <t>SC DACTECH SOLUTIONS SRL</t>
        </is>
      </c>
      <c r="D853" t="inlineStr">
        <is>
          <t>Argeș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 IT</t>
        </is>
      </c>
      <c r="H853" t="n">
        <v>2</v>
      </c>
      <c r="I853" t="n">
        <v>2505.4</v>
      </c>
      <c r="J853" t="n">
        <v>5010.8</v>
      </c>
      <c r="K853" s="13" t="n">
        <v>0.19</v>
      </c>
      <c r="L853" t="n">
        <v>952.05</v>
      </c>
      <c r="M853" t="n">
        <v>5962.85</v>
      </c>
      <c r="N853" t="inlineStr">
        <is>
          <t>EUR</t>
        </is>
      </c>
      <c r="O853" t="inlineStr">
        <is>
          <t>Pitești</t>
        </is>
      </c>
      <c r="P853" s="12" t="n">
        <v>46154</v>
      </c>
      <c r="Q853">
        <f>IF(COUNTIF(tbl_Localitati[oras_oficial],[@oras])=0,"ORAS NEALINIAT",IF(XLOOKUP([@oras],tbl_Localitati[oras_oficial],tbl_Localitati[judet],"?")&lt;&gt;[@judet],"JUDET NECORESPUNZATOR",""))</f>
        <v/>
      </c>
      <c r="R853">
        <f>IF(XLOOKUP([@categorie],tbl_RegulriTVA[categorie],tbl_RegulriTVA[cota_legala],-1)&lt;&gt;[@cota_tva],"TVA GRESIT","")</f>
        <v/>
      </c>
      <c r="S853">
        <f>IF([@data_scadentei]&lt;[@data_factura],"SCADENTA INAINTEA FACTURII","")</f>
        <v/>
      </c>
      <c r="T853">
        <f>IF(NETWORKDAYS.INTL([@data_factura],[@data_factura],1,tbl_SarbatoriLegale[data])=0,"ZI NELUCRATOARE","")</f>
        <v/>
      </c>
      <c r="U853">
        <f>IF([@motiv_anomalie]="","OK","DE INVESTIGAT")</f>
        <v/>
      </c>
      <c r="V853">
        <f>TEXTJOIN("; ",TRUE,[@flag_oras],[@flag_tva],[@flag_scadenta],[@flag_zi])</f>
        <v/>
      </c>
    </row>
    <row r="854">
      <c r="A854" t="inlineStr">
        <is>
          <t>F-2025-00853</t>
        </is>
      </c>
      <c r="B854" s="12" t="n">
        <v>46338</v>
      </c>
      <c r="C854" t="inlineStr">
        <is>
          <t>SC METALPLAST INVEST SA</t>
        </is>
      </c>
      <c r="D854" t="inlineStr">
        <is>
          <t>Cluj</t>
        </is>
      </c>
      <c r="E854" t="inlineStr">
        <is>
          <t>PRD-006</t>
        </is>
      </c>
      <c r="F854" t="inlineStr">
        <is>
          <t>Laptop business 15"</t>
        </is>
      </c>
      <c r="G854" t="inlineStr">
        <is>
          <t>Hardware IT</t>
        </is>
      </c>
      <c r="H854" t="n">
        <v>1</v>
      </c>
      <c r="I854" t="n">
        <v>733.33</v>
      </c>
      <c r="J854" t="n">
        <v>733.33</v>
      </c>
      <c r="K854" s="13" t="n">
        <v>0.19</v>
      </c>
      <c r="L854" t="n">
        <v>139.33</v>
      </c>
      <c r="M854" t="n">
        <v>872.66</v>
      </c>
      <c r="N854" t="inlineStr">
        <is>
          <t>RON</t>
        </is>
      </c>
      <c r="O854" t="inlineStr">
        <is>
          <t>Turda</t>
        </is>
      </c>
      <c r="P854" s="12" t="n">
        <v>46368</v>
      </c>
      <c r="Q854">
        <f>IF(COUNTIF(tbl_Localitati[oras_oficial],[@oras])=0,"ORAS NEALINIAT",IF(XLOOKUP([@oras],tbl_Localitati[oras_oficial],tbl_Localitati[judet],"?")&lt;&gt;[@judet],"JUDET NECORESPUNZATOR",""))</f>
        <v/>
      </c>
      <c r="R854">
        <f>IF(XLOOKUP([@categorie],tbl_RegulriTVA[categorie],tbl_RegulriTVA[cota_legala],-1)&lt;&gt;[@cota_tva],"TVA GRESIT","")</f>
        <v/>
      </c>
      <c r="S854">
        <f>IF([@data_scadentei]&lt;[@data_factura],"SCADENTA INAINTEA FACTURII","")</f>
        <v/>
      </c>
      <c r="T854">
        <f>IF(NETWORKDAYS.INTL([@data_factura],[@data_factura],1,tbl_SarbatoriLegale[data])=0,"ZI NELUCRATOARE","")</f>
        <v/>
      </c>
      <c r="U854">
        <f>IF([@motiv_anomalie]="","OK","DE INVESTIGAT")</f>
        <v/>
      </c>
      <c r="V854">
        <f>TEXTJOIN("; ",TRUE,[@flag_oras],[@flag_tva],[@flag_scadenta],[@flag_zi])</f>
        <v/>
      </c>
    </row>
    <row r="855">
      <c r="A855" t="inlineStr">
        <is>
          <t>F-2025-00854</t>
        </is>
      </c>
      <c r="B855" s="12" t="n">
        <v>46321</v>
      </c>
      <c r="C855" t="inlineStr">
        <is>
          <t>SC ELECTROBUILD SRL</t>
        </is>
      </c>
      <c r="D855" t="inlineStr">
        <is>
          <t>Bacău</t>
        </is>
      </c>
      <c r="E855" t="inlineStr">
        <is>
          <t>PRD-005</t>
        </is>
      </c>
      <c r="F855" t="inlineStr">
        <is>
          <t>Apa plata bax</t>
        </is>
      </c>
      <c r="G855" t="inlineStr">
        <is>
          <t>Alimente</t>
        </is>
      </c>
      <c r="H855" t="n">
        <v>1</v>
      </c>
      <c r="I855" t="n">
        <v>247.09</v>
      </c>
      <c r="J855" t="n">
        <v>247.09</v>
      </c>
      <c r="K855" s="13" t="n">
        <v>0.09</v>
      </c>
      <c r="L855" t="n">
        <v>22.24</v>
      </c>
      <c r="M855" t="n">
        <v>269.33</v>
      </c>
      <c r="N855" t="inlineStr">
        <is>
          <t>RON</t>
        </is>
      </c>
      <c r="O855" t="inlineStr">
        <is>
          <t>Bacău</t>
        </is>
      </c>
      <c r="P855" s="12" t="n">
        <v>46351</v>
      </c>
      <c r="Q855">
        <f>IF(COUNTIF(tbl_Localitati[oras_oficial],[@oras])=0,"ORAS NEALINIAT",IF(XLOOKUP([@oras],tbl_Localitati[oras_oficial],tbl_Localitati[judet],"?")&lt;&gt;[@judet],"JUDET NECORESPUNZATOR",""))</f>
        <v/>
      </c>
      <c r="R855">
        <f>IF(XLOOKUP([@categorie],tbl_RegulriTVA[categorie],tbl_RegulriTVA[cota_legala],-1)&lt;&gt;[@cota_tva],"TVA GRESIT","")</f>
        <v/>
      </c>
      <c r="S855">
        <f>IF([@data_scadentei]&lt;[@data_factura],"SCADENTA INAINTEA FACTURII","")</f>
        <v/>
      </c>
      <c r="T855">
        <f>IF(NETWORKDAYS.INTL([@data_factura],[@data_factura],1,tbl_SarbatoriLegale[data])=0,"ZI NELUCRATOARE","")</f>
        <v/>
      </c>
      <c r="U855">
        <f>IF([@motiv_anomalie]="","OK","DE INVESTIGAT")</f>
        <v/>
      </c>
      <c r="V855">
        <f>TEXTJOIN("; ",TRUE,[@flag_oras],[@flag_tva],[@flag_scadenta],[@flag_zi])</f>
        <v/>
      </c>
    </row>
    <row r="856">
      <c r="A856" t="inlineStr">
        <is>
          <t>F-2025-00855</t>
        </is>
      </c>
      <c r="B856" s="12" t="n">
        <v>46091</v>
      </c>
      <c r="C856" t="inlineStr">
        <is>
          <t>SC NORDIS DISTRIBUTIE SRL</t>
        </is>
      </c>
      <c r="D856" t="inlineStr">
        <is>
          <t>Constanța</t>
        </is>
      </c>
      <c r="E856" t="inlineStr">
        <is>
          <t>PRD-002</t>
        </is>
      </c>
      <c r="F856" t="inlineStr">
        <is>
          <t>Audit infrastructura</t>
        </is>
      </c>
      <c r="G856" t="inlineStr">
        <is>
          <t>Servicii consultanță</t>
        </is>
      </c>
      <c r="H856" t="n">
        <v>3</v>
      </c>
      <c r="I856" t="n">
        <v>1099.04</v>
      </c>
      <c r="J856" t="n">
        <v>3297.12</v>
      </c>
      <c r="K856" s="13" t="n">
        <v>0.19</v>
      </c>
      <c r="L856" t="n">
        <v>626.45</v>
      </c>
      <c r="M856" t="n">
        <v>3923.57</v>
      </c>
      <c r="N856" t="inlineStr">
        <is>
          <t>RON</t>
        </is>
      </c>
      <c r="O856" t="inlineStr">
        <is>
          <t>Mangalia</t>
        </is>
      </c>
      <c r="P856" s="12" t="n">
        <v>46136</v>
      </c>
      <c r="Q856">
        <f>IF(COUNTIF(tbl_Localitati[oras_oficial],[@oras])=0,"ORAS NEALINIAT",IF(XLOOKUP([@oras],tbl_Localitati[oras_oficial],tbl_Localitati[judet],"?")&lt;&gt;[@judet],"JUDET NECORESPUNZATOR",""))</f>
        <v/>
      </c>
      <c r="R856">
        <f>IF(XLOOKUP([@categorie],tbl_RegulriTVA[categorie],tbl_RegulriTVA[cota_legala],-1)&lt;&gt;[@cota_tva],"TVA GRESIT","")</f>
        <v/>
      </c>
      <c r="S856">
        <f>IF([@data_scadentei]&lt;[@data_factura],"SCADENTA INAINTEA FACTURII","")</f>
        <v/>
      </c>
      <c r="T856">
        <f>IF(NETWORKDAYS.INTL([@data_factura],[@data_factura],1,tbl_SarbatoriLegale[data])=0,"ZI NELUCRATOARE","")</f>
        <v/>
      </c>
      <c r="U856">
        <f>IF([@motiv_anomalie]="","OK","DE INVESTIGAT")</f>
        <v/>
      </c>
      <c r="V856">
        <f>TEXTJOIN("; ",TRUE,[@flag_oras],[@flag_tva],[@flag_scadenta],[@flag_zi])</f>
        <v/>
      </c>
    </row>
    <row r="857">
      <c r="A857" t="inlineStr">
        <is>
          <t>F-2025-00856</t>
        </is>
      </c>
      <c r="B857" s="12" t="n">
        <v>46234</v>
      </c>
      <c r="C857" t="inlineStr">
        <is>
          <t>SC AROMET TRADING SRL</t>
        </is>
      </c>
      <c r="D857" t="inlineStr">
        <is>
          <t>Alba</t>
        </is>
      </c>
      <c r="E857" t="inlineStr">
        <is>
          <t>PRD-002</t>
        </is>
      </c>
      <c r="F857" t="inlineStr">
        <is>
          <t>Abonament suita cloud</t>
        </is>
      </c>
      <c r="G857" t="inlineStr">
        <is>
          <t>Licențe software</t>
        </is>
      </c>
      <c r="H857" t="n">
        <v>5</v>
      </c>
      <c r="I857" t="n">
        <v>1082.31</v>
      </c>
      <c r="J857" t="n">
        <v>5411.55</v>
      </c>
      <c r="K857" s="13" t="n">
        <v>0.19</v>
      </c>
      <c r="L857" t="n">
        <v>1028.19</v>
      </c>
      <c r="M857" t="n">
        <v>6439.74</v>
      </c>
      <c r="N857" t="inlineStr">
        <is>
          <t>RON</t>
        </is>
      </c>
      <c r="O857" t="inlineStr">
        <is>
          <t>Alba Iulia</t>
        </is>
      </c>
      <c r="P857" s="12" t="n">
        <v>46264</v>
      </c>
      <c r="Q857">
        <f>IF(COUNTIF(tbl_Localitati[oras_oficial],[@oras])=0,"ORAS NEALINIAT",IF(XLOOKUP([@oras],tbl_Localitati[oras_oficial],tbl_Localitati[judet],"?")&lt;&gt;[@judet],"JUDET NECORESPUNZATOR",""))</f>
        <v/>
      </c>
      <c r="R857">
        <f>IF(XLOOKUP([@categorie],tbl_RegulriTVA[categorie],tbl_RegulriTVA[cota_legala],-1)&lt;&gt;[@cota_tva],"TVA GRESIT","")</f>
        <v/>
      </c>
      <c r="S857">
        <f>IF([@data_scadentei]&lt;[@data_factura],"SCADENTA INAINTEA FACTURII","")</f>
        <v/>
      </c>
      <c r="T857">
        <f>IF(NETWORKDAYS.INTL([@data_factura],[@data_factura],1,tbl_SarbatoriLegale[data])=0,"ZI NELUCRATOARE","")</f>
        <v/>
      </c>
      <c r="U857">
        <f>IF([@motiv_anomalie]="","OK","DE INVESTIGAT")</f>
        <v/>
      </c>
      <c r="V857">
        <f>TEXTJOIN("; ",TRUE,[@flag_oras],[@flag_tva],[@flag_scadenta],[@flag_zi])</f>
        <v/>
      </c>
    </row>
    <row r="858">
      <c r="A858" t="inlineStr">
        <is>
          <t>F-2025-00857</t>
        </is>
      </c>
      <c r="B858" s="12" t="n">
        <v>46321</v>
      </c>
      <c r="C858" t="inlineStr">
        <is>
          <t>SC INTEGROMED SA</t>
        </is>
      </c>
      <c r="D858" t="inlineStr">
        <is>
          <t>Cluj</t>
        </is>
      </c>
      <c r="E858" t="inlineStr">
        <is>
          <t>PRD-008</t>
        </is>
      </c>
      <c r="F858" t="inlineStr">
        <is>
          <t>Statie de lucru desktop</t>
        </is>
      </c>
      <c r="G858" t="inlineStr">
        <is>
          <t>Hardware IT</t>
        </is>
      </c>
      <c r="H858" t="n">
        <v>10</v>
      </c>
      <c r="I858" t="n">
        <v>452.73</v>
      </c>
      <c r="J858" t="n">
        <v>4527.3</v>
      </c>
      <c r="K858" s="13" t="n">
        <v>0.19</v>
      </c>
      <c r="L858" t="n">
        <v>860.1900000000001</v>
      </c>
      <c r="M858" t="n">
        <v>5387.49</v>
      </c>
      <c r="N858" t="inlineStr">
        <is>
          <t>RON</t>
        </is>
      </c>
      <c r="O858" t="inlineStr">
        <is>
          <t>Cluj-Napoca</t>
        </is>
      </c>
      <c r="P858" s="12" t="n">
        <v>46351</v>
      </c>
      <c r="Q858">
        <f>IF(COUNTIF(tbl_Localitati[oras_oficial],[@oras])=0,"ORAS NEALINIAT",IF(XLOOKUP([@oras],tbl_Localitati[oras_oficial],tbl_Localitati[judet],"?")&lt;&gt;[@judet],"JUDET NECORESPUNZATOR",""))</f>
        <v/>
      </c>
      <c r="R858">
        <f>IF(XLOOKUP([@categorie],tbl_RegulriTVA[categorie],tbl_RegulriTVA[cota_legala],-1)&lt;&gt;[@cota_tva],"TVA GRESIT","")</f>
        <v/>
      </c>
      <c r="S858">
        <f>IF([@data_scadentei]&lt;[@data_factura],"SCADENTA INAINTEA FACTURII","")</f>
        <v/>
      </c>
      <c r="T858">
        <f>IF(NETWORKDAYS.INTL([@data_factura],[@data_factura],1,tbl_SarbatoriLegale[data])=0,"ZI NELUCRATOARE","")</f>
        <v/>
      </c>
      <c r="U858">
        <f>IF([@motiv_anomalie]="","OK","DE INVESTIGAT")</f>
        <v/>
      </c>
      <c r="V858">
        <f>TEXTJOIN("; ",TRUE,[@flag_oras],[@flag_tva],[@flag_scadenta],[@flag_zi])</f>
        <v/>
      </c>
    </row>
    <row r="859">
      <c r="A859" t="inlineStr">
        <is>
          <t>F-2025-00858</t>
        </is>
      </c>
      <c r="B859" s="12" t="n">
        <v>46262</v>
      </c>
      <c r="C859" t="inlineStr">
        <is>
          <t>SC INTEGROMED SA</t>
        </is>
      </c>
      <c r="D859" t="inlineStr">
        <is>
          <t>Cluj</t>
        </is>
      </c>
      <c r="E859" t="inlineStr">
        <is>
          <t>PRD-010</t>
        </is>
      </c>
      <c r="F859" t="inlineStr">
        <is>
          <t>Server rack 1U</t>
        </is>
      </c>
      <c r="G859" t="inlineStr">
        <is>
          <t>Hardware IT</t>
        </is>
      </c>
      <c r="H859" t="n">
        <v>50</v>
      </c>
      <c r="I859" t="n">
        <v>353.95</v>
      </c>
      <c r="J859" t="n">
        <v>17697.5</v>
      </c>
      <c r="K859" s="13" t="n">
        <v>0.19</v>
      </c>
      <c r="L859" t="n">
        <v>3362.53</v>
      </c>
      <c r="M859" t="n">
        <v>21060.03</v>
      </c>
      <c r="N859" t="inlineStr">
        <is>
          <t>RON</t>
        </is>
      </c>
      <c r="O859" t="inlineStr">
        <is>
          <t>Cluj-Napoca</t>
        </is>
      </c>
      <c r="P859" s="12" t="n">
        <v>46322</v>
      </c>
      <c r="Q859">
        <f>IF(COUNTIF(tbl_Localitati[oras_oficial],[@oras])=0,"ORAS NEALINIAT",IF(XLOOKUP([@oras],tbl_Localitati[oras_oficial],tbl_Localitati[judet],"?")&lt;&gt;[@judet],"JUDET NECORESPUNZATOR",""))</f>
        <v/>
      </c>
      <c r="R859">
        <f>IF(XLOOKUP([@categorie],tbl_RegulriTVA[categorie],tbl_RegulriTVA[cota_legala],-1)&lt;&gt;[@cota_tva],"TVA GRESIT","")</f>
        <v/>
      </c>
      <c r="S859">
        <f>IF([@data_scadentei]&lt;[@data_factura],"SCADENTA INAINTEA FACTURII","")</f>
        <v/>
      </c>
      <c r="T859">
        <f>IF(NETWORKDAYS.INTL([@data_factura],[@data_factura],1,tbl_SarbatoriLegale[data])=0,"ZI NELUCRATOARE","")</f>
        <v/>
      </c>
      <c r="U859">
        <f>IF([@motiv_anomalie]="","OK","DE INVESTIGAT")</f>
        <v/>
      </c>
      <c r="V859">
        <f>TEXTJOIN("; ",TRUE,[@flag_oras],[@flag_tva],[@flag_scadenta],[@flag_zi])</f>
        <v/>
      </c>
    </row>
    <row r="860">
      <c r="A860" t="inlineStr">
        <is>
          <t>F-2025-00859</t>
        </is>
      </c>
      <c r="B860" s="12" t="n">
        <v>46038</v>
      </c>
      <c r="C860" t="inlineStr">
        <is>
          <t>SC ELECTROBUILD SRL</t>
        </is>
      </c>
      <c r="D860" t="inlineStr">
        <is>
          <t>Bacău</t>
        </is>
      </c>
      <c r="E860" t="inlineStr">
        <is>
          <t>PRD-004</t>
        </is>
      </c>
      <c r="F860" t="inlineStr">
        <is>
          <t>Tocator documente</t>
        </is>
      </c>
      <c r="G860" t="inlineStr">
        <is>
          <t>Echipamente birou</t>
        </is>
      </c>
      <c r="H860" t="n">
        <v>2</v>
      </c>
      <c r="I860" t="n">
        <v>944.16</v>
      </c>
      <c r="J860" t="n">
        <v>1888.32</v>
      </c>
      <c r="K860" s="13" t="n">
        <v>0.19</v>
      </c>
      <c r="L860" t="n">
        <v>358.78</v>
      </c>
      <c r="M860" t="n">
        <v>2247.1</v>
      </c>
      <c r="N860" t="inlineStr">
        <is>
          <t>RON</t>
        </is>
      </c>
      <c r="O860" t="inlineStr">
        <is>
          <t>Bacău</t>
        </is>
      </c>
      <c r="P860" s="12" t="n">
        <v>46098</v>
      </c>
      <c r="Q860">
        <f>IF(COUNTIF(tbl_Localitati[oras_oficial],[@oras])=0,"ORAS NEALINIAT",IF(XLOOKUP([@oras],tbl_Localitati[oras_oficial],tbl_Localitati[judet],"?")&lt;&gt;[@judet],"JUDET NECORESPUNZATOR",""))</f>
        <v/>
      </c>
      <c r="R860">
        <f>IF(XLOOKUP([@categorie],tbl_RegulriTVA[categorie],tbl_RegulriTVA[cota_legala],-1)&lt;&gt;[@cota_tva],"TVA GRESIT","")</f>
        <v/>
      </c>
      <c r="S860">
        <f>IF([@data_scadentei]&lt;[@data_factura],"SCADENTA INAINTEA FACTURII","")</f>
        <v/>
      </c>
      <c r="T860">
        <f>IF(NETWORKDAYS.INTL([@data_factura],[@data_factura],1,tbl_SarbatoriLegale[data])=0,"ZI NELUCRATOARE","")</f>
        <v/>
      </c>
      <c r="U860">
        <f>IF([@motiv_anomalie]="","OK","DE INVESTIGAT")</f>
        <v/>
      </c>
      <c r="V860">
        <f>TEXTJOIN("; ",TRUE,[@flag_oras],[@flag_tva],[@flag_scadenta],[@flag_zi])</f>
        <v/>
      </c>
    </row>
    <row r="861">
      <c r="A861" t="inlineStr">
        <is>
          <t>F-2025-00860</t>
        </is>
      </c>
      <c r="B861" s="12" t="n">
        <v>46246</v>
      </c>
      <c r="C861" t="inlineStr">
        <is>
          <t>SC ZENITH AUTO SRL</t>
        </is>
      </c>
      <c r="D861" t="inlineStr">
        <is>
          <t>București</t>
        </is>
      </c>
      <c r="E861" t="inlineStr">
        <is>
          <t>PRD-004</t>
        </is>
      </c>
      <c r="F861" t="inlineStr">
        <is>
          <t>Telefon IP birou</t>
        </is>
      </c>
      <c r="G861" t="inlineStr">
        <is>
          <t>Echipamente birou</t>
        </is>
      </c>
      <c r="H861" t="n">
        <v>5</v>
      </c>
      <c r="I861" t="n">
        <v>910.16</v>
      </c>
      <c r="J861" t="n">
        <v>4550.8</v>
      </c>
      <c r="K861" s="13" t="n">
        <v>0.19</v>
      </c>
      <c r="L861" t="n">
        <v>864.65</v>
      </c>
      <c r="M861" t="n">
        <v>5415.45</v>
      </c>
      <c r="N861" t="inlineStr">
        <is>
          <t>RON</t>
        </is>
      </c>
      <c r="O861" t="inlineStr">
        <is>
          <t>București</t>
        </is>
      </c>
      <c r="P861" s="12" t="n">
        <v>46276</v>
      </c>
      <c r="Q861">
        <f>IF(COUNTIF(tbl_Localitati[oras_oficial],[@oras])=0,"ORAS NEALINIAT",IF(XLOOKUP([@oras],tbl_Localitati[oras_oficial],tbl_Localitati[judet],"?")&lt;&gt;[@judet],"JUDET NECORESPUNZATOR",""))</f>
        <v/>
      </c>
      <c r="R861">
        <f>IF(XLOOKUP([@categorie],tbl_RegulriTVA[categorie],tbl_RegulriTVA[cota_legala],-1)&lt;&gt;[@cota_tva],"TVA GRESIT","")</f>
        <v/>
      </c>
      <c r="S861">
        <f>IF([@data_scadentei]&lt;[@data_factura],"SCADENTA INAINTEA FACTURII","")</f>
        <v/>
      </c>
      <c r="T861">
        <f>IF(NETWORKDAYS.INTL([@data_factura],[@data_factura],1,tbl_SarbatoriLegale[data])=0,"ZI NELUCRATOARE","")</f>
        <v/>
      </c>
      <c r="U861">
        <f>IF([@motiv_anomalie]="","OK","DE INVESTIGAT")</f>
        <v/>
      </c>
      <c r="V861">
        <f>TEXTJOIN("; ",TRUE,[@flag_oras],[@flag_tva],[@flag_scadenta],[@flag_zi])</f>
        <v/>
      </c>
    </row>
    <row r="862">
      <c r="A862" t="inlineStr">
        <is>
          <t>F-2025-00861</t>
        </is>
      </c>
      <c r="B862" s="12" t="n">
        <v>46287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Statie de lucru desktop</t>
        </is>
      </c>
      <c r="G862" t="inlineStr">
        <is>
          <t>Hardware IT</t>
        </is>
      </c>
      <c r="H862" t="n">
        <v>5</v>
      </c>
      <c r="I862" t="n">
        <v>364.04</v>
      </c>
      <c r="J862" t="n">
        <v>1820.2</v>
      </c>
      <c r="K862" s="13" t="n">
        <v>0.19</v>
      </c>
      <c r="L862" t="n">
        <v>345.84</v>
      </c>
      <c r="M862" t="n">
        <v>2166.04</v>
      </c>
      <c r="N862" t="inlineStr">
        <is>
          <t>RON</t>
        </is>
      </c>
      <c r="O862" t="inlineStr">
        <is>
          <t>Sibiu</t>
        </is>
      </c>
      <c r="P862" s="12" t="n">
        <v>46317</v>
      </c>
      <c r="Q862">
        <f>IF(COUNTIF(tbl_Localitati[oras_oficial],[@oras])=0,"ORAS NEALINIAT",IF(XLOOKUP([@oras],tbl_Localitati[oras_oficial],tbl_Localitati[judet],"?")&lt;&gt;[@judet],"JUDET NECORESPUNZATOR",""))</f>
        <v/>
      </c>
      <c r="R862">
        <f>IF(XLOOKUP([@categorie],tbl_RegulriTVA[categorie],tbl_RegulriTVA[cota_legala],-1)&lt;&gt;[@cota_tva],"TVA GRESIT","")</f>
        <v/>
      </c>
      <c r="S862">
        <f>IF([@data_scadentei]&lt;[@data_factura],"SCADENTA INAINTEA FACTURII","")</f>
        <v/>
      </c>
      <c r="T862">
        <f>IF(NETWORKDAYS.INTL([@data_factura],[@data_factura],1,tbl_SarbatoriLegale[data])=0,"ZI NELUCRATOARE","")</f>
        <v/>
      </c>
      <c r="U862">
        <f>IF([@motiv_anomalie]="","OK","DE INVESTIGAT")</f>
        <v/>
      </c>
      <c r="V862">
        <f>TEXTJOIN("; ",TRUE,[@flag_oras],[@flag_tva],[@flag_scadenta],[@flag_zi])</f>
        <v/>
      </c>
    </row>
    <row r="863">
      <c r="A863" t="inlineStr">
        <is>
          <t>F-2025-00862</t>
        </is>
      </c>
      <c r="B863" s="12" t="n">
        <v>46303</v>
      </c>
      <c r="C863" t="inlineStr">
        <is>
          <t>SC OMEGA SOFT SRL</t>
        </is>
      </c>
      <c r="D863" t="inlineStr">
        <is>
          <t>Dolj</t>
        </is>
      </c>
      <c r="E863" t="inlineStr">
        <is>
          <t>PRD-009</t>
        </is>
      </c>
      <c r="F863" t="inlineStr">
        <is>
          <t>Licenta Office 365 anuala</t>
        </is>
      </c>
      <c r="G863" t="inlineStr">
        <is>
          <t>Licențe software</t>
        </is>
      </c>
      <c r="H863" t="n">
        <v>10</v>
      </c>
      <c r="I863" t="n">
        <v>27.82</v>
      </c>
      <c r="J863" t="n">
        <v>278.2</v>
      </c>
      <c r="K863" s="13" t="n">
        <v>0.19</v>
      </c>
      <c r="L863" t="n">
        <v>52.86</v>
      </c>
      <c r="M863" t="n">
        <v>331.06</v>
      </c>
      <c r="N863" t="inlineStr">
        <is>
          <t>RON</t>
        </is>
      </c>
      <c r="O863" t="inlineStr">
        <is>
          <t>Craiova</t>
        </is>
      </c>
      <c r="P863" s="12" t="n">
        <v>46363</v>
      </c>
      <c r="Q863">
        <f>IF(COUNTIF(tbl_Localitati[oras_oficial],[@oras])=0,"ORAS NEALINIAT",IF(XLOOKUP([@oras],tbl_Localitati[oras_oficial],tbl_Localitati[judet],"?")&lt;&gt;[@judet],"JUDET NECORESPUNZATOR",""))</f>
        <v/>
      </c>
      <c r="R863">
        <f>IF(XLOOKUP([@categorie],tbl_RegulriTVA[categorie],tbl_RegulriTVA[cota_legala],-1)&lt;&gt;[@cota_tva],"TVA GRESIT","")</f>
        <v/>
      </c>
      <c r="S863">
        <f>IF([@data_scadentei]&lt;[@data_factura],"SCADENTA INAINTEA FACTURII","")</f>
        <v/>
      </c>
      <c r="T863">
        <f>IF(NETWORKDAYS.INTL([@data_factura],[@data_factura],1,tbl_SarbatoriLegale[data])=0,"ZI NELUCRATOARE","")</f>
        <v/>
      </c>
      <c r="U863">
        <f>IF([@motiv_anomalie]="","OK","DE INVESTIGAT")</f>
        <v/>
      </c>
      <c r="V863">
        <f>TEXTJOIN("; ",TRUE,[@flag_oras],[@flag_tva],[@flag_scadenta],[@flag_zi])</f>
        <v/>
      </c>
    </row>
    <row r="864">
      <c r="A864" t="inlineStr">
        <is>
          <t>F-2025-00863</t>
        </is>
      </c>
      <c r="B864" s="12" t="n">
        <v>46065</v>
      </c>
      <c r="C864" t="inlineStr">
        <is>
          <t>SC NORDIS DISTRIBUTIE SRL</t>
        </is>
      </c>
      <c r="D864" t="inlineStr">
        <is>
          <t>Constanța</t>
        </is>
      </c>
      <c r="E864" t="inlineStr">
        <is>
          <t>PRD-006</t>
        </is>
      </c>
      <c r="F864" t="inlineStr">
        <is>
          <t>Audit infrastructura</t>
        </is>
      </c>
      <c r="G864" t="inlineStr">
        <is>
          <t>Servicii consultanță</t>
        </is>
      </c>
      <c r="H864" t="n">
        <v>25</v>
      </c>
      <c r="I864" t="n">
        <v>781.6799999999999</v>
      </c>
      <c r="J864" t="n">
        <v>19542</v>
      </c>
      <c r="K864" s="13" t="n">
        <v>0.19</v>
      </c>
      <c r="L864" t="n">
        <v>3712.98</v>
      </c>
      <c r="M864" t="n">
        <v>23254.98</v>
      </c>
      <c r="N864" t="inlineStr">
        <is>
          <t>RON</t>
        </is>
      </c>
      <c r="O864" t="inlineStr">
        <is>
          <t>Mangalia</t>
        </is>
      </c>
      <c r="P864" s="12" t="n">
        <v>46110</v>
      </c>
      <c r="Q864">
        <f>IF(COUNTIF(tbl_Localitati[oras_oficial],[@oras])=0,"ORAS NEALINIAT",IF(XLOOKUP([@oras],tbl_Localitati[oras_oficial],tbl_Localitati[judet],"?")&lt;&gt;[@judet],"JUDET NECORESPUNZATOR",""))</f>
        <v/>
      </c>
      <c r="R864">
        <f>IF(XLOOKUP([@categorie],tbl_RegulriTVA[categorie],tbl_RegulriTVA[cota_legala],-1)&lt;&gt;[@cota_tva],"TVA GRESIT","")</f>
        <v/>
      </c>
      <c r="S864">
        <f>IF([@data_scadentei]&lt;[@data_factura],"SCADENTA INAINTEA FACTURII","")</f>
        <v/>
      </c>
      <c r="T864">
        <f>IF(NETWORKDAYS.INTL([@data_factura],[@data_factura],1,tbl_SarbatoriLegale[data])=0,"ZI NELUCRATOARE","")</f>
        <v/>
      </c>
      <c r="U864">
        <f>IF([@motiv_anomalie]="","OK","DE INVESTIGAT")</f>
        <v/>
      </c>
      <c r="V864">
        <f>TEXTJOIN("; ",TRUE,[@flag_oras],[@flag_tva],[@flag_scadenta],[@flag_zi])</f>
        <v/>
      </c>
    </row>
    <row r="865">
      <c r="A865" t="inlineStr">
        <is>
          <t>F-2025-00864</t>
        </is>
      </c>
      <c r="B865" s="12" t="n">
        <v>46149</v>
      </c>
      <c r="C865" t="inlineStr">
        <is>
          <t>SC NORDIS DISTRIBUTIE SRL</t>
        </is>
      </c>
      <c r="D865" t="inlineStr">
        <is>
          <t>Constanța</t>
        </is>
      </c>
      <c r="E865" t="inlineStr">
        <is>
          <t>PRD-002</t>
        </is>
      </c>
      <c r="F865" t="inlineStr">
        <is>
          <t>Abonament suita cloud</t>
        </is>
      </c>
      <c r="G865" t="inlineStr">
        <is>
          <t>Licențe software</t>
        </is>
      </c>
      <c r="H865" t="n">
        <v>5</v>
      </c>
      <c r="I865" t="n">
        <v>1046.3</v>
      </c>
      <c r="J865" t="n">
        <v>5231.5</v>
      </c>
      <c r="K865" s="13" t="n">
        <v>0.19</v>
      </c>
      <c r="L865" t="n">
        <v>993.99</v>
      </c>
      <c r="M865" t="n">
        <v>6225.49</v>
      </c>
      <c r="N865" t="inlineStr">
        <is>
          <t>RON</t>
        </is>
      </c>
      <c r="O865" t="inlineStr">
        <is>
          <t>Mangalia</t>
        </is>
      </c>
      <c r="P865" s="12" t="n">
        <v>46179</v>
      </c>
      <c r="Q865">
        <f>IF(COUNTIF(tbl_Localitati[oras_oficial],[@oras])=0,"ORAS NEALINIAT",IF(XLOOKUP([@oras],tbl_Localitati[oras_oficial],tbl_Localitati[judet],"?")&lt;&gt;[@judet],"JUDET NECORESPUNZATOR",""))</f>
        <v/>
      </c>
      <c r="R865">
        <f>IF(XLOOKUP([@categorie],tbl_RegulriTVA[categorie],tbl_RegulriTVA[cota_legala],-1)&lt;&gt;[@cota_tva],"TVA GRESIT","")</f>
        <v/>
      </c>
      <c r="S865">
        <f>IF([@data_scadentei]&lt;[@data_factura],"SCADENTA INAINTEA FACTURII","")</f>
        <v/>
      </c>
      <c r="T865">
        <f>IF(NETWORKDAYS.INTL([@data_factura],[@data_factura],1,tbl_SarbatoriLegale[data])=0,"ZI NELUCRATOARE","")</f>
        <v/>
      </c>
      <c r="U865">
        <f>IF([@motiv_anomalie]="","OK","DE INVESTIGAT")</f>
        <v/>
      </c>
      <c r="V865">
        <f>TEXTJOIN("; ",TRUE,[@flag_oras],[@flag_tva],[@flag_scadenta],[@flag_zi])</f>
        <v/>
      </c>
    </row>
    <row r="866">
      <c r="A866" t="inlineStr">
        <is>
          <t>F-2025-00865</t>
        </is>
      </c>
      <c r="B866" s="12" t="n">
        <v>46126</v>
      </c>
      <c r="C866" t="inlineStr">
        <is>
          <t>SC AROMET TRADING SRL</t>
        </is>
      </c>
      <c r="D866" t="inlineStr">
        <is>
          <t>Alba</t>
        </is>
      </c>
      <c r="E866" t="inlineStr">
        <is>
          <t>PRD-006</t>
        </is>
      </c>
      <c r="F866" t="inlineStr">
        <is>
          <t>Server rack 1U</t>
        </is>
      </c>
      <c r="G866" t="inlineStr">
        <is>
          <t>Hardware IT</t>
        </is>
      </c>
      <c r="H866" t="n">
        <v>1</v>
      </c>
      <c r="I866" t="n">
        <v>770.15</v>
      </c>
      <c r="J866" t="n">
        <v>770.15</v>
      </c>
      <c r="K866" s="13" t="n">
        <v>0.19</v>
      </c>
      <c r="L866" t="n">
        <v>146.33</v>
      </c>
      <c r="M866" t="n">
        <v>916.48</v>
      </c>
      <c r="N866" t="inlineStr">
        <is>
          <t>RON</t>
        </is>
      </c>
      <c r="O866" t="inlineStr">
        <is>
          <t>Alba Iulia</t>
        </is>
      </c>
      <c r="P866" s="12" t="n">
        <v>46186</v>
      </c>
      <c r="Q866">
        <f>IF(COUNTIF(tbl_Localitati[oras_oficial],[@oras])=0,"ORAS NEALINIAT",IF(XLOOKUP([@oras],tbl_Localitati[oras_oficial],tbl_Localitati[judet],"?")&lt;&gt;[@judet],"JUDET NECORESPUNZATOR",""))</f>
        <v/>
      </c>
      <c r="R866">
        <f>IF(XLOOKUP([@categorie],tbl_RegulriTVA[categorie],tbl_RegulriTVA[cota_legala],-1)&lt;&gt;[@cota_tva],"TVA GRESIT","")</f>
        <v/>
      </c>
      <c r="S866">
        <f>IF([@data_scadentei]&lt;[@data_factura],"SCADENTA INAINTEA FACTURII","")</f>
        <v/>
      </c>
      <c r="T866">
        <f>IF(NETWORKDAYS.INTL([@data_factura],[@data_factura],1,tbl_SarbatoriLegale[data])=0,"ZI NELUCRATOARE","")</f>
        <v/>
      </c>
      <c r="U866">
        <f>IF([@motiv_anomalie]="","OK","DE INVESTIGAT")</f>
        <v/>
      </c>
      <c r="V866">
        <f>TEXTJOIN("; ",TRUE,[@flag_oras],[@flag_tva],[@flag_scadenta],[@flag_zi])</f>
        <v/>
      </c>
    </row>
    <row r="867">
      <c r="A867" t="inlineStr">
        <is>
          <t>F-2025-00866</t>
        </is>
      </c>
      <c r="B867" s="12" t="n">
        <v>46385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Suport tehnic anual</t>
        </is>
      </c>
      <c r="G867" t="inlineStr">
        <is>
          <t>Servicii consultanță</t>
        </is>
      </c>
      <c r="H867" t="n">
        <v>50</v>
      </c>
      <c r="I867" t="n">
        <v>28.11</v>
      </c>
      <c r="J867" t="n">
        <v>1405.5</v>
      </c>
      <c r="K867" s="13" t="n">
        <v>0.19</v>
      </c>
      <c r="L867" t="n">
        <v>267.05</v>
      </c>
      <c r="M867" t="n">
        <v>1672.55</v>
      </c>
      <c r="N867" t="inlineStr">
        <is>
          <t>EUR</t>
        </is>
      </c>
      <c r="O867" t="inlineStr">
        <is>
          <t>Sibiu</t>
        </is>
      </c>
      <c r="P867" s="12" t="n">
        <v>46445</v>
      </c>
      <c r="Q867">
        <f>IF(COUNTIF(tbl_Localitati[oras_oficial],[@oras])=0,"ORAS NEALINIAT",IF(XLOOKUP([@oras],tbl_Localitati[oras_oficial],tbl_Localitati[judet],"?")&lt;&gt;[@judet],"JUDET NECORESPUNZATOR",""))</f>
        <v/>
      </c>
      <c r="R867">
        <f>IF(XLOOKUP([@categorie],tbl_RegulriTVA[categorie],tbl_RegulriTVA[cota_legala],-1)&lt;&gt;[@cota_tva],"TVA GRESIT","")</f>
        <v/>
      </c>
      <c r="S867">
        <f>IF([@data_scadentei]&lt;[@data_factura],"SCADENTA INAINTEA FACTURII","")</f>
        <v/>
      </c>
      <c r="T867">
        <f>IF(NETWORKDAYS.INTL([@data_factura],[@data_factura],1,tbl_SarbatoriLegale[data])=0,"ZI NELUCRATOARE","")</f>
        <v/>
      </c>
      <c r="U867">
        <f>IF([@motiv_anomalie]="","OK","DE INVESTIGAT")</f>
        <v/>
      </c>
      <c r="V867">
        <f>TEXTJOIN("; ",TRUE,[@flag_oras],[@flag_tva],[@flag_scadenta],[@flag_zi])</f>
        <v/>
      </c>
    </row>
    <row r="868">
      <c r="A868" t="inlineStr">
        <is>
          <t>F-2025-00867</t>
        </is>
      </c>
      <c r="B868" s="12" t="n">
        <v>46171</v>
      </c>
      <c r="C868" t="inlineStr">
        <is>
          <t>SC DACTECH SOLUTIONS SRL</t>
        </is>
      </c>
      <c r="D868" t="inlineStr">
        <is>
          <t>Argeș</t>
        </is>
      </c>
      <c r="E868" t="inlineStr">
        <is>
          <t>PRD-010</t>
        </is>
      </c>
      <c r="F868" t="inlineStr">
        <is>
          <t>Training utilizatori</t>
        </is>
      </c>
      <c r="G868" t="inlineStr">
        <is>
          <t>Servicii consultanță</t>
        </is>
      </c>
      <c r="H868" t="n">
        <v>20</v>
      </c>
      <c r="I868" t="n">
        <v>357.14</v>
      </c>
      <c r="J868" t="n">
        <v>7142.8</v>
      </c>
      <c r="K868" s="13" t="n">
        <v>0.19</v>
      </c>
      <c r="L868" t="n">
        <v>1357.13</v>
      </c>
      <c r="M868" t="n">
        <v>8499.93</v>
      </c>
      <c r="N868" t="inlineStr">
        <is>
          <t>RON</t>
        </is>
      </c>
      <c r="O868" t="inlineStr">
        <is>
          <t>Pitești</t>
        </is>
      </c>
      <c r="P868" s="12" t="n">
        <v>46216</v>
      </c>
      <c r="Q868">
        <f>IF(COUNTIF(tbl_Localitati[oras_oficial],[@oras])=0,"ORAS NEALINIAT",IF(XLOOKUP([@oras],tbl_Localitati[oras_oficial],tbl_Localitati[judet],"?")&lt;&gt;[@judet],"JUDET NECORESPUNZATOR",""))</f>
        <v/>
      </c>
      <c r="R868">
        <f>IF(XLOOKUP([@categorie],tbl_RegulriTVA[categorie],tbl_RegulriTVA[cota_legala],-1)&lt;&gt;[@cota_tva],"TVA GRESIT","")</f>
        <v/>
      </c>
      <c r="S868">
        <f>IF([@data_scadentei]&lt;[@data_factura],"SCADENTA INAINTEA FACTURII","")</f>
        <v/>
      </c>
      <c r="T868">
        <f>IF(NETWORKDAYS.INTL([@data_factura],[@data_factura],1,tbl_SarbatoriLegale[data])=0,"ZI NELUCRATOARE","")</f>
        <v/>
      </c>
      <c r="U868">
        <f>IF([@motiv_anomalie]="","OK","DE INVESTIGAT")</f>
        <v/>
      </c>
      <c r="V868">
        <f>TEXTJOIN("; ",TRUE,[@flag_oras],[@flag_tva],[@flag_scadenta],[@flag_zi])</f>
        <v/>
      </c>
    </row>
    <row r="869">
      <c r="A869" t="inlineStr">
        <is>
          <t>F-2025-00868</t>
        </is>
      </c>
      <c r="B869" s="12" t="n">
        <v>46070</v>
      </c>
      <c r="C869" t="inlineStr">
        <is>
          <t>SC VECTOR CONSULT SRL</t>
        </is>
      </c>
      <c r="D869" t="inlineStr">
        <is>
          <t>Timiș</t>
        </is>
      </c>
      <c r="E869" t="inlineStr">
        <is>
          <t>PRD-004</t>
        </is>
      </c>
      <c r="F869" t="inlineStr">
        <is>
          <t>Suport tehnic anual</t>
        </is>
      </c>
      <c r="G869" t="inlineStr">
        <is>
          <t>Servicii consultanță</t>
        </is>
      </c>
      <c r="H869" t="n">
        <v>1</v>
      </c>
      <c r="I869" t="n">
        <v>893.33</v>
      </c>
      <c r="J869" t="n">
        <v>893.33</v>
      </c>
      <c r="K869" s="13" t="n">
        <v>0.19</v>
      </c>
      <c r="L869" t="n">
        <v>169.73</v>
      </c>
      <c r="M869" t="n">
        <v>1063.06</v>
      </c>
      <c r="N869" t="inlineStr">
        <is>
          <t>RON</t>
        </is>
      </c>
      <c r="O869" t="inlineStr">
        <is>
          <t>Timișoara</t>
        </is>
      </c>
      <c r="P869" s="12" t="n">
        <v>46100</v>
      </c>
      <c r="Q869">
        <f>IF(COUNTIF(tbl_Localitati[oras_oficial],[@oras])=0,"ORAS NEALINIAT",IF(XLOOKUP([@oras],tbl_Localitati[oras_oficial],tbl_Localitati[judet],"?")&lt;&gt;[@judet],"JUDET NECORESPUNZATOR",""))</f>
        <v/>
      </c>
      <c r="R869">
        <f>IF(XLOOKUP([@categorie],tbl_RegulriTVA[categorie],tbl_RegulriTVA[cota_legala],-1)&lt;&gt;[@cota_tva],"TVA GRESIT","")</f>
        <v/>
      </c>
      <c r="S869">
        <f>IF([@data_scadentei]&lt;[@data_factura],"SCADENTA INAINTEA FACTURII","")</f>
        <v/>
      </c>
      <c r="T869">
        <f>IF(NETWORKDAYS.INTL([@data_factura],[@data_factura],1,tbl_SarbatoriLegale[data])=0,"ZI NELUCRATOARE","")</f>
        <v/>
      </c>
      <c r="U869">
        <f>IF([@motiv_anomalie]="","OK","DE INVESTIGAT")</f>
        <v/>
      </c>
      <c r="V869">
        <f>TEXTJOIN("; ",TRUE,[@flag_oras],[@flag_tva],[@flag_scadenta],[@flag_zi])</f>
        <v/>
      </c>
    </row>
    <row r="870">
      <c r="A870" t="inlineStr">
        <is>
          <t>F-2025-00869</t>
        </is>
      </c>
      <c r="B870" s="12" t="n">
        <v>46255</v>
      </c>
      <c r="C870" t="inlineStr">
        <is>
          <t>SC INTEGROMED SA</t>
        </is>
      </c>
      <c r="D870" t="inlineStr">
        <is>
          <t>Cluj</t>
        </is>
      </c>
      <c r="E870" t="inlineStr">
        <is>
          <t>PRD-008</t>
        </is>
      </c>
      <c r="F870" t="inlineStr">
        <is>
          <t>Videoproiector sala</t>
        </is>
      </c>
      <c r="G870" t="inlineStr">
        <is>
          <t>Echipamente birou</t>
        </is>
      </c>
      <c r="H870" t="n">
        <v>50</v>
      </c>
      <c r="I870" t="n">
        <v>471.94</v>
      </c>
      <c r="J870" t="n">
        <v>23597</v>
      </c>
      <c r="K870" s="13" t="n">
        <v>0.19</v>
      </c>
      <c r="L870" t="n">
        <v>4483.43</v>
      </c>
      <c r="M870" t="n">
        <v>28080.43</v>
      </c>
      <c r="N870" t="inlineStr">
        <is>
          <t>RON</t>
        </is>
      </c>
      <c r="O870" t="inlineStr">
        <is>
          <t>Cluj-Napoca</t>
        </is>
      </c>
      <c r="P870" s="12" t="n">
        <v>46285</v>
      </c>
      <c r="Q870">
        <f>IF(COUNTIF(tbl_Localitati[oras_oficial],[@oras])=0,"ORAS NEALINIAT",IF(XLOOKUP([@oras],tbl_Localitati[oras_oficial],tbl_Localitati[judet],"?")&lt;&gt;[@judet],"JUDET NECORESPUNZATOR",""))</f>
        <v/>
      </c>
      <c r="R870">
        <f>IF(XLOOKUP([@categorie],tbl_RegulriTVA[categorie],tbl_RegulriTVA[cota_legala],-1)&lt;&gt;[@cota_tva],"TVA GRESIT","")</f>
        <v/>
      </c>
      <c r="S870">
        <f>IF([@data_scadentei]&lt;[@data_factura],"SCADENTA INAINTEA FACTURII","")</f>
        <v/>
      </c>
      <c r="T870">
        <f>IF(NETWORKDAYS.INTL([@data_factura],[@data_factura],1,tbl_SarbatoriLegale[data])=0,"ZI NELUCRATOARE","")</f>
        <v/>
      </c>
      <c r="U870">
        <f>IF([@motiv_anomalie]="","OK","DE INVESTIGAT")</f>
        <v/>
      </c>
      <c r="V870">
        <f>TEXTJOIN("; ",TRUE,[@flag_oras],[@flag_tva],[@flag_scadenta],[@flag_zi])</f>
        <v/>
      </c>
    </row>
    <row r="871">
      <c r="A871" t="inlineStr">
        <is>
          <t>F-2025-00870</t>
        </is>
      </c>
      <c r="B871" s="12" t="n">
        <v>46246</v>
      </c>
      <c r="C871" t="inlineStr">
        <is>
          <t>SC NORDIS DISTRIBUTIE SRL</t>
        </is>
      </c>
      <c r="D871" t="inlineStr">
        <is>
          <t>Constanța</t>
        </is>
      </c>
      <c r="E871" t="inlineStr">
        <is>
          <t>PRD-001</t>
        </is>
      </c>
      <c r="F871" t="inlineStr">
        <is>
          <t>Apa plata bax</t>
        </is>
      </c>
      <c r="G871" t="inlineStr">
        <is>
          <t>Alimente</t>
        </is>
      </c>
      <c r="H871" t="n">
        <v>1</v>
      </c>
      <c r="I871" t="n">
        <v>2438.26</v>
      </c>
      <c r="J871" t="n">
        <v>2438.26</v>
      </c>
      <c r="K871" s="13" t="n">
        <v>0.09</v>
      </c>
      <c r="L871" t="n">
        <v>219.44</v>
      </c>
      <c r="M871" t="n">
        <v>2657.7</v>
      </c>
      <c r="N871" t="inlineStr">
        <is>
          <t>RON</t>
        </is>
      </c>
      <c r="O871" t="inlineStr">
        <is>
          <t>Mangalia</t>
        </is>
      </c>
      <c r="P871" s="12" t="n">
        <v>46261</v>
      </c>
      <c r="Q871">
        <f>IF(COUNTIF(tbl_Localitati[oras_oficial],[@oras])=0,"ORAS NEALINIAT",IF(XLOOKUP([@oras],tbl_Localitati[oras_oficial],tbl_Localitati[judet],"?")&lt;&gt;[@judet],"JUDET NECORESPUNZATOR",""))</f>
        <v/>
      </c>
      <c r="R871">
        <f>IF(XLOOKUP([@categorie],tbl_RegulriTVA[categorie],tbl_RegulriTVA[cota_legala],-1)&lt;&gt;[@cota_tva],"TVA GRESIT","")</f>
        <v/>
      </c>
      <c r="S871">
        <f>IF([@data_scadentei]&lt;[@data_factura],"SCADENTA INAINTEA FACTURII","")</f>
        <v/>
      </c>
      <c r="T871">
        <f>IF(NETWORKDAYS.INTL([@data_factura],[@data_factura],1,tbl_SarbatoriLegale[data])=0,"ZI NELUCRATOARE","")</f>
        <v/>
      </c>
      <c r="U871">
        <f>IF([@motiv_anomalie]="","OK","DE INVESTIGAT")</f>
        <v/>
      </c>
      <c r="V871">
        <f>TEXTJOIN("; ",TRUE,[@flag_oras],[@flag_tva],[@flag_scadenta],[@flag_zi])</f>
        <v/>
      </c>
    </row>
    <row r="872">
      <c r="A872" t="inlineStr">
        <is>
          <t>F-2025-00871</t>
        </is>
      </c>
      <c r="B872" s="12" t="n">
        <v>46071</v>
      </c>
      <c r="C872" t="inlineStr">
        <is>
          <t>SC AROMET TRADING SRL</t>
        </is>
      </c>
      <c r="D872" t="inlineStr">
        <is>
          <t>Alba</t>
        </is>
      </c>
      <c r="E872" t="inlineStr">
        <is>
          <t>PRD-004</t>
        </is>
      </c>
      <c r="F872" t="inlineStr">
        <is>
          <t>Licenta ERP contabilitate</t>
        </is>
      </c>
      <c r="G872" t="inlineStr">
        <is>
          <t>Licențe software</t>
        </is>
      </c>
      <c r="H872" t="n">
        <v>1</v>
      </c>
      <c r="I872" t="n">
        <v>886.61</v>
      </c>
      <c r="J872" t="n">
        <v>886.61</v>
      </c>
      <c r="K872" s="13" t="n">
        <v>0.19</v>
      </c>
      <c r="L872" t="n">
        <v>168.46</v>
      </c>
      <c r="M872" t="n">
        <v>1055.07</v>
      </c>
      <c r="N872" t="inlineStr">
        <is>
          <t>RON</t>
        </is>
      </c>
      <c r="O872" t="inlineStr">
        <is>
          <t>Alba Iulia</t>
        </is>
      </c>
      <c r="P872" s="12" t="n">
        <v>46101</v>
      </c>
      <c r="Q872">
        <f>IF(COUNTIF(tbl_Localitati[oras_oficial],[@oras])=0,"ORAS NEALINIAT",IF(XLOOKUP([@oras],tbl_Localitati[oras_oficial],tbl_Localitati[judet],"?")&lt;&gt;[@judet],"JUDET NECORESPUNZATOR",""))</f>
        <v/>
      </c>
      <c r="R872">
        <f>IF(XLOOKUP([@categorie],tbl_RegulriTVA[categorie],tbl_RegulriTVA[cota_legala],-1)&lt;&gt;[@cota_tva],"TVA GRESIT","")</f>
        <v/>
      </c>
      <c r="S872">
        <f>IF([@data_scadentei]&lt;[@data_factura],"SCADENTA INAINTEA FACTURII","")</f>
        <v/>
      </c>
      <c r="T872">
        <f>IF(NETWORKDAYS.INTL([@data_factura],[@data_factura],1,tbl_SarbatoriLegale[data])=0,"ZI NELUCRATOARE","")</f>
        <v/>
      </c>
      <c r="U872">
        <f>IF([@motiv_anomalie]="","OK","DE INVESTIGAT")</f>
        <v/>
      </c>
      <c r="V872">
        <f>TEXTJOIN("; ",TRUE,[@flag_oras],[@flag_tva],[@flag_scadenta],[@flag_zi])</f>
        <v/>
      </c>
    </row>
    <row r="873">
      <c r="A873" t="inlineStr">
        <is>
          <t>F-2025-00872</t>
        </is>
      </c>
      <c r="B873" s="12" t="n">
        <v>46093</v>
      </c>
      <c r="C873" t="inlineStr">
        <is>
          <t>SC SOLARIS ENERGY SRL</t>
        </is>
      </c>
      <c r="D873" t="inlineStr">
        <is>
          <t>Prahova</t>
        </is>
      </c>
      <c r="E873" t="inlineStr">
        <is>
          <t>PRD-009</t>
        </is>
      </c>
      <c r="F873" t="inlineStr">
        <is>
          <t>Statie de lucru desktop</t>
        </is>
      </c>
      <c r="G873" t="inlineStr">
        <is>
          <t>Hardware IT</t>
        </is>
      </c>
      <c r="H873" t="n">
        <v>50</v>
      </c>
      <c r="I873" t="n">
        <v>27.21</v>
      </c>
      <c r="J873" t="n">
        <v>1360.5</v>
      </c>
      <c r="K873" s="13" t="n">
        <v>0.19</v>
      </c>
      <c r="L873" t="n">
        <v>258.5</v>
      </c>
      <c r="M873" t="n">
        <v>1619</v>
      </c>
      <c r="N873" t="inlineStr">
        <is>
          <t>RON</t>
        </is>
      </c>
      <c r="O873" t="inlineStr">
        <is>
          <t>Câmpina</t>
        </is>
      </c>
      <c r="P873" s="12" t="n">
        <v>46123</v>
      </c>
      <c r="Q873">
        <f>IF(COUNTIF(tbl_Localitati[oras_oficial],[@oras])=0,"ORAS NEALINIAT",IF(XLOOKUP([@oras],tbl_Localitati[oras_oficial],tbl_Localitati[judet],"?")&lt;&gt;[@judet],"JUDET NECORESPUNZATOR",""))</f>
        <v/>
      </c>
      <c r="R873">
        <f>IF(XLOOKUP([@categorie],tbl_RegulriTVA[categorie],tbl_RegulriTVA[cota_legala],-1)&lt;&gt;[@cota_tva],"TVA GRESIT","")</f>
        <v/>
      </c>
      <c r="S873">
        <f>IF([@data_scadentei]&lt;[@data_factura],"SCADENTA INAINTEA FACTURII","")</f>
        <v/>
      </c>
      <c r="T873">
        <f>IF(NETWORKDAYS.INTL([@data_factura],[@data_factura],1,tbl_SarbatoriLegale[data])=0,"ZI NELUCRATOARE","")</f>
        <v/>
      </c>
      <c r="U873">
        <f>IF([@motiv_anomalie]="","OK","DE INVESTIGAT")</f>
        <v/>
      </c>
      <c r="V873">
        <f>TEXTJOIN("; ",TRUE,[@flag_oras],[@flag_tva],[@flag_scadenta],[@flag_zi])</f>
        <v/>
      </c>
    </row>
    <row r="874">
      <c r="A874" t="inlineStr">
        <is>
          <t>F-2025-00873</t>
        </is>
      </c>
      <c r="B874" s="12" t="n">
        <v>46171</v>
      </c>
      <c r="C874" t="inlineStr">
        <is>
          <t>SC AROMET TRADING SRL</t>
        </is>
      </c>
      <c r="D874" t="inlineStr">
        <is>
          <t>Alba</t>
        </is>
      </c>
      <c r="E874" t="inlineStr">
        <is>
          <t>PRD-011</t>
        </is>
      </c>
      <c r="F874" t="inlineStr">
        <is>
          <t>Tocator documente</t>
        </is>
      </c>
      <c r="G874" t="inlineStr">
        <is>
          <t>Echipamente birou</t>
        </is>
      </c>
      <c r="H874" t="n">
        <v>50</v>
      </c>
      <c r="I874" t="n">
        <v>46.88</v>
      </c>
      <c r="J874" t="n">
        <v>2344</v>
      </c>
      <c r="K874" s="13" t="n">
        <v>0.19</v>
      </c>
      <c r="L874" t="n">
        <v>445.36</v>
      </c>
      <c r="M874" t="n">
        <v>2789.36</v>
      </c>
      <c r="N874" t="inlineStr">
        <is>
          <t>RON</t>
        </is>
      </c>
      <c r="O874" t="inlineStr">
        <is>
          <t>Alba Iulia</t>
        </is>
      </c>
      <c r="P874" s="12" t="n">
        <v>46201</v>
      </c>
      <c r="Q874">
        <f>IF(COUNTIF(tbl_Localitati[oras_oficial],[@oras])=0,"ORAS NEALINIAT",IF(XLOOKUP([@oras],tbl_Localitati[oras_oficial],tbl_Localitati[judet],"?")&lt;&gt;[@judet],"JUDET NECORESPUNZATOR",""))</f>
        <v/>
      </c>
      <c r="R874">
        <f>IF(XLOOKUP([@categorie],tbl_RegulriTVA[categorie],tbl_RegulriTVA[cota_legala],-1)&lt;&gt;[@cota_tva],"TVA GRESIT","")</f>
        <v/>
      </c>
      <c r="S874">
        <f>IF([@data_scadentei]&lt;[@data_factura],"SCADENTA INAINTEA FACTURII","")</f>
        <v/>
      </c>
      <c r="T874">
        <f>IF(NETWORKDAYS.INTL([@data_factura],[@data_factura],1,tbl_SarbatoriLegale[data])=0,"ZI NELUCRATOARE","")</f>
        <v/>
      </c>
      <c r="U874">
        <f>IF([@motiv_anomalie]="","OK","DE INVESTIGAT")</f>
        <v/>
      </c>
      <c r="V874">
        <f>TEXTJOIN("; ",TRUE,[@flag_oras],[@flag_tva],[@flag_scadenta],[@flag_zi])</f>
        <v/>
      </c>
    </row>
    <row r="875">
      <c r="A875" t="inlineStr">
        <is>
          <t>F-2025-00874</t>
        </is>
      </c>
      <c r="B875" s="12" t="n">
        <v>46170</v>
      </c>
      <c r="C875" t="inlineStr">
        <is>
          <t>SC DACTECH SOLUTIONS SRL</t>
        </is>
      </c>
      <c r="D875" t="inlineStr">
        <is>
          <t>Argeș</t>
        </is>
      </c>
      <c r="E875" t="inlineStr">
        <is>
          <t>PRD-004</t>
        </is>
      </c>
      <c r="F875" t="inlineStr">
        <is>
          <t>Audit infrastructura</t>
        </is>
      </c>
      <c r="G875" t="inlineStr">
        <is>
          <t>Servicii consultanță</t>
        </is>
      </c>
      <c r="H875" t="n">
        <v>2</v>
      </c>
      <c r="I875" t="n">
        <v>864.97</v>
      </c>
      <c r="J875" t="n">
        <v>1729.94</v>
      </c>
      <c r="K875" s="13" t="n">
        <v>0.19</v>
      </c>
      <c r="L875" t="n">
        <v>328.69</v>
      </c>
      <c r="M875" t="n">
        <v>2058.63</v>
      </c>
      <c r="N875" t="inlineStr">
        <is>
          <t>RON</t>
        </is>
      </c>
      <c r="O875" t="inlineStr">
        <is>
          <t>Pitești</t>
        </is>
      </c>
      <c r="P875" s="12" t="n">
        <v>46200</v>
      </c>
      <c r="Q875">
        <f>IF(COUNTIF(tbl_Localitati[oras_oficial],[@oras])=0,"ORAS NEALINIAT",IF(XLOOKUP([@oras],tbl_Localitati[oras_oficial],tbl_Localitati[judet],"?")&lt;&gt;[@judet],"JUDET NECORESPUNZATOR",""))</f>
        <v/>
      </c>
      <c r="R875">
        <f>IF(XLOOKUP([@categorie],tbl_RegulriTVA[categorie],tbl_RegulriTVA[cota_legala],-1)&lt;&gt;[@cota_tva],"TVA GRESIT","")</f>
        <v/>
      </c>
      <c r="S875">
        <f>IF([@data_scadentei]&lt;[@data_factura],"SCADENTA INAINTEA FACTURII","")</f>
        <v/>
      </c>
      <c r="T875">
        <f>IF(NETWORKDAYS.INTL([@data_factura],[@data_factura],1,tbl_SarbatoriLegale[data])=0,"ZI NELUCRATOARE","")</f>
        <v/>
      </c>
      <c r="U875">
        <f>IF([@motiv_anomalie]="","OK","DE INVESTIGAT")</f>
        <v/>
      </c>
      <c r="V875">
        <f>TEXTJOIN("; ",TRUE,[@flag_oras],[@flag_tva],[@flag_scadenta],[@flag_zi])</f>
        <v/>
      </c>
    </row>
    <row r="876">
      <c r="A876" t="inlineStr">
        <is>
          <t>F-2025-00875</t>
        </is>
      </c>
      <c r="B876" s="12" t="n">
        <v>46261</v>
      </c>
      <c r="C876" t="inlineStr">
        <is>
          <t>SC METALPLAST INVEST SA</t>
        </is>
      </c>
      <c r="D876" t="inlineStr">
        <is>
          <t>Cluj</t>
        </is>
      </c>
      <c r="E876" t="inlineStr">
        <is>
          <t>PRD-004</t>
        </is>
      </c>
      <c r="F876" t="inlineStr">
        <is>
          <t>Tocator documente</t>
        </is>
      </c>
      <c r="G876" t="inlineStr">
        <is>
          <t>Echipamente birou</t>
        </is>
      </c>
      <c r="H876" t="n">
        <v>3</v>
      </c>
      <c r="I876" t="n">
        <v>870.58</v>
      </c>
      <c r="J876" t="n">
        <v>2611.74</v>
      </c>
      <c r="K876" s="13" t="n">
        <v>0.19</v>
      </c>
      <c r="L876" t="n">
        <v>496.23</v>
      </c>
      <c r="M876" t="n">
        <v>3107.97</v>
      </c>
      <c r="N876" t="inlineStr">
        <is>
          <t>RON</t>
        </is>
      </c>
      <c r="O876" t="inlineStr">
        <is>
          <t>Turda</t>
        </is>
      </c>
      <c r="P876" s="12" t="n">
        <v>46306</v>
      </c>
      <c r="Q876">
        <f>IF(COUNTIF(tbl_Localitati[oras_oficial],[@oras])=0,"ORAS NEALINIAT",IF(XLOOKUP([@oras],tbl_Localitati[oras_oficial],tbl_Localitati[judet],"?")&lt;&gt;[@judet],"JUDET NECORESPUNZATOR",""))</f>
        <v/>
      </c>
      <c r="R876">
        <f>IF(XLOOKUP([@categorie],tbl_RegulriTVA[categorie],tbl_RegulriTVA[cota_legala],-1)&lt;&gt;[@cota_tva],"TVA GRESIT","")</f>
        <v/>
      </c>
      <c r="S876">
        <f>IF([@data_scadentei]&lt;[@data_factura],"SCADENTA INAINTEA FACTURII","")</f>
        <v/>
      </c>
      <c r="T876">
        <f>IF(NETWORKDAYS.INTL([@data_factura],[@data_factura],1,tbl_SarbatoriLegale[data])=0,"ZI NELUCRATOARE","")</f>
        <v/>
      </c>
      <c r="U876">
        <f>IF([@motiv_anomalie]="","OK","DE INVESTIGAT")</f>
        <v/>
      </c>
      <c r="V876">
        <f>TEXTJOIN("; ",TRUE,[@flag_oras],[@flag_tva],[@flag_scadenta],[@flag_zi])</f>
        <v/>
      </c>
    </row>
    <row r="877">
      <c r="A877" t="inlineStr">
        <is>
          <t>F-2025-00876</t>
        </is>
      </c>
      <c r="B877" s="12" t="n">
        <v>46087</v>
      </c>
      <c r="C877" t="inlineStr">
        <is>
          <t>SC OMEGA SOFT SRL</t>
        </is>
      </c>
      <c r="D877" t="inlineStr">
        <is>
          <t>Dolj</t>
        </is>
      </c>
      <c r="E877" t="inlineStr">
        <is>
          <t>PRD-005</t>
        </is>
      </c>
      <c r="F877" t="inlineStr">
        <is>
          <t>Suport tehnic anual</t>
        </is>
      </c>
      <c r="G877" t="inlineStr">
        <is>
          <t>Servicii consultanță</t>
        </is>
      </c>
      <c r="H877" t="n">
        <v>2</v>
      </c>
      <c r="I877" t="n">
        <v>258</v>
      </c>
      <c r="J877" t="n">
        <v>516</v>
      </c>
      <c r="K877" s="13" t="n">
        <v>0.19</v>
      </c>
      <c r="L877" t="n">
        <v>98.04000000000001</v>
      </c>
      <c r="M877" t="n">
        <v>614.04</v>
      </c>
      <c r="N877" t="inlineStr">
        <is>
          <t>RON</t>
        </is>
      </c>
      <c r="O877" t="inlineStr">
        <is>
          <t>Craiova</t>
        </is>
      </c>
      <c r="P877" s="12" t="n">
        <v>46117</v>
      </c>
      <c r="Q877">
        <f>IF(COUNTIF(tbl_Localitati[oras_oficial],[@oras])=0,"ORAS NEALINIAT",IF(XLOOKUP([@oras],tbl_Localitati[oras_oficial],tbl_Localitati[judet],"?")&lt;&gt;[@judet],"JUDET NECORESPUNZATOR",""))</f>
        <v/>
      </c>
      <c r="R877">
        <f>IF(XLOOKUP([@categorie],tbl_RegulriTVA[categorie],tbl_RegulriTVA[cota_legala],-1)&lt;&gt;[@cota_tva],"TVA GRESIT","")</f>
        <v/>
      </c>
      <c r="S877">
        <f>IF([@data_scadentei]&lt;[@data_factura],"SCADENTA INAINTEA FACTURII","")</f>
        <v/>
      </c>
      <c r="T877">
        <f>IF(NETWORKDAYS.INTL([@data_factura],[@data_factura],1,tbl_SarbatoriLegale[data])=0,"ZI NELUCRATOARE","")</f>
        <v/>
      </c>
      <c r="U877">
        <f>IF([@motiv_anomalie]="","OK","DE INVESTIGAT")</f>
        <v/>
      </c>
      <c r="V877">
        <f>TEXTJOIN("; ",TRUE,[@flag_oras],[@flag_tva],[@flag_scadenta],[@flag_zi])</f>
        <v/>
      </c>
    </row>
    <row r="878">
      <c r="A878" t="inlineStr">
        <is>
          <t>F-2025-00877</t>
        </is>
      </c>
      <c r="B878" s="12" t="n">
        <v>46094</v>
      </c>
      <c r="C878" t="inlineStr">
        <is>
          <t>SC OMEGA SOFT SRL</t>
        </is>
      </c>
      <c r="D878" t="inlineStr">
        <is>
          <t>Dolj</t>
        </is>
      </c>
      <c r="E878" t="inlineStr">
        <is>
          <t>PRD-007</t>
        </is>
      </c>
      <c r="F878" t="inlineStr">
        <is>
          <t>Server rack 1U</t>
        </is>
      </c>
      <c r="G878" t="inlineStr">
        <is>
          <t>Hardware IT</t>
        </is>
      </c>
      <c r="H878" t="n">
        <v>25</v>
      </c>
      <c r="I878" t="n">
        <v>175.26</v>
      </c>
      <c r="J878" t="n">
        <v>4381.5</v>
      </c>
      <c r="K878" s="13" t="n">
        <v>0.19</v>
      </c>
      <c r="L878" t="n">
        <v>832.49</v>
      </c>
      <c r="M878" t="n">
        <v>5213.99</v>
      </c>
      <c r="N878" t="inlineStr">
        <is>
          <t>RON</t>
        </is>
      </c>
      <c r="O878" t="inlineStr">
        <is>
          <t>Craiova</t>
        </is>
      </c>
      <c r="P878" s="12" t="n">
        <v>46124</v>
      </c>
      <c r="Q878">
        <f>IF(COUNTIF(tbl_Localitati[oras_oficial],[@oras])=0,"ORAS NEALINIAT",IF(XLOOKUP([@oras],tbl_Localitati[oras_oficial],tbl_Localitati[judet],"?")&lt;&gt;[@judet],"JUDET NECORESPUNZATOR",""))</f>
        <v/>
      </c>
      <c r="R878">
        <f>IF(XLOOKUP([@categorie],tbl_RegulriTVA[categorie],tbl_RegulriTVA[cota_legala],-1)&lt;&gt;[@cota_tva],"TVA GRESIT","")</f>
        <v/>
      </c>
      <c r="S878">
        <f>IF([@data_scadentei]&lt;[@data_factura],"SCADENTA INAINTEA FACTURII","")</f>
        <v/>
      </c>
      <c r="T878">
        <f>IF(NETWORKDAYS.INTL([@data_factura],[@data_factura],1,tbl_SarbatoriLegale[data])=0,"ZI NELUCRATOARE","")</f>
        <v/>
      </c>
      <c r="U878">
        <f>IF([@motiv_anomalie]="","OK","DE INVESTIGAT")</f>
        <v/>
      </c>
      <c r="V878">
        <f>TEXTJOIN("; ",TRUE,[@flag_oras],[@flag_tva],[@flag_scadenta],[@flag_zi])</f>
        <v/>
      </c>
    </row>
    <row r="879">
      <c r="A879" t="inlineStr">
        <is>
          <t>F-2025-00878</t>
        </is>
      </c>
      <c r="B879" s="12" t="n">
        <v>46048</v>
      </c>
      <c r="C879" t="inlineStr">
        <is>
          <t>SC PROVITA MEDICAL SRL</t>
        </is>
      </c>
      <c r="D879" t="inlineStr">
        <is>
          <t>Galați</t>
        </is>
      </c>
      <c r="E879" t="inlineStr">
        <is>
          <t>PRD-004</t>
        </is>
      </c>
      <c r="F879" t="inlineStr">
        <is>
          <t>Cafea boabe 1kg</t>
        </is>
      </c>
      <c r="G879" t="inlineStr">
        <is>
          <t>Alimente</t>
        </is>
      </c>
      <c r="H879" t="n">
        <v>2</v>
      </c>
      <c r="I879" t="n">
        <v>877.61</v>
      </c>
      <c r="J879" t="n">
        <v>1755.22</v>
      </c>
      <c r="K879" s="13" t="n">
        <v>0.09</v>
      </c>
      <c r="L879" t="n">
        <v>157.97</v>
      </c>
      <c r="M879" t="n">
        <v>1913.19</v>
      </c>
      <c r="N879" t="inlineStr">
        <is>
          <t>RON</t>
        </is>
      </c>
      <c r="O879" t="inlineStr">
        <is>
          <t>Târgu Mureș</t>
        </is>
      </c>
      <c r="P879" s="12" t="n">
        <v>46078</v>
      </c>
      <c r="Q879">
        <f>IF(COUNTIF(tbl_Localitati[oras_oficial],[@oras])=0,"ORAS NEALINIAT",IF(XLOOKUP([@oras],tbl_Localitati[oras_oficial],tbl_Localitati[judet],"?")&lt;&gt;[@judet],"JUDET NECORESPUNZATOR",""))</f>
        <v/>
      </c>
      <c r="R879">
        <f>IF(XLOOKUP([@categorie],tbl_RegulriTVA[categorie],tbl_RegulriTVA[cota_legala],-1)&lt;&gt;[@cota_tva],"TVA GRESIT","")</f>
        <v/>
      </c>
      <c r="S879">
        <f>IF([@data_scadentei]&lt;[@data_factura],"SCADENTA INAINTEA FACTURII","")</f>
        <v/>
      </c>
      <c r="T879">
        <f>IF(NETWORKDAYS.INTL([@data_factura],[@data_factura],1,tbl_SarbatoriLegale[data])=0,"ZI NELUCRATOARE","")</f>
        <v/>
      </c>
      <c r="U879">
        <f>IF([@motiv_anomalie]="","OK","DE INVESTIGAT")</f>
        <v/>
      </c>
      <c r="V879">
        <f>TEXTJOIN("; ",TRUE,[@flag_oras],[@flag_tva],[@flag_scadenta],[@flag_zi])</f>
        <v/>
      </c>
    </row>
    <row r="880">
      <c r="A880" t="inlineStr">
        <is>
          <t>F-2025-00879</t>
        </is>
      </c>
      <c r="B880" s="12" t="n">
        <v>46077</v>
      </c>
      <c r="C880" t="inlineStr">
        <is>
          <t>SC ZENITH AUTO SRL</t>
        </is>
      </c>
      <c r="D880" t="inlineStr">
        <is>
          <t>București</t>
        </is>
      </c>
      <c r="E880" t="inlineStr">
        <is>
          <t>PRD-009</t>
        </is>
      </c>
      <c r="F880" t="inlineStr">
        <is>
          <t>Telefon IP birou</t>
        </is>
      </c>
      <c r="G880" t="inlineStr">
        <is>
          <t>Echipamente birou</t>
        </is>
      </c>
      <c r="H880" t="n">
        <v>5</v>
      </c>
      <c r="I880" t="n">
        <v>27.16</v>
      </c>
      <c r="J880" t="n">
        <v>135.8</v>
      </c>
      <c r="K880" s="13" t="n">
        <v>0.19</v>
      </c>
      <c r="L880" t="n">
        <v>25.8</v>
      </c>
      <c r="M880" t="n">
        <v>161.6</v>
      </c>
      <c r="N880" t="inlineStr">
        <is>
          <t>RON</t>
        </is>
      </c>
      <c r="O880" t="inlineStr">
        <is>
          <t>București</t>
        </is>
      </c>
      <c r="P880" s="12" t="n">
        <v>46107</v>
      </c>
      <c r="Q880">
        <f>IF(COUNTIF(tbl_Localitati[oras_oficial],[@oras])=0,"ORAS NEALINIAT",IF(XLOOKUP([@oras],tbl_Localitati[oras_oficial],tbl_Localitati[judet],"?")&lt;&gt;[@judet],"JUDET NECORESPUNZATOR",""))</f>
        <v/>
      </c>
      <c r="R880">
        <f>IF(XLOOKUP([@categorie],tbl_RegulriTVA[categorie],tbl_RegulriTVA[cota_legala],-1)&lt;&gt;[@cota_tva],"TVA GRESIT","")</f>
        <v/>
      </c>
      <c r="S880">
        <f>IF([@data_scadentei]&lt;[@data_factura],"SCADENTA INAINTEA FACTURII","")</f>
        <v/>
      </c>
      <c r="T880">
        <f>IF(NETWORKDAYS.INTL([@data_factura],[@data_factura],1,tbl_SarbatoriLegale[data])=0,"ZI NELUCRATOARE","")</f>
        <v/>
      </c>
      <c r="U880">
        <f>IF([@motiv_anomalie]="","OK","DE INVESTIGAT")</f>
        <v/>
      </c>
      <c r="V880">
        <f>TEXTJOIN("; ",TRUE,[@flag_oras],[@flag_tva],[@flag_scadenta],[@flag_zi])</f>
        <v/>
      </c>
    </row>
    <row r="881">
      <c r="A881" t="inlineStr">
        <is>
          <t>F-2025-00880</t>
        </is>
      </c>
      <c r="B881" s="12" t="n">
        <v>46216</v>
      </c>
      <c r="C881" t="inlineStr">
        <is>
          <t>SC NORDIS DISTRIBUTIE SRL</t>
        </is>
      </c>
      <c r="D881" t="inlineStr">
        <is>
          <t>Constanța</t>
        </is>
      </c>
      <c r="E881" t="inlineStr">
        <is>
          <t>PRD-011</t>
        </is>
      </c>
      <c r="F881" t="inlineStr">
        <is>
          <t>Training utilizatori</t>
        </is>
      </c>
      <c r="G881" t="inlineStr">
        <is>
          <t>Servicii consultanță</t>
        </is>
      </c>
      <c r="H881" t="n">
        <v>10</v>
      </c>
      <c r="I881" t="n">
        <v>43.98</v>
      </c>
      <c r="J881" t="n">
        <v>439.8</v>
      </c>
      <c r="K881" s="13" t="n">
        <v>0.19</v>
      </c>
      <c r="L881" t="n">
        <v>83.56</v>
      </c>
      <c r="M881" t="n">
        <v>523.36</v>
      </c>
      <c r="N881" t="inlineStr">
        <is>
          <t>RON</t>
        </is>
      </c>
      <c r="O881" t="inlineStr">
        <is>
          <t>Mangalia</t>
        </is>
      </c>
      <c r="P881" s="12" t="n">
        <v>46276</v>
      </c>
      <c r="Q881">
        <f>IF(COUNTIF(tbl_Localitati[oras_oficial],[@oras])=0,"ORAS NEALINIAT",IF(XLOOKUP([@oras],tbl_Localitati[oras_oficial],tbl_Localitati[judet],"?")&lt;&gt;[@judet],"JUDET NECORESPUNZATOR",""))</f>
        <v/>
      </c>
      <c r="R881">
        <f>IF(XLOOKUP([@categorie],tbl_RegulriTVA[categorie],tbl_RegulriTVA[cota_legala],-1)&lt;&gt;[@cota_tva],"TVA GRESIT","")</f>
        <v/>
      </c>
      <c r="S881">
        <f>IF([@data_scadentei]&lt;[@data_factura],"SCADENTA INAINTEA FACTURII","")</f>
        <v/>
      </c>
      <c r="T881">
        <f>IF(NETWORKDAYS.INTL([@data_factura],[@data_factura],1,tbl_SarbatoriLegale[data])=0,"ZI NELUCRATOARE","")</f>
        <v/>
      </c>
      <c r="U881">
        <f>IF([@motiv_anomalie]="","OK","DE INVESTIGAT")</f>
        <v/>
      </c>
      <c r="V881">
        <f>TEXTJOIN("; ",TRUE,[@flag_oras],[@flag_tva],[@flag_scadenta],[@flag_zi])</f>
        <v/>
      </c>
    </row>
    <row r="882">
      <c r="A882" t="inlineStr">
        <is>
          <t>F-2025-00881</t>
        </is>
      </c>
      <c r="B882" s="12" t="n">
        <v>46280</v>
      </c>
      <c r="C882" t="inlineStr">
        <is>
          <t>SC DACTECH SOLUTIONS SRL</t>
        </is>
      </c>
      <c r="D882" t="inlineStr">
        <is>
          <t>Argeș</t>
        </is>
      </c>
      <c r="E882" t="inlineStr">
        <is>
          <t>PRD-002</t>
        </is>
      </c>
      <c r="F882" t="inlineStr">
        <is>
          <t>Telefon IP birou</t>
        </is>
      </c>
      <c r="G882" t="inlineStr">
        <is>
          <t>Echipamente birou</t>
        </is>
      </c>
      <c r="H882" t="n">
        <v>5</v>
      </c>
      <c r="I882" t="n">
        <v>1150.65</v>
      </c>
      <c r="J882" t="n">
        <v>5753.25</v>
      </c>
      <c r="K882" s="13" t="n">
        <v>0.19</v>
      </c>
      <c r="L882" t="n">
        <v>1093.12</v>
      </c>
      <c r="M882" t="n">
        <v>6846.37</v>
      </c>
      <c r="N882" t="inlineStr">
        <is>
          <t>RON</t>
        </is>
      </c>
      <c r="O882" t="inlineStr">
        <is>
          <t>Pitești</t>
        </is>
      </c>
      <c r="P882" s="12" t="n">
        <v>46310</v>
      </c>
      <c r="Q882">
        <f>IF(COUNTIF(tbl_Localitati[oras_oficial],[@oras])=0,"ORAS NEALINIAT",IF(XLOOKUP([@oras],tbl_Localitati[oras_oficial],tbl_Localitati[judet],"?")&lt;&gt;[@judet],"JUDET NECORESPUNZATOR",""))</f>
        <v/>
      </c>
      <c r="R882">
        <f>IF(XLOOKUP([@categorie],tbl_RegulriTVA[categorie],tbl_RegulriTVA[cota_legala],-1)&lt;&gt;[@cota_tva],"TVA GRESIT","")</f>
        <v/>
      </c>
      <c r="S882">
        <f>IF([@data_scadentei]&lt;[@data_factura],"SCADENTA INAINTEA FACTURII","")</f>
        <v/>
      </c>
      <c r="T882">
        <f>IF(NETWORKDAYS.INTL([@data_factura],[@data_factura],1,tbl_SarbatoriLegale[data])=0,"ZI NELUCRATOARE","")</f>
        <v/>
      </c>
      <c r="U882">
        <f>IF([@motiv_anomalie]="","OK","DE INVESTIGAT")</f>
        <v/>
      </c>
      <c r="V882">
        <f>TEXTJOIN("; ",TRUE,[@flag_oras],[@flag_tva],[@flag_scadenta],[@flag_zi])</f>
        <v/>
      </c>
    </row>
    <row r="883">
      <c r="A883" t="inlineStr">
        <is>
          <t>F-2025-00882</t>
        </is>
      </c>
      <c r="B883" s="12" t="n">
        <v>46336</v>
      </c>
      <c r="C883" t="inlineStr">
        <is>
          <t>SC METALPLAST INVEST SA</t>
        </is>
      </c>
      <c r="D883" t="inlineStr">
        <is>
          <t>Cluj</t>
        </is>
      </c>
      <c r="E883" t="inlineStr">
        <is>
          <t>PRD-009</t>
        </is>
      </c>
      <c r="F883" t="inlineStr">
        <is>
          <t>Termometru digital</t>
        </is>
      </c>
      <c r="G883" t="inlineStr">
        <is>
          <t>Produse farmaceutice</t>
        </is>
      </c>
      <c r="H883" t="n">
        <v>50</v>
      </c>
      <c r="I883" t="n">
        <v>27.03</v>
      </c>
      <c r="J883" t="n">
        <v>1351.5</v>
      </c>
      <c r="K883" s="13" t="n">
        <v>0.09</v>
      </c>
      <c r="L883" t="n">
        <v>121.63</v>
      </c>
      <c r="M883" t="n">
        <v>1473.13</v>
      </c>
      <c r="N883" t="inlineStr">
        <is>
          <t>RON</t>
        </is>
      </c>
      <c r="O883" t="inlineStr">
        <is>
          <t>Turda</t>
        </is>
      </c>
      <c r="P883" s="12" t="n">
        <v>46366</v>
      </c>
      <c r="Q883">
        <f>IF(COUNTIF(tbl_Localitati[oras_oficial],[@oras])=0,"ORAS NEALINIAT",IF(XLOOKUP([@oras],tbl_Localitati[oras_oficial],tbl_Localitati[judet],"?")&lt;&gt;[@judet],"JUDET NECORESPUNZATOR",""))</f>
        <v/>
      </c>
      <c r="R883">
        <f>IF(XLOOKUP([@categorie],tbl_RegulriTVA[categorie],tbl_RegulriTVA[cota_legala],-1)&lt;&gt;[@cota_tva],"TVA GRESIT","")</f>
        <v/>
      </c>
      <c r="S883">
        <f>IF([@data_scadentei]&lt;[@data_factura],"SCADENTA INAINTEA FACTURII","")</f>
        <v/>
      </c>
      <c r="T883">
        <f>IF(NETWORKDAYS.INTL([@data_factura],[@data_factura],1,tbl_SarbatoriLegale[data])=0,"ZI NELUCRATOARE","")</f>
        <v/>
      </c>
      <c r="U883">
        <f>IF([@motiv_anomalie]="","OK","DE INVESTIGAT")</f>
        <v/>
      </c>
      <c r="V883">
        <f>TEXTJOIN("; ",TRUE,[@flag_oras],[@flag_tva],[@flag_scadenta],[@flag_zi])</f>
        <v/>
      </c>
    </row>
    <row r="884">
      <c r="A884" t="inlineStr">
        <is>
          <t>F-2025-00883</t>
        </is>
      </c>
      <c r="B884" s="12" t="n">
        <v>46058</v>
      </c>
      <c r="C884" t="inlineStr">
        <is>
          <t>SC DACTECH SOLUTIONS SRL</t>
        </is>
      </c>
      <c r="D884" t="inlineStr">
        <is>
          <t>Argeș</t>
        </is>
      </c>
      <c r="E884" t="inlineStr">
        <is>
          <t>PRD-008</t>
        </is>
      </c>
      <c r="F884" t="inlineStr">
        <is>
          <t>Laptop business 15"</t>
        </is>
      </c>
      <c r="G884" t="inlineStr">
        <is>
          <t>Hardware IT</t>
        </is>
      </c>
      <c r="H884" t="n">
        <v>10</v>
      </c>
      <c r="I884" t="n">
        <v>448.67</v>
      </c>
      <c r="J884" t="n">
        <v>4486.7</v>
      </c>
      <c r="K884" s="13" t="n">
        <v>0.19</v>
      </c>
      <c r="L884" t="n">
        <v>852.47</v>
      </c>
      <c r="M884" t="n">
        <v>5339.17</v>
      </c>
      <c r="N884" t="inlineStr">
        <is>
          <t>RON</t>
        </is>
      </c>
      <c r="O884" t="inlineStr">
        <is>
          <t>Pitești</t>
        </is>
      </c>
      <c r="P884" s="12" t="n">
        <v>46103</v>
      </c>
      <c r="Q884">
        <f>IF(COUNTIF(tbl_Localitati[oras_oficial],[@oras])=0,"ORAS NEALINIAT",IF(XLOOKUP([@oras],tbl_Localitati[oras_oficial],tbl_Localitati[judet],"?")&lt;&gt;[@judet],"JUDET NECORESPUNZATOR",""))</f>
        <v/>
      </c>
      <c r="R884">
        <f>IF(XLOOKUP([@categorie],tbl_RegulriTVA[categorie],tbl_RegulriTVA[cota_legala],-1)&lt;&gt;[@cota_tva],"TVA GRESIT","")</f>
        <v/>
      </c>
      <c r="S884">
        <f>IF([@data_scadentei]&lt;[@data_factura],"SCADENTA INAINTEA FACTURII","")</f>
        <v/>
      </c>
      <c r="T884">
        <f>IF(NETWORKDAYS.INTL([@data_factura],[@data_factura],1,tbl_SarbatoriLegale[data])=0,"ZI NELUCRATOARE","")</f>
        <v/>
      </c>
      <c r="U884">
        <f>IF([@motiv_anomalie]="","OK","DE INVESTIGAT")</f>
        <v/>
      </c>
      <c r="V884">
        <f>TEXTJOIN("; ",TRUE,[@flag_oras],[@flag_tva],[@flag_scadenta],[@flag_zi])</f>
        <v/>
      </c>
    </row>
    <row r="885">
      <c r="A885" t="inlineStr">
        <is>
          <t>F-2025-00884</t>
        </is>
      </c>
      <c r="B885" s="12" t="n">
        <v>46107</v>
      </c>
      <c r="C885" t="inlineStr">
        <is>
          <t>SC DACTECH SOLUTIONS SRL</t>
        </is>
      </c>
      <c r="D885" t="inlineStr">
        <is>
          <t>Argeș</t>
        </is>
      </c>
      <c r="E885" t="inlineStr">
        <is>
          <t>PRD-008</t>
        </is>
      </c>
      <c r="F885" t="inlineStr">
        <is>
          <t>Manual proceduri interne</t>
        </is>
      </c>
      <c r="G885" t="inlineStr">
        <is>
          <t>Cărți și manuale</t>
        </is>
      </c>
      <c r="H885" t="n">
        <v>5</v>
      </c>
      <c r="I885" t="n">
        <v>453.16</v>
      </c>
      <c r="J885" t="n">
        <v>2265.8</v>
      </c>
      <c r="K885" s="13" t="n">
        <v>0.05</v>
      </c>
      <c r="L885" t="n">
        <v>113.29</v>
      </c>
      <c r="M885" t="n">
        <v>2379.09</v>
      </c>
      <c r="N885" t="inlineStr">
        <is>
          <t>RON</t>
        </is>
      </c>
      <c r="O885" t="inlineStr">
        <is>
          <t>Pitești</t>
        </is>
      </c>
      <c r="P885" s="12" t="n">
        <v>46137</v>
      </c>
      <c r="Q885">
        <f>IF(COUNTIF(tbl_Localitati[oras_oficial],[@oras])=0,"ORAS NEALINIAT",IF(XLOOKUP([@oras],tbl_Localitati[oras_oficial],tbl_Localitati[judet],"?")&lt;&gt;[@judet],"JUDET NECORESPUNZATOR",""))</f>
        <v/>
      </c>
      <c r="R885">
        <f>IF(XLOOKUP([@categorie],tbl_RegulriTVA[categorie],tbl_RegulriTVA[cota_legala],-1)&lt;&gt;[@cota_tva],"TVA GRESIT","")</f>
        <v/>
      </c>
      <c r="S885">
        <f>IF([@data_scadentei]&lt;[@data_factura],"SCADENTA INAINTEA FACTURII","")</f>
        <v/>
      </c>
      <c r="T885">
        <f>IF(NETWORKDAYS.INTL([@data_factura],[@data_factura],1,tbl_SarbatoriLegale[data])=0,"ZI NELUCRATOARE","")</f>
        <v/>
      </c>
      <c r="U885">
        <f>IF([@motiv_anomalie]="","OK","DE INVESTIGAT")</f>
        <v/>
      </c>
      <c r="V885">
        <f>TEXTJOIN("; ",TRUE,[@flag_oras],[@flag_tva],[@flag_scadenta],[@flag_zi])</f>
        <v/>
      </c>
    </row>
    <row r="886">
      <c r="A886" t="inlineStr">
        <is>
          <t>F-2025-00885</t>
        </is>
      </c>
      <c r="B886" s="12" t="n">
        <v>46108</v>
      </c>
      <c r="C886" t="inlineStr">
        <is>
          <t>SC SOLARIS ENERGY SRL</t>
        </is>
      </c>
      <c r="D886" t="inlineStr">
        <is>
          <t>Prahova</t>
        </is>
      </c>
      <c r="E886" t="inlineStr">
        <is>
          <t>PRD-004</t>
        </is>
      </c>
      <c r="F886" t="inlineStr">
        <is>
          <t>Licenta ERP contabilitate</t>
        </is>
      </c>
      <c r="G886" t="inlineStr">
        <is>
          <t>Licențe software</t>
        </is>
      </c>
      <c r="H886" t="n">
        <v>1</v>
      </c>
      <c r="I886" t="n">
        <v>904.9</v>
      </c>
      <c r="J886" t="n">
        <v>904.9</v>
      </c>
      <c r="K886" s="13" t="n">
        <v>0.19</v>
      </c>
      <c r="L886" t="n">
        <v>171.93</v>
      </c>
      <c r="M886" t="n">
        <v>1076.83</v>
      </c>
      <c r="N886" t="inlineStr">
        <is>
          <t>RON</t>
        </is>
      </c>
      <c r="O886" t="inlineStr">
        <is>
          <t>Câmpina</t>
        </is>
      </c>
      <c r="P886" s="12" t="n">
        <v>46153</v>
      </c>
      <c r="Q886">
        <f>IF(COUNTIF(tbl_Localitati[oras_oficial],[@oras])=0,"ORAS NEALINIAT",IF(XLOOKUP([@oras],tbl_Localitati[oras_oficial],tbl_Localitati[judet],"?")&lt;&gt;[@judet],"JUDET NECORESPUNZATOR",""))</f>
        <v/>
      </c>
      <c r="R886">
        <f>IF(XLOOKUP([@categorie],tbl_RegulriTVA[categorie],tbl_RegulriTVA[cota_legala],-1)&lt;&gt;[@cota_tva],"TVA GRESIT","")</f>
        <v/>
      </c>
      <c r="S886">
        <f>IF([@data_scadentei]&lt;[@data_factura],"SCADENTA INAINTEA FACTURII","")</f>
        <v/>
      </c>
      <c r="T886">
        <f>IF(NETWORKDAYS.INTL([@data_factura],[@data_factura],1,tbl_SarbatoriLegale[data])=0,"ZI NELUCRATOARE","")</f>
        <v/>
      </c>
      <c r="U886">
        <f>IF([@motiv_anomalie]="","OK","DE INVESTIGAT")</f>
        <v/>
      </c>
      <c r="V886">
        <f>TEXTJOIN("; ",TRUE,[@flag_oras],[@flag_tva],[@flag_scadenta],[@flag_zi])</f>
        <v/>
      </c>
    </row>
    <row r="887">
      <c r="A887" t="inlineStr">
        <is>
          <t>F-2025-00886</t>
        </is>
      </c>
      <c r="B887" s="12" t="n">
        <v>46314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Switch gigabit 24p</t>
        </is>
      </c>
      <c r="G887" t="inlineStr">
        <is>
          <t>Hardware IT</t>
        </is>
      </c>
      <c r="H887" t="n">
        <v>5</v>
      </c>
      <c r="I887" t="n">
        <v>27.87</v>
      </c>
      <c r="J887" t="n">
        <v>139.35</v>
      </c>
      <c r="K887" s="13" t="n">
        <v>0.19</v>
      </c>
      <c r="L887" t="n">
        <v>26.48</v>
      </c>
      <c r="M887" t="n">
        <v>165.83</v>
      </c>
      <c r="N887" t="inlineStr">
        <is>
          <t>RON</t>
        </is>
      </c>
      <c r="O887" t="inlineStr">
        <is>
          <t>Sibiu</t>
        </is>
      </c>
      <c r="P887" s="12" t="n">
        <v>46344</v>
      </c>
      <c r="Q887">
        <f>IF(COUNTIF(tbl_Localitati[oras_oficial],[@oras])=0,"ORAS NEALINIAT",IF(XLOOKUP([@oras],tbl_Localitati[oras_oficial],tbl_Localitati[judet],"?")&lt;&gt;[@judet],"JUDET NECORESPUNZATOR",""))</f>
        <v/>
      </c>
      <c r="R887">
        <f>IF(XLOOKUP([@categorie],tbl_RegulriTVA[categorie],tbl_RegulriTVA[cota_legala],-1)&lt;&gt;[@cota_tva],"TVA GRESIT","")</f>
        <v/>
      </c>
      <c r="S887">
        <f>IF([@data_scadentei]&lt;[@data_factura],"SCADENTA INAINTEA FACTURII","")</f>
        <v/>
      </c>
      <c r="T887">
        <f>IF(NETWORKDAYS.INTL([@data_factura],[@data_factura],1,tbl_SarbatoriLegale[data])=0,"ZI NELUCRATOARE","")</f>
        <v/>
      </c>
      <c r="U887">
        <f>IF([@motiv_anomalie]="","OK","DE INVESTIGAT")</f>
        <v/>
      </c>
      <c r="V887">
        <f>TEXTJOIN("; ",TRUE,[@flag_oras],[@flag_tva],[@flag_scadenta],[@flag_zi])</f>
        <v/>
      </c>
    </row>
    <row r="888">
      <c r="A888" t="inlineStr">
        <is>
          <t>F-2025-00887</t>
        </is>
      </c>
      <c r="B888" s="12" t="n">
        <v>46310</v>
      </c>
      <c r="C888" t="inlineStr">
        <is>
          <t>SC METALPLAST INVEST SA</t>
        </is>
      </c>
      <c r="D888" t="inlineStr">
        <is>
          <t>Cluj</t>
        </is>
      </c>
      <c r="E888" t="inlineStr">
        <is>
          <t>PRD-002</t>
        </is>
      </c>
      <c r="F888" t="inlineStr">
        <is>
          <t>Manual proceduri interne</t>
        </is>
      </c>
      <c r="G888" t="inlineStr">
        <is>
          <t>Cărți și manuale</t>
        </is>
      </c>
      <c r="H888" t="n">
        <v>1</v>
      </c>
      <c r="I888" t="n">
        <v>1146.25</v>
      </c>
      <c r="J888" t="n">
        <v>1146.25</v>
      </c>
      <c r="K888" s="13" t="n">
        <v>0.05</v>
      </c>
      <c r="L888" t="n">
        <v>57.31</v>
      </c>
      <c r="M888" t="n">
        <v>1203.56</v>
      </c>
      <c r="N888" t="inlineStr">
        <is>
          <t>RON</t>
        </is>
      </c>
      <c r="O888" t="inlineStr">
        <is>
          <t>Turda</t>
        </is>
      </c>
      <c r="P888" s="12" t="n">
        <v>46340</v>
      </c>
      <c r="Q888">
        <f>IF(COUNTIF(tbl_Localitati[oras_oficial],[@oras])=0,"ORAS NEALINIAT",IF(XLOOKUP([@oras],tbl_Localitati[oras_oficial],tbl_Localitati[judet],"?")&lt;&gt;[@judet],"JUDET NECORESPUNZATOR",""))</f>
        <v/>
      </c>
      <c r="R888">
        <f>IF(XLOOKUP([@categorie],tbl_RegulriTVA[categorie],tbl_RegulriTVA[cota_legala],-1)&lt;&gt;[@cota_tva],"TVA GRESIT","")</f>
        <v/>
      </c>
      <c r="S888">
        <f>IF([@data_scadentei]&lt;[@data_factura],"SCADENTA INAINTEA FACTURII","")</f>
        <v/>
      </c>
      <c r="T888">
        <f>IF(NETWORKDAYS.INTL([@data_factura],[@data_factura],1,tbl_SarbatoriLegale[data])=0,"ZI NELUCRATOARE","")</f>
        <v/>
      </c>
      <c r="U888">
        <f>IF([@motiv_anomalie]="","OK","DE INVESTIGAT")</f>
        <v/>
      </c>
      <c r="V888">
        <f>TEXTJOIN("; ",TRUE,[@flag_oras],[@flag_tva],[@flag_scadenta],[@flag_zi])</f>
        <v/>
      </c>
    </row>
    <row r="889">
      <c r="A889" t="inlineStr">
        <is>
          <t>F-2025-00888</t>
        </is>
      </c>
      <c r="B889" s="12" t="n">
        <v>46070</v>
      </c>
      <c r="C889" t="inlineStr">
        <is>
          <t>SC AROMET TRADING SRL</t>
        </is>
      </c>
      <c r="D889" t="inlineStr">
        <is>
          <t>Alba</t>
        </is>
      </c>
      <c r="E889" t="inlineStr">
        <is>
          <t>PRD-003</t>
        </is>
      </c>
      <c r="F889" t="inlineStr">
        <is>
          <t>Suport tehnic anual</t>
        </is>
      </c>
      <c r="G889" t="inlineStr">
        <is>
          <t>Servicii consultanță</t>
        </is>
      </c>
      <c r="H889" t="n">
        <v>2</v>
      </c>
      <c r="I889" t="n">
        <v>4253.92</v>
      </c>
      <c r="J889" t="n">
        <v>8507.84</v>
      </c>
      <c r="K889" s="13" t="n">
        <v>0.19</v>
      </c>
      <c r="L889" t="n">
        <v>1616.49</v>
      </c>
      <c r="M889" t="n">
        <v>10124.33</v>
      </c>
      <c r="N889" t="inlineStr">
        <is>
          <t>RON</t>
        </is>
      </c>
      <c r="O889" t="inlineStr">
        <is>
          <t>Alba Iulia</t>
        </is>
      </c>
      <c r="P889" s="12" t="n">
        <v>46100</v>
      </c>
      <c r="Q889">
        <f>IF(COUNTIF(tbl_Localitati[oras_oficial],[@oras])=0,"ORAS NEALINIAT",IF(XLOOKUP([@oras],tbl_Localitati[oras_oficial],tbl_Localitati[judet],"?")&lt;&gt;[@judet],"JUDET NECORESPUNZATOR",""))</f>
        <v/>
      </c>
      <c r="R889">
        <f>IF(XLOOKUP([@categorie],tbl_RegulriTVA[categorie],tbl_RegulriTVA[cota_legala],-1)&lt;&gt;[@cota_tva],"TVA GRESIT","")</f>
        <v/>
      </c>
      <c r="S889">
        <f>IF([@data_scadentei]&lt;[@data_factura],"SCADENTA INAINTEA FACTURII","")</f>
        <v/>
      </c>
      <c r="T889">
        <f>IF(NETWORKDAYS.INTL([@data_factura],[@data_factura],1,tbl_SarbatoriLegale[data])=0,"ZI NELUCRATOARE","")</f>
        <v/>
      </c>
      <c r="U889">
        <f>IF([@motiv_anomalie]="","OK","DE INVESTIGAT")</f>
        <v/>
      </c>
      <c r="V889">
        <f>TEXTJOIN("; ",TRUE,[@flag_oras],[@flag_tva],[@flag_scadenta],[@flag_zi])</f>
        <v/>
      </c>
    </row>
    <row r="890">
      <c r="A890" t="inlineStr">
        <is>
          <t>F-2025-00889</t>
        </is>
      </c>
      <c r="B890" s="12" t="n">
        <v>46329</v>
      </c>
      <c r="C890" t="inlineStr">
        <is>
          <t>SC VECTOR CONSULT SRL</t>
        </is>
      </c>
      <c r="D890" t="inlineStr">
        <is>
          <t>Timiș</t>
        </is>
      </c>
      <c r="E890" t="inlineStr">
        <is>
          <t>PRD-005</t>
        </is>
      </c>
      <c r="F890" t="inlineStr">
        <is>
          <t>Training utilizatori</t>
        </is>
      </c>
      <c r="G890" t="inlineStr">
        <is>
          <t>Servicii consultanță</t>
        </is>
      </c>
      <c r="H890" t="n">
        <v>3</v>
      </c>
      <c r="I890" t="n">
        <v>248.95</v>
      </c>
      <c r="J890" t="n">
        <v>746.85</v>
      </c>
      <c r="K890" s="13" t="n">
        <v>0.19</v>
      </c>
      <c r="L890" t="n">
        <v>141.9</v>
      </c>
      <c r="M890" t="n">
        <v>888.75</v>
      </c>
      <c r="N890" t="inlineStr">
        <is>
          <t>RON</t>
        </is>
      </c>
      <c r="O890" t="inlineStr">
        <is>
          <t>Timișoara</t>
        </is>
      </c>
      <c r="P890" s="12" t="n">
        <v>46344</v>
      </c>
      <c r="Q890">
        <f>IF(COUNTIF(tbl_Localitati[oras_oficial],[@oras])=0,"ORAS NEALINIAT",IF(XLOOKUP([@oras],tbl_Localitati[oras_oficial],tbl_Localitati[judet],"?")&lt;&gt;[@judet],"JUDET NECORESPUNZATOR",""))</f>
        <v/>
      </c>
      <c r="R890">
        <f>IF(XLOOKUP([@categorie],tbl_RegulriTVA[categorie],tbl_RegulriTVA[cota_legala],-1)&lt;&gt;[@cota_tva],"TVA GRESIT","")</f>
        <v/>
      </c>
      <c r="S890">
        <f>IF([@data_scadentei]&lt;[@data_factura],"SCADENTA INAINTEA FACTURII","")</f>
        <v/>
      </c>
      <c r="T890">
        <f>IF(NETWORKDAYS.INTL([@data_factura],[@data_factura],1,tbl_SarbatoriLegale[data])=0,"ZI NELUCRATOARE","")</f>
        <v/>
      </c>
      <c r="U890">
        <f>IF([@motiv_anomalie]="","OK","DE INVESTIGAT")</f>
        <v/>
      </c>
      <c r="V890">
        <f>TEXTJOIN("; ",TRUE,[@flag_oras],[@flag_tva],[@flag_scadenta],[@flag_zi])</f>
        <v/>
      </c>
    </row>
    <row r="891">
      <c r="A891" t="inlineStr">
        <is>
          <t>F-2025-00890</t>
        </is>
      </c>
      <c r="B891" s="12" t="n">
        <v>46106</v>
      </c>
      <c r="C891" t="inlineStr">
        <is>
          <t>SC PROVITA MEDICAL SRL</t>
        </is>
      </c>
      <c r="D891" t="inlineStr">
        <is>
          <t>Mureș</t>
        </is>
      </c>
      <c r="E891" t="inlineStr">
        <is>
          <t>PRD-010</t>
        </is>
      </c>
      <c r="F891" t="inlineStr">
        <is>
          <t>Consultanta implementare IT</t>
        </is>
      </c>
      <c r="G891" t="inlineStr">
        <is>
          <t>Servicii consultanță</t>
        </is>
      </c>
      <c r="H891" t="n">
        <v>50</v>
      </c>
      <c r="I891" t="n">
        <v>347.46</v>
      </c>
      <c r="J891" t="n">
        <v>17373</v>
      </c>
      <c r="K891" s="13" t="n">
        <v>0.19</v>
      </c>
      <c r="L891" t="n">
        <v>3300.87</v>
      </c>
      <c r="M891" t="n">
        <v>20673.87</v>
      </c>
      <c r="N891" t="inlineStr">
        <is>
          <t>RON</t>
        </is>
      </c>
      <c r="O891" t="inlineStr">
        <is>
          <t>Târgu Mureș</t>
        </is>
      </c>
      <c r="P891" s="12" t="n">
        <v>46136</v>
      </c>
      <c r="Q891">
        <f>IF(COUNTIF(tbl_Localitati[oras_oficial],[@oras])=0,"ORAS NEALINIAT",IF(XLOOKUP([@oras],tbl_Localitati[oras_oficial],tbl_Localitati[judet],"?")&lt;&gt;[@judet],"JUDET NECORESPUNZATOR",""))</f>
        <v/>
      </c>
      <c r="R891">
        <f>IF(XLOOKUP([@categorie],tbl_RegulriTVA[categorie],tbl_RegulriTVA[cota_legala],-1)&lt;&gt;[@cota_tva],"TVA GRESIT","")</f>
        <v/>
      </c>
      <c r="S891">
        <f>IF([@data_scadentei]&lt;[@data_factura],"SCADENTA INAINTEA FACTURII","")</f>
        <v/>
      </c>
      <c r="T891">
        <f>IF(NETWORKDAYS.INTL([@data_factura],[@data_factura],1,tbl_SarbatoriLegale[data])=0,"ZI NELUCRATOARE","")</f>
        <v/>
      </c>
      <c r="U891">
        <f>IF([@motiv_anomalie]="","OK","DE INVESTIGAT")</f>
        <v/>
      </c>
      <c r="V891">
        <f>TEXTJOIN("; ",TRUE,[@flag_oras],[@flag_tva],[@flag_scadenta],[@flag_zi])</f>
        <v/>
      </c>
    </row>
    <row r="892">
      <c r="A892" t="inlineStr">
        <is>
          <t>F-2025-00891</t>
        </is>
      </c>
      <c r="B892" s="12" t="n">
        <v>46331</v>
      </c>
      <c r="C892" t="inlineStr">
        <is>
          <t>SC SOLARIS ENERGY SRL</t>
        </is>
      </c>
      <c r="D892" t="inlineStr">
        <is>
          <t>Prahova</t>
        </is>
      </c>
      <c r="E892" t="inlineStr">
        <is>
          <t>PRD-008</t>
        </is>
      </c>
      <c r="F892" t="inlineStr">
        <is>
          <t>Dezinfectant maini 5L</t>
        </is>
      </c>
      <c r="G892" t="inlineStr">
        <is>
          <t>Produse farmaceutice</t>
        </is>
      </c>
      <c r="H892" t="n">
        <v>5</v>
      </c>
      <c r="I892" t="n">
        <v>455.72</v>
      </c>
      <c r="J892" t="n">
        <v>2278.6</v>
      </c>
      <c r="K892" s="13" t="n">
        <v>0.09</v>
      </c>
      <c r="L892" t="n">
        <v>205.07</v>
      </c>
      <c r="M892" t="n">
        <v>2483.67</v>
      </c>
      <c r="N892" t="inlineStr">
        <is>
          <t>RON</t>
        </is>
      </c>
      <c r="O892" t="inlineStr">
        <is>
          <t>Câmpina</t>
        </is>
      </c>
      <c r="P892" s="12" t="n">
        <v>46391</v>
      </c>
      <c r="Q892">
        <f>IF(COUNTIF(tbl_Localitati[oras_oficial],[@oras])=0,"ORAS NEALINIAT",IF(XLOOKUP([@oras],tbl_Localitati[oras_oficial],tbl_Localitati[judet],"?")&lt;&gt;[@judet],"JUDET NECORESPUNZATOR",""))</f>
        <v/>
      </c>
      <c r="R892">
        <f>IF(XLOOKUP([@categorie],tbl_RegulriTVA[categorie],tbl_RegulriTVA[cota_legala],-1)&lt;&gt;[@cota_tva],"TVA GRESIT","")</f>
        <v/>
      </c>
      <c r="S892">
        <f>IF([@data_scadentei]&lt;[@data_factura],"SCADENTA INAINTEA FACTURII","")</f>
        <v/>
      </c>
      <c r="T892">
        <f>IF(NETWORKDAYS.INTL([@data_factura],[@data_factura],1,tbl_SarbatoriLegale[data])=0,"ZI NELUCRATOARE","")</f>
        <v/>
      </c>
      <c r="U892">
        <f>IF([@motiv_anomalie]="","OK","DE INVESTIGAT")</f>
        <v/>
      </c>
      <c r="V892">
        <f>TEXTJOIN("; ",TRUE,[@flag_oras],[@flag_tva],[@flag_scadenta],[@flag_zi])</f>
        <v/>
      </c>
    </row>
    <row r="893">
      <c r="A893" t="inlineStr">
        <is>
          <t>F-2025-00892</t>
        </is>
      </c>
      <c r="B893" s="12" t="n">
        <v>46346</v>
      </c>
      <c r="C893" t="inlineStr">
        <is>
          <t>SC RAPID LOGISTIC SA</t>
        </is>
      </c>
      <c r="D893" t="inlineStr">
        <is>
          <t>Prahova</t>
        </is>
      </c>
      <c r="E893" t="inlineStr">
        <is>
          <t>PRD-005</t>
        </is>
      </c>
      <c r="F893" t="inlineStr">
        <is>
          <t>Abonament suita cloud</t>
        </is>
      </c>
      <c r="G893" t="inlineStr">
        <is>
          <t>Licențe software</t>
        </is>
      </c>
      <c r="H893" t="n">
        <v>1</v>
      </c>
      <c r="I893" t="n">
        <v>254.02</v>
      </c>
      <c r="J893" t="n">
        <v>254.02</v>
      </c>
      <c r="K893" s="13" t="n">
        <v>0.19</v>
      </c>
      <c r="L893" t="n">
        <v>48.26</v>
      </c>
      <c r="M893" t="n">
        <v>302.28</v>
      </c>
      <c r="N893" t="inlineStr">
        <is>
          <t>RON</t>
        </is>
      </c>
      <c r="O893" t="inlineStr">
        <is>
          <t>Ploiești</t>
        </is>
      </c>
      <c r="P893" s="12" t="n">
        <v>46361</v>
      </c>
      <c r="Q893">
        <f>IF(COUNTIF(tbl_Localitati[oras_oficial],[@oras])=0,"ORAS NEALINIAT",IF(XLOOKUP([@oras],tbl_Localitati[oras_oficial],tbl_Localitati[judet],"?")&lt;&gt;[@judet],"JUDET NECORESPUNZATOR",""))</f>
        <v/>
      </c>
      <c r="R893">
        <f>IF(XLOOKUP([@categorie],tbl_RegulriTVA[categorie],tbl_RegulriTVA[cota_legala],-1)&lt;&gt;[@cota_tva],"TVA GRESIT","")</f>
        <v/>
      </c>
      <c r="S893">
        <f>IF([@data_scadentei]&lt;[@data_factura],"SCADENTA INAINTEA FACTURII","")</f>
        <v/>
      </c>
      <c r="T893">
        <f>IF(NETWORKDAYS.INTL([@data_factura],[@data_factura],1,tbl_SarbatoriLegale[data])=0,"ZI NELUCRATOARE","")</f>
        <v/>
      </c>
      <c r="U893">
        <f>IF([@motiv_anomalie]="","OK","DE INVESTIGAT")</f>
        <v/>
      </c>
      <c r="V893">
        <f>TEXTJOIN("; ",TRUE,[@flag_oras],[@flag_tva],[@flag_scadenta],[@flag_zi])</f>
        <v/>
      </c>
    </row>
    <row r="894">
      <c r="A894" t="inlineStr">
        <is>
          <t>F-2025-00893</t>
        </is>
      </c>
      <c r="B894" s="12" t="n">
        <v>46157</v>
      </c>
      <c r="C894" t="inlineStr">
        <is>
          <t>SC NORDIS DISTRIBUTIE SRL</t>
        </is>
      </c>
      <c r="D894" t="inlineStr">
        <is>
          <t>Constanța</t>
        </is>
      </c>
      <c r="E894" t="inlineStr">
        <is>
          <t>PRD-002</t>
        </is>
      </c>
      <c r="F894" t="inlineStr">
        <is>
          <t>Abonament suita cloud</t>
        </is>
      </c>
      <c r="G894" t="inlineStr">
        <is>
          <t>Licențe software</t>
        </is>
      </c>
      <c r="H894" t="n">
        <v>5</v>
      </c>
      <c r="I894" t="n">
        <v>1050.94</v>
      </c>
      <c r="J894" t="n">
        <v>5254.7</v>
      </c>
      <c r="K894" s="13" t="n">
        <v>0.19</v>
      </c>
      <c r="L894" t="n">
        <v>998.39</v>
      </c>
      <c r="M894" t="n">
        <v>6253.09</v>
      </c>
      <c r="N894" t="inlineStr">
        <is>
          <t>RON</t>
        </is>
      </c>
      <c r="O894" t="inlineStr">
        <is>
          <t>Mangalia</t>
        </is>
      </c>
      <c r="P894" s="12" t="n">
        <v>46172</v>
      </c>
      <c r="Q894">
        <f>IF(COUNTIF(tbl_Localitati[oras_oficial],[@oras])=0,"ORAS NEALINIAT",IF(XLOOKUP([@oras],tbl_Localitati[oras_oficial],tbl_Localitati[judet],"?")&lt;&gt;[@judet],"JUDET NECORESPUNZATOR",""))</f>
        <v/>
      </c>
      <c r="R894">
        <f>IF(XLOOKUP([@categorie],tbl_RegulriTVA[categorie],tbl_RegulriTVA[cota_legala],-1)&lt;&gt;[@cota_tva],"TVA GRESIT","")</f>
        <v/>
      </c>
      <c r="S894">
        <f>IF([@data_scadentei]&lt;[@data_factura],"SCADENTA INAINTEA FACTURII","")</f>
        <v/>
      </c>
      <c r="T894">
        <f>IF(NETWORKDAYS.INTL([@data_factura],[@data_factura],1,tbl_SarbatoriLegale[data])=0,"ZI NELUCRATOARE","")</f>
        <v/>
      </c>
      <c r="U894">
        <f>IF([@motiv_anomalie]="","OK","DE INVESTIGAT")</f>
        <v/>
      </c>
      <c r="V894">
        <f>TEXTJOIN("; ",TRUE,[@flag_oras],[@flag_tva],[@flag_scadenta],[@flag_zi])</f>
        <v/>
      </c>
    </row>
    <row r="895">
      <c r="A895" t="inlineStr">
        <is>
          <t>F-2025-00894</t>
        </is>
      </c>
      <c r="B895" s="12" t="n">
        <v>46311</v>
      </c>
      <c r="C895" t="inlineStr">
        <is>
          <t>SC RAPID LOGISTIC SA</t>
        </is>
      </c>
      <c r="D895" t="inlineStr">
        <is>
          <t>Prahova</t>
        </is>
      </c>
      <c r="E895" t="inlineStr">
        <is>
          <t>PRD-006</t>
        </is>
      </c>
      <c r="F895" t="inlineStr">
        <is>
          <t>Statie de lucru desktop</t>
        </is>
      </c>
      <c r="G895" t="inlineStr">
        <is>
          <t>Hardware IT</t>
        </is>
      </c>
      <c r="H895" t="n">
        <v>5</v>
      </c>
      <c r="I895" t="n">
        <v>742.0700000000001</v>
      </c>
      <c r="J895" t="n">
        <v>3710.35</v>
      </c>
      <c r="K895" s="13" t="n">
        <v>0.19</v>
      </c>
      <c r="L895" t="n">
        <v>704.97</v>
      </c>
      <c r="M895" t="n">
        <v>4415.32</v>
      </c>
      <c r="N895" t="inlineStr">
        <is>
          <t>RON</t>
        </is>
      </c>
      <c r="O895" t="inlineStr">
        <is>
          <t>Ploiești</t>
        </is>
      </c>
      <c r="P895" s="12" t="n">
        <v>46341</v>
      </c>
      <c r="Q895">
        <f>IF(COUNTIF(tbl_Localitati[oras_oficial],[@oras])=0,"ORAS NEALINIAT",IF(XLOOKUP([@oras],tbl_Localitati[oras_oficial],tbl_Localitati[judet],"?")&lt;&gt;[@judet],"JUDET NECORESPUNZATOR",""))</f>
        <v/>
      </c>
      <c r="R895">
        <f>IF(XLOOKUP([@categorie],tbl_RegulriTVA[categorie],tbl_RegulriTVA[cota_legala],-1)&lt;&gt;[@cota_tva],"TVA GRESIT","")</f>
        <v/>
      </c>
      <c r="S895">
        <f>IF([@data_scadentei]&lt;[@data_factura],"SCADENTA INAINTEA FACTURII","")</f>
        <v/>
      </c>
      <c r="T895">
        <f>IF(NETWORKDAYS.INTL([@data_factura],[@data_factura],1,tbl_SarbatoriLegale[data])=0,"ZI NELUCRATOARE","")</f>
        <v/>
      </c>
      <c r="U895">
        <f>IF([@motiv_anomalie]="","OK","DE INVESTIGAT")</f>
        <v/>
      </c>
      <c r="V895">
        <f>TEXTJOIN("; ",TRUE,[@flag_oras],[@flag_tva],[@flag_scadenta],[@flag_zi])</f>
        <v/>
      </c>
    </row>
    <row r="896">
      <c r="A896" t="inlineStr">
        <is>
          <t>F-2025-00895</t>
        </is>
      </c>
      <c r="B896" s="12" t="n">
        <v>46245</v>
      </c>
      <c r="C896" t="inlineStr">
        <is>
          <t>SC SOLARIS ENERGY SRL</t>
        </is>
      </c>
      <c r="D896" t="inlineStr">
        <is>
          <t>Prahova</t>
        </is>
      </c>
      <c r="E896" t="inlineStr">
        <is>
          <t>PRD-009</t>
        </is>
      </c>
      <c r="F896" t="inlineStr">
        <is>
          <t>Masti protectie cutie</t>
        </is>
      </c>
      <c r="G896" t="inlineStr">
        <is>
          <t>Produse farmaceutice</t>
        </is>
      </c>
      <c r="H896" t="n">
        <v>20</v>
      </c>
      <c r="I896" t="n">
        <v>26.71</v>
      </c>
      <c r="J896" t="n">
        <v>534.2</v>
      </c>
      <c r="K896" s="13" t="n">
        <v>0.05</v>
      </c>
      <c r="L896" t="n">
        <v>26.71</v>
      </c>
      <c r="M896" t="n">
        <v>560.91</v>
      </c>
      <c r="N896" t="inlineStr">
        <is>
          <t>RON</t>
        </is>
      </c>
      <c r="O896" t="inlineStr">
        <is>
          <t>Câmpina</t>
        </is>
      </c>
      <c r="P896" s="12" t="n">
        <v>46305</v>
      </c>
      <c r="Q896">
        <f>IF(COUNTIF(tbl_Localitati[oras_oficial],[@oras])=0,"ORAS NEALINIAT",IF(XLOOKUP([@oras],tbl_Localitati[oras_oficial],tbl_Localitati[judet],"?")&lt;&gt;[@judet],"JUDET NECORESPUNZATOR",""))</f>
        <v/>
      </c>
      <c r="R896">
        <f>IF(XLOOKUP([@categorie],tbl_RegulriTVA[categorie],tbl_RegulriTVA[cota_legala],-1)&lt;&gt;[@cota_tva],"TVA GRESIT","")</f>
        <v/>
      </c>
      <c r="S896">
        <f>IF([@data_scadentei]&lt;[@data_factura],"SCADENTA INAINTEA FACTURII","")</f>
        <v/>
      </c>
      <c r="T896">
        <f>IF(NETWORKDAYS.INTL([@data_factura],[@data_factura],1,tbl_SarbatoriLegale[data])=0,"ZI NELUCRATOARE","")</f>
        <v/>
      </c>
      <c r="U896">
        <f>IF([@motiv_anomalie]="","OK","DE INVESTIGAT")</f>
        <v/>
      </c>
      <c r="V896">
        <f>TEXTJOIN("; ",TRUE,[@flag_oras],[@flag_tva],[@flag_scadenta],[@flag_zi])</f>
        <v/>
      </c>
    </row>
    <row r="897">
      <c r="A897" t="inlineStr">
        <is>
          <t>F-2025-00896</t>
        </is>
      </c>
      <c r="B897" s="12" t="n">
        <v>46253</v>
      </c>
      <c r="C897" t="inlineStr">
        <is>
          <t>SC AROMET TRADING SRL</t>
        </is>
      </c>
      <c r="D897" t="inlineStr">
        <is>
          <t>Alba</t>
        </is>
      </c>
      <c r="E897" t="inlineStr">
        <is>
          <t>PRD-008</t>
        </is>
      </c>
      <c r="F897" t="inlineStr">
        <is>
          <t>Termometru digital</t>
        </is>
      </c>
      <c r="G897" t="inlineStr">
        <is>
          <t>Produse farmaceutice</t>
        </is>
      </c>
      <c r="H897" t="n">
        <v>5</v>
      </c>
      <c r="I897" t="n">
        <v>450.12</v>
      </c>
      <c r="J897" t="n">
        <v>2250.6</v>
      </c>
      <c r="K897" s="13" t="n">
        <v>0.09</v>
      </c>
      <c r="L897" t="n">
        <v>202.55</v>
      </c>
      <c r="M897" t="n">
        <v>2453.15</v>
      </c>
      <c r="N897" t="inlineStr">
        <is>
          <t>RON</t>
        </is>
      </c>
      <c r="O897" t="inlineStr">
        <is>
          <t>Alba Iulia</t>
        </is>
      </c>
      <c r="P897" s="12" t="n">
        <v>46313</v>
      </c>
      <c r="Q897">
        <f>IF(COUNTIF(tbl_Localitati[oras_oficial],[@oras])=0,"ORAS NEALINIAT",IF(XLOOKUP([@oras],tbl_Localitati[oras_oficial],tbl_Localitati[judet],"?")&lt;&gt;[@judet],"JUDET NECORESPUNZATOR",""))</f>
        <v/>
      </c>
      <c r="R897">
        <f>IF(XLOOKUP([@categorie],tbl_RegulriTVA[categorie],tbl_RegulriTVA[cota_legala],-1)&lt;&gt;[@cota_tva],"TVA GRESIT","")</f>
        <v/>
      </c>
      <c r="S897">
        <f>IF([@data_scadentei]&lt;[@data_factura],"SCADENTA INAINTEA FACTURII","")</f>
        <v/>
      </c>
      <c r="T897">
        <f>IF(NETWORKDAYS.INTL([@data_factura],[@data_factura],1,tbl_SarbatoriLegale[data])=0,"ZI NELUCRATOARE","")</f>
        <v/>
      </c>
      <c r="U897">
        <f>IF([@motiv_anomalie]="","OK","DE INVESTIGAT")</f>
        <v/>
      </c>
      <c r="V897">
        <f>TEXTJOIN("; ",TRUE,[@flag_oras],[@flag_tva],[@flag_scadenta],[@flag_zi])</f>
        <v/>
      </c>
    </row>
    <row r="898">
      <c r="A898" t="inlineStr">
        <is>
          <t>F-2025-00897</t>
        </is>
      </c>
      <c r="B898" s="12" t="n">
        <v>46254</v>
      </c>
      <c r="C898" t="inlineStr">
        <is>
          <t>SC UNIFOOD DISTRIBUTION SA</t>
        </is>
      </c>
      <c r="D898" t="inlineStr">
        <is>
          <t>Sibiu</t>
        </is>
      </c>
      <c r="E898" t="inlineStr">
        <is>
          <t>PRD-003</t>
        </is>
      </c>
      <c r="F898" t="inlineStr">
        <is>
          <t>Statie de lucru desktop</t>
        </is>
      </c>
      <c r="G898" t="inlineStr">
        <is>
          <t>Hardware IT</t>
        </is>
      </c>
      <c r="H898" t="n">
        <v>1</v>
      </c>
      <c r="I898" t="n">
        <v>4328.81</v>
      </c>
      <c r="J898" t="n">
        <v>4328.81</v>
      </c>
      <c r="K898" s="13" t="n">
        <v>0.09</v>
      </c>
      <c r="L898" t="n">
        <v>389.59</v>
      </c>
      <c r="M898" t="n">
        <v>4718.4</v>
      </c>
      <c r="N898" t="inlineStr">
        <is>
          <t>RON</t>
        </is>
      </c>
      <c r="O898" t="inlineStr">
        <is>
          <t>Bv</t>
        </is>
      </c>
      <c r="P898" s="12" t="n">
        <v>46284</v>
      </c>
      <c r="Q898">
        <f>IF(COUNTIF(tbl_Localitati[oras_oficial],[@oras])=0,"ORAS NEALINIAT",IF(XLOOKUP([@oras],tbl_Localitati[oras_oficial],tbl_Localitati[judet],"?")&lt;&gt;[@judet],"JUDET NECORESPUNZATOR",""))</f>
        <v/>
      </c>
      <c r="R898">
        <f>IF(XLOOKUP([@categorie],tbl_RegulriTVA[categorie],tbl_RegulriTVA[cota_legala],-1)&lt;&gt;[@cota_tva],"TVA GRESIT","")</f>
        <v/>
      </c>
      <c r="S898">
        <f>IF([@data_scadentei]&lt;[@data_factura],"SCADENTA INAINTEA FACTURII","")</f>
        <v/>
      </c>
      <c r="T898">
        <f>IF(NETWORKDAYS.INTL([@data_factura],[@data_factura],1,tbl_SarbatoriLegale[data])=0,"ZI NELUCRATOARE","")</f>
        <v/>
      </c>
      <c r="U898">
        <f>IF([@motiv_anomalie]="","OK","DE INVESTIGAT")</f>
        <v/>
      </c>
      <c r="V898">
        <f>TEXTJOIN("; ",TRUE,[@flag_oras],[@flag_tva],[@flag_scadenta],[@flag_zi])</f>
        <v/>
      </c>
    </row>
    <row r="899">
      <c r="A899" t="inlineStr">
        <is>
          <t>F-2025-00898</t>
        </is>
      </c>
      <c r="B899" s="12" t="n">
        <v>46323</v>
      </c>
      <c r="C899" t="inlineStr">
        <is>
          <t>SC RAPID LOGISTIC SA</t>
        </is>
      </c>
      <c r="D899" t="inlineStr">
        <is>
          <t>Prahova</t>
        </is>
      </c>
      <c r="E899" t="inlineStr">
        <is>
          <t>PRD-009</t>
        </is>
      </c>
      <c r="F899" t="inlineStr">
        <is>
          <t>Switch gigabit 24p</t>
        </is>
      </c>
      <c r="G899" t="inlineStr">
        <is>
          <t>Hardware IT</t>
        </is>
      </c>
      <c r="H899" t="n">
        <v>5</v>
      </c>
      <c r="I899" t="n">
        <v>29.31</v>
      </c>
      <c r="J899" t="n">
        <v>146.55</v>
      </c>
      <c r="K899" s="13" t="n">
        <v>0.19</v>
      </c>
      <c r="L899" t="n">
        <v>27.84</v>
      </c>
      <c r="M899" t="n">
        <v>174.39</v>
      </c>
      <c r="N899" t="inlineStr">
        <is>
          <t>RON</t>
        </is>
      </c>
      <c r="O899" t="inlineStr">
        <is>
          <t>Ploiești</t>
        </is>
      </c>
      <c r="P899" s="12" t="n">
        <v>46338</v>
      </c>
      <c r="Q899">
        <f>IF(COUNTIF(tbl_Localitati[oras_oficial],[@oras])=0,"ORAS NEALINIAT",IF(XLOOKUP([@oras],tbl_Localitati[oras_oficial],tbl_Localitati[judet],"?")&lt;&gt;[@judet],"JUDET NECORESPUNZATOR",""))</f>
        <v/>
      </c>
      <c r="R899">
        <f>IF(XLOOKUP([@categorie],tbl_RegulriTVA[categorie],tbl_RegulriTVA[cota_legala],-1)&lt;&gt;[@cota_tva],"TVA GRESIT","")</f>
        <v/>
      </c>
      <c r="S899">
        <f>IF([@data_scadentei]&lt;[@data_factura],"SCADENTA INAINTEA FACTURII","")</f>
        <v/>
      </c>
      <c r="T899">
        <f>IF(NETWORKDAYS.INTL([@data_factura],[@data_factura],1,tbl_SarbatoriLegale[data])=0,"ZI NELUCRATOARE","")</f>
        <v/>
      </c>
      <c r="U899">
        <f>IF([@motiv_anomalie]="","OK","DE INVESTIGAT")</f>
        <v/>
      </c>
      <c r="V899">
        <f>TEXTJOIN("; ",TRUE,[@flag_oras],[@flag_tva],[@flag_scadenta],[@flag_zi])</f>
        <v/>
      </c>
    </row>
    <row r="900">
      <c r="A900" t="inlineStr">
        <is>
          <t>F-2025-00899</t>
        </is>
      </c>
      <c r="B900" s="12" t="n">
        <v>46225</v>
      </c>
      <c r="C900" t="inlineStr">
        <is>
          <t>SC UNIFOOD DISTRIBUTION SA</t>
        </is>
      </c>
      <c r="D900" t="inlineStr">
        <is>
          <t>Sibiu</t>
        </is>
      </c>
      <c r="E900" t="inlineStr">
        <is>
          <t>PRD-002</t>
        </is>
      </c>
      <c r="F900" t="inlineStr">
        <is>
          <t>Licenta antivirus enterprise</t>
        </is>
      </c>
      <c r="G900" t="inlineStr">
        <is>
          <t>Licențe software</t>
        </is>
      </c>
      <c r="H900" t="n">
        <v>1</v>
      </c>
      <c r="I900" t="n">
        <v>1110.23</v>
      </c>
      <c r="J900" t="n">
        <v>1110.23</v>
      </c>
      <c r="K900" s="13" t="n">
        <v>0.19</v>
      </c>
      <c r="L900" t="n">
        <v>210.94</v>
      </c>
      <c r="M900" t="n">
        <v>1321.17</v>
      </c>
      <c r="N900" t="inlineStr">
        <is>
          <t>RON</t>
        </is>
      </c>
      <c r="O900" t="inlineStr">
        <is>
          <t>Mediaș</t>
        </is>
      </c>
      <c r="P900" s="12" t="n">
        <v>46255</v>
      </c>
      <c r="Q900">
        <f>IF(COUNTIF(tbl_Localitati[oras_oficial],[@oras])=0,"ORAS NEALINIAT",IF(XLOOKUP([@oras],tbl_Localitati[oras_oficial],tbl_Localitati[judet],"?")&lt;&gt;[@judet],"JUDET NECORESPUNZATOR",""))</f>
        <v/>
      </c>
      <c r="R900">
        <f>IF(XLOOKUP([@categorie],tbl_RegulriTVA[categorie],tbl_RegulriTVA[cota_legala],-1)&lt;&gt;[@cota_tva],"TVA GRESIT","")</f>
        <v/>
      </c>
      <c r="S900">
        <f>IF([@data_scadentei]&lt;[@data_factura],"SCADENTA INAINTEA FACTURII","")</f>
        <v/>
      </c>
      <c r="T900">
        <f>IF(NETWORKDAYS.INTL([@data_factura],[@data_factura],1,tbl_SarbatoriLegale[data])=0,"ZI NELUCRATOARE","")</f>
        <v/>
      </c>
      <c r="U900">
        <f>IF([@motiv_anomalie]="","OK","DE INVESTIGAT")</f>
        <v/>
      </c>
      <c r="V900">
        <f>TEXTJOIN("; ",TRUE,[@flag_oras],[@flag_tva],[@flag_scadenta],[@flag_zi])</f>
        <v/>
      </c>
    </row>
    <row r="901">
      <c r="A901" t="inlineStr">
        <is>
          <t>F-2025-00900</t>
        </is>
      </c>
      <c r="B901" s="12" t="n">
        <v>46287</v>
      </c>
      <c r="C901" t="inlineStr">
        <is>
          <t>SC SOLARIS ENERGY SRL</t>
        </is>
      </c>
      <c r="D901" t="inlineStr">
        <is>
          <t>Prahova</t>
        </is>
      </c>
      <c r="E901" t="inlineStr">
        <is>
          <t>PRD-009</t>
        </is>
      </c>
      <c r="F901" t="inlineStr">
        <is>
          <t>Licenta ERP contabilitate</t>
        </is>
      </c>
      <c r="G901" t="inlineStr">
        <is>
          <t>Licențe software</t>
        </is>
      </c>
      <c r="H901" t="n">
        <v>5</v>
      </c>
      <c r="I901" t="n">
        <v>28.72</v>
      </c>
      <c r="J901" t="n">
        <v>143.6</v>
      </c>
      <c r="K901" s="13" t="n">
        <v>0.19</v>
      </c>
      <c r="L901" t="n">
        <v>27.28</v>
      </c>
      <c r="M901" t="n">
        <v>170.88</v>
      </c>
      <c r="N901" t="inlineStr">
        <is>
          <t>RON</t>
        </is>
      </c>
      <c r="O901" t="inlineStr">
        <is>
          <t>Câmpina</t>
        </is>
      </c>
      <c r="P901" s="12" t="n">
        <v>46317</v>
      </c>
      <c r="Q901">
        <f>IF(COUNTIF(tbl_Localitati[oras_oficial],[@oras])=0,"ORAS NEALINIAT",IF(XLOOKUP([@oras],tbl_Localitati[oras_oficial],tbl_Localitati[judet],"?")&lt;&gt;[@judet],"JUDET NECORESPUNZATOR",""))</f>
        <v/>
      </c>
      <c r="R901">
        <f>IF(XLOOKUP([@categorie],tbl_RegulriTVA[categorie],tbl_RegulriTVA[cota_legala],-1)&lt;&gt;[@cota_tva],"TVA GRESIT","")</f>
        <v/>
      </c>
      <c r="S901">
        <f>IF([@data_scadentei]&lt;[@data_factura],"SCADENTA INAINTEA FACTURII","")</f>
        <v/>
      </c>
      <c r="T901">
        <f>IF(NETWORKDAYS.INTL([@data_factura],[@data_factura],1,tbl_SarbatoriLegale[data])=0,"ZI NELUCRATOARE","")</f>
        <v/>
      </c>
      <c r="U901">
        <f>IF([@motiv_anomalie]="","OK","DE INVESTIGAT")</f>
        <v/>
      </c>
      <c r="V901">
        <f>TEXTJOIN("; ",TRUE,[@flag_oras],[@flag_tva],[@flag_scadenta],[@flag_zi])</f>
        <v/>
      </c>
    </row>
    <row r="902">
      <c r="A902" t="inlineStr">
        <is>
          <t>F-2025-00901</t>
        </is>
      </c>
      <c r="B902" s="12" t="n">
        <v>46127</v>
      </c>
      <c r="C902" t="inlineStr">
        <is>
          <t>SC AROMET TRADING SRL</t>
        </is>
      </c>
      <c r="D902" t="inlineStr">
        <is>
          <t>Alba</t>
        </is>
      </c>
      <c r="E902" t="inlineStr">
        <is>
          <t>PRD-010</t>
        </is>
      </c>
      <c r="F902" t="inlineStr">
        <is>
          <t>Consultanta implementare IT</t>
        </is>
      </c>
      <c r="G902" t="inlineStr">
        <is>
          <t>Servicii consultanță</t>
        </is>
      </c>
      <c r="H902" t="n">
        <v>5</v>
      </c>
      <c r="I902" t="n">
        <v>349.04</v>
      </c>
      <c r="J902" t="n">
        <v>1745.2</v>
      </c>
      <c r="K902" s="13" t="n">
        <v>0.19</v>
      </c>
      <c r="L902" t="n">
        <v>331.59</v>
      </c>
      <c r="M902" t="n">
        <v>2076.79</v>
      </c>
      <c r="N902" t="inlineStr">
        <is>
          <t>EUR</t>
        </is>
      </c>
      <c r="O902" t="inlineStr">
        <is>
          <t>Alba Iulia</t>
        </is>
      </c>
      <c r="P902" s="12" t="n">
        <v>46172</v>
      </c>
      <c r="Q902">
        <f>IF(COUNTIF(tbl_Localitati[oras_oficial],[@oras])=0,"ORAS NEALINIAT",IF(XLOOKUP([@oras],tbl_Localitati[oras_oficial],tbl_Localitati[judet],"?")&lt;&gt;[@judet],"JUDET NECORESPUNZATOR",""))</f>
        <v/>
      </c>
      <c r="R902">
        <f>IF(XLOOKUP([@categorie],tbl_RegulriTVA[categorie],tbl_RegulriTVA[cota_legala],-1)&lt;&gt;[@cota_tva],"TVA GRESIT","")</f>
        <v/>
      </c>
      <c r="S902">
        <f>IF([@data_scadentei]&lt;[@data_factura],"SCADENTA INAINTEA FACTURII","")</f>
        <v/>
      </c>
      <c r="T902">
        <f>IF(NETWORKDAYS.INTL([@data_factura],[@data_factura],1,tbl_SarbatoriLegale[data])=0,"ZI NELUCRATOARE","")</f>
        <v/>
      </c>
      <c r="U902">
        <f>IF([@motiv_anomalie]="","OK","DE INVESTIGAT")</f>
        <v/>
      </c>
      <c r="V902">
        <f>TEXTJOIN("; ",TRUE,[@flag_oras],[@flag_tva],[@flag_scadenta],[@flag_zi])</f>
        <v/>
      </c>
    </row>
    <row r="903">
      <c r="A903" t="inlineStr">
        <is>
          <t>F-2025-00902</t>
        </is>
      </c>
      <c r="B903" s="12" t="n">
        <v>46173</v>
      </c>
      <c r="C903" t="inlineStr">
        <is>
          <t>SC UNIFOOD DISTRIBUTION SA</t>
        </is>
      </c>
      <c r="D903" t="inlineStr">
        <is>
          <t>Sibiu</t>
        </is>
      </c>
      <c r="E903" t="inlineStr">
        <is>
          <t>PRD-004</t>
        </is>
      </c>
      <c r="F903" t="inlineStr">
        <is>
          <t>Laptop business 15"</t>
        </is>
      </c>
      <c r="G903" t="inlineStr">
        <is>
          <t>Hardware IT</t>
        </is>
      </c>
      <c r="H903" t="n">
        <v>1</v>
      </c>
      <c r="I903" t="n">
        <v>868.0599999999999</v>
      </c>
      <c r="J903" t="n">
        <v>868.0599999999999</v>
      </c>
      <c r="K903" s="13" t="n">
        <v>0.19</v>
      </c>
      <c r="L903" t="n">
        <v>164.93</v>
      </c>
      <c r="M903" t="n">
        <v>1032.99</v>
      </c>
      <c r="N903" t="inlineStr">
        <is>
          <t>RON</t>
        </is>
      </c>
      <c r="O903" t="inlineStr">
        <is>
          <t>Mediaș</t>
        </is>
      </c>
      <c r="P903" s="12" t="n">
        <v>46203</v>
      </c>
      <c r="Q903">
        <f>IF(COUNTIF(tbl_Localitati[oras_oficial],[@oras])=0,"ORAS NEALINIAT",IF(XLOOKUP([@oras],tbl_Localitati[oras_oficial],tbl_Localitati[judet],"?")&lt;&gt;[@judet],"JUDET NECORESPUNZATOR",""))</f>
        <v/>
      </c>
      <c r="R903">
        <f>IF(XLOOKUP([@categorie],tbl_RegulriTVA[categorie],tbl_RegulriTVA[cota_legala],-1)&lt;&gt;[@cota_tva],"TVA GRESIT","")</f>
        <v/>
      </c>
      <c r="S903">
        <f>IF([@data_scadentei]&lt;[@data_factura],"SCADENTA INAINTEA FACTURII","")</f>
        <v/>
      </c>
      <c r="T903">
        <f>IF(NETWORKDAYS.INTL([@data_factura],[@data_factura],1,tbl_SarbatoriLegale[data])=0,"ZI NELUCRATOARE","")</f>
        <v/>
      </c>
      <c r="U903">
        <f>IF([@motiv_anomalie]="","OK","DE INVESTIGAT")</f>
        <v/>
      </c>
      <c r="V903">
        <f>TEXTJOIN("; ",TRUE,[@flag_oras],[@flag_tva],[@flag_scadenta],[@flag_zi])</f>
        <v/>
      </c>
    </row>
    <row r="904">
      <c r="A904" t="inlineStr">
        <is>
          <t>F-2025-00903</t>
        </is>
      </c>
      <c r="B904" s="12" t="n">
        <v>46344</v>
      </c>
      <c r="C904" t="inlineStr">
        <is>
          <t>SC INTEGROMED SA</t>
        </is>
      </c>
      <c r="D904" t="inlineStr">
        <is>
          <t>Cluj</t>
        </is>
      </c>
      <c r="E904" t="inlineStr">
        <is>
          <t>PRD-008</t>
        </is>
      </c>
      <c r="F904" t="inlineStr">
        <is>
          <t>Licenta antivirus enterprise</t>
        </is>
      </c>
      <c r="G904" t="inlineStr">
        <is>
          <t>Licențe software</t>
        </is>
      </c>
      <c r="H904" t="n">
        <v>1</v>
      </c>
      <c r="I904" t="n">
        <v>452.14</v>
      </c>
      <c r="J904" t="n">
        <v>452.14</v>
      </c>
      <c r="K904" s="13" t="n">
        <v>0.19</v>
      </c>
      <c r="L904" t="n">
        <v>85.91</v>
      </c>
      <c r="M904" t="n">
        <v>538.05</v>
      </c>
      <c r="N904" t="inlineStr">
        <is>
          <t>RON</t>
        </is>
      </c>
      <c r="O904" t="inlineStr">
        <is>
          <t>Cluj-Napoca</t>
        </is>
      </c>
      <c r="P904" s="12" t="n">
        <v>46404</v>
      </c>
      <c r="Q904">
        <f>IF(COUNTIF(tbl_Localitati[oras_oficial],[@oras])=0,"ORAS NEALINIAT",IF(XLOOKUP([@oras],tbl_Localitati[oras_oficial],tbl_Localitati[judet],"?")&lt;&gt;[@judet],"JUDET NECORESPUNZATOR",""))</f>
        <v/>
      </c>
      <c r="R904">
        <f>IF(XLOOKUP([@categorie],tbl_RegulriTVA[categorie],tbl_RegulriTVA[cota_legala],-1)&lt;&gt;[@cota_tva],"TVA GRESIT","")</f>
        <v/>
      </c>
      <c r="S904">
        <f>IF([@data_scadentei]&lt;[@data_factura],"SCADENTA INAINTEA FACTURII","")</f>
        <v/>
      </c>
      <c r="T904">
        <f>IF(NETWORKDAYS.INTL([@data_factura],[@data_factura],1,tbl_SarbatoriLegale[data])=0,"ZI NELUCRATOARE","")</f>
        <v/>
      </c>
      <c r="U904">
        <f>IF([@motiv_anomalie]="","OK","DE INVESTIGAT")</f>
        <v/>
      </c>
      <c r="V904">
        <f>TEXTJOIN("; ",TRUE,[@flag_oras],[@flag_tva],[@flag_scadenta],[@flag_zi])</f>
        <v/>
      </c>
    </row>
    <row r="905">
      <c r="A905" t="inlineStr">
        <is>
          <t>F-2025-00904</t>
        </is>
      </c>
      <c r="B905" s="12" t="n">
        <v>46344</v>
      </c>
      <c r="C905" t="inlineStr">
        <is>
          <t>SC NORDIS DISTRIBUTIE SRL</t>
        </is>
      </c>
      <c r="D905" t="inlineStr">
        <is>
          <t>Constanța</t>
        </is>
      </c>
      <c r="E905" t="inlineStr">
        <is>
          <t>PRD-008</t>
        </is>
      </c>
      <c r="F905" t="inlineStr">
        <is>
          <t>Dezinfectant maini 5L</t>
        </is>
      </c>
      <c r="G905" t="inlineStr">
        <is>
          <t>Produse farmaceutice</t>
        </is>
      </c>
      <c r="H905" t="n">
        <v>25</v>
      </c>
      <c r="I905" t="n">
        <v>434.2</v>
      </c>
      <c r="J905" t="n">
        <v>10855</v>
      </c>
      <c r="K905" s="13" t="n">
        <v>0.09</v>
      </c>
      <c r="L905" t="n">
        <v>976.95</v>
      </c>
      <c r="M905" t="n">
        <v>11831.95</v>
      </c>
      <c r="N905" t="inlineStr">
        <is>
          <t>RON</t>
        </is>
      </c>
      <c r="O905" t="inlineStr">
        <is>
          <t>Mangalia</t>
        </is>
      </c>
      <c r="P905" s="12" t="n">
        <v>46374</v>
      </c>
      <c r="Q905">
        <f>IF(COUNTIF(tbl_Localitati[oras_oficial],[@oras])=0,"ORAS NEALINIAT",IF(XLOOKUP([@oras],tbl_Localitati[oras_oficial],tbl_Localitati[judet],"?")&lt;&gt;[@judet],"JUDET NECORESPUNZATOR",""))</f>
        <v/>
      </c>
      <c r="R905">
        <f>IF(XLOOKUP([@categorie],tbl_RegulriTVA[categorie],tbl_RegulriTVA[cota_legala],-1)&lt;&gt;[@cota_tva],"TVA GRESIT","")</f>
        <v/>
      </c>
      <c r="S905">
        <f>IF([@data_scadentei]&lt;[@data_factura],"SCADENTA INAINTEA FACTURII","")</f>
        <v/>
      </c>
      <c r="T905">
        <f>IF(NETWORKDAYS.INTL([@data_factura],[@data_factura],1,tbl_SarbatoriLegale[data])=0,"ZI NELUCRATOARE","")</f>
        <v/>
      </c>
      <c r="U905">
        <f>IF([@motiv_anomalie]="","OK","DE INVESTIGAT")</f>
        <v/>
      </c>
      <c r="V905">
        <f>TEXTJOIN("; ",TRUE,[@flag_oras],[@flag_tva],[@flag_scadenta],[@flag_zi])</f>
        <v/>
      </c>
    </row>
    <row r="906">
      <c r="A906" t="inlineStr">
        <is>
          <t>F-2025-00905</t>
        </is>
      </c>
      <c r="B906" s="12" t="n">
        <v>46289</v>
      </c>
      <c r="C906" t="inlineStr">
        <is>
          <t>SC NORDIS DISTRIBUTIE SRL</t>
        </is>
      </c>
      <c r="D906" t="inlineStr">
        <is>
          <t>Constanța</t>
        </is>
      </c>
      <c r="E906" t="inlineStr">
        <is>
          <t>PRD-003</t>
        </is>
      </c>
      <c r="F906" t="inlineStr">
        <is>
          <t>Statie de lucru desktop</t>
        </is>
      </c>
      <c r="G906" t="inlineStr">
        <is>
          <t>Hardware IT</t>
        </is>
      </c>
      <c r="H906" t="n">
        <v>1</v>
      </c>
      <c r="I906" t="n">
        <v>4280.5</v>
      </c>
      <c r="J906" t="n">
        <v>4280.5</v>
      </c>
      <c r="K906" s="13" t="n">
        <v>0.19</v>
      </c>
      <c r="L906" t="n">
        <v>813.29</v>
      </c>
      <c r="M906" t="n">
        <v>5093.79</v>
      </c>
      <c r="N906" t="inlineStr">
        <is>
          <t>RON</t>
        </is>
      </c>
      <c r="O906" t="inlineStr">
        <is>
          <t>Mangalia</t>
        </is>
      </c>
      <c r="P906" s="12" t="n">
        <v>46319</v>
      </c>
      <c r="Q906">
        <f>IF(COUNTIF(tbl_Localitati[oras_oficial],[@oras])=0,"ORAS NEALINIAT",IF(XLOOKUP([@oras],tbl_Localitati[oras_oficial],tbl_Localitati[judet],"?")&lt;&gt;[@judet],"JUDET NECORESPUNZATOR",""))</f>
        <v/>
      </c>
      <c r="R906">
        <f>IF(XLOOKUP([@categorie],tbl_RegulriTVA[categorie],tbl_RegulriTVA[cota_legala],-1)&lt;&gt;[@cota_tva],"TVA GRESIT","")</f>
        <v/>
      </c>
      <c r="S906">
        <f>IF([@data_scadentei]&lt;[@data_factura],"SCADENTA INAINTEA FACTURII","")</f>
        <v/>
      </c>
      <c r="T906">
        <f>IF(NETWORKDAYS.INTL([@data_factura],[@data_factura],1,tbl_SarbatoriLegale[data])=0,"ZI NELUCRATOARE","")</f>
        <v/>
      </c>
      <c r="U906">
        <f>IF([@motiv_anomalie]="","OK","DE INVESTIGAT")</f>
        <v/>
      </c>
      <c r="V906">
        <f>TEXTJOIN("; ",TRUE,[@flag_oras],[@flag_tva],[@flag_scadenta],[@flag_zi])</f>
        <v/>
      </c>
    </row>
    <row r="907">
      <c r="A907" t="inlineStr">
        <is>
          <t>F-2025-00906</t>
        </is>
      </c>
      <c r="B907" s="12" t="n">
        <v>46336</v>
      </c>
      <c r="C907" t="inlineStr">
        <is>
          <t>SC ZENITH AUTO SRL</t>
        </is>
      </c>
      <c r="D907" t="inlineStr">
        <is>
          <t>București</t>
        </is>
      </c>
      <c r="E907" t="inlineStr">
        <is>
          <t>PRD-008</t>
        </is>
      </c>
      <c r="F907" t="inlineStr">
        <is>
          <t>Set carti formare</t>
        </is>
      </c>
      <c r="G907" t="inlineStr">
        <is>
          <t>Cărți și manuale</t>
        </is>
      </c>
      <c r="H907" t="n">
        <v>25</v>
      </c>
      <c r="I907" t="n">
        <v>432.49</v>
      </c>
      <c r="J907" t="n">
        <v>10812.25</v>
      </c>
      <c r="K907" s="13" t="n">
        <v>0.05</v>
      </c>
      <c r="L907" t="n">
        <v>540.61</v>
      </c>
      <c r="M907" t="n">
        <v>11352.86</v>
      </c>
      <c r="N907" t="inlineStr">
        <is>
          <t>RON</t>
        </is>
      </c>
      <c r="O907" t="inlineStr">
        <is>
          <t>București</t>
        </is>
      </c>
      <c r="P907" s="12" t="n">
        <v>46396</v>
      </c>
      <c r="Q907">
        <f>IF(COUNTIF(tbl_Localitati[oras_oficial],[@oras])=0,"ORAS NEALINIAT",IF(XLOOKUP([@oras],tbl_Localitati[oras_oficial],tbl_Localitati[judet],"?")&lt;&gt;[@judet],"JUDET NECORESPUNZATOR",""))</f>
        <v/>
      </c>
      <c r="R907">
        <f>IF(XLOOKUP([@categorie],tbl_RegulriTVA[categorie],tbl_RegulriTVA[cota_legala],-1)&lt;&gt;[@cota_tva],"TVA GRESIT","")</f>
        <v/>
      </c>
      <c r="S907">
        <f>IF([@data_scadentei]&lt;[@data_factura],"SCADENTA INAINTEA FACTURII","")</f>
        <v/>
      </c>
      <c r="T907">
        <f>IF(NETWORKDAYS.INTL([@data_factura],[@data_factura],1,tbl_SarbatoriLegale[data])=0,"ZI NELUCRATOARE","")</f>
        <v/>
      </c>
      <c r="U907">
        <f>IF([@motiv_anomalie]="","OK","DE INVESTIGAT")</f>
        <v/>
      </c>
      <c r="V907">
        <f>TEXTJOIN("; ",TRUE,[@flag_oras],[@flag_tva],[@flag_scadenta],[@flag_zi])</f>
        <v/>
      </c>
    </row>
    <row r="908">
      <c r="A908" t="inlineStr">
        <is>
          <t>F-2025-00907</t>
        </is>
      </c>
      <c r="B908" s="12" t="n">
        <v>46079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Videoproiector sala</t>
        </is>
      </c>
      <c r="G908" t="inlineStr">
        <is>
          <t>Echipamente birou</t>
        </is>
      </c>
      <c r="H908" t="n">
        <v>1</v>
      </c>
      <c r="I908" t="n">
        <v>240.8</v>
      </c>
      <c r="J908" t="n">
        <v>240.8</v>
      </c>
      <c r="K908" s="13" t="n">
        <v>0.19</v>
      </c>
      <c r="L908" t="n">
        <v>45.75</v>
      </c>
      <c r="M908" t="n">
        <v>286.55</v>
      </c>
      <c r="N908" t="inlineStr">
        <is>
          <t>RON</t>
        </is>
      </c>
      <c r="O908" t="inlineStr">
        <is>
          <t>Sibiu</t>
        </is>
      </c>
      <c r="P908" s="12" t="n">
        <v>46124</v>
      </c>
      <c r="Q908">
        <f>IF(COUNTIF(tbl_Localitati[oras_oficial],[@oras])=0,"ORAS NEALINIAT",IF(XLOOKUP([@oras],tbl_Localitati[oras_oficial],tbl_Localitati[judet],"?")&lt;&gt;[@judet],"JUDET NECORESPUNZATOR",""))</f>
        <v/>
      </c>
      <c r="R908">
        <f>IF(XLOOKUP([@categorie],tbl_RegulriTVA[categorie],tbl_RegulriTVA[cota_legala],-1)&lt;&gt;[@cota_tva],"TVA GRESIT","")</f>
        <v/>
      </c>
      <c r="S908">
        <f>IF([@data_scadentei]&lt;[@data_factura],"SCADENTA INAINTEA FACTURII","")</f>
        <v/>
      </c>
      <c r="T908">
        <f>IF(NETWORKDAYS.INTL([@data_factura],[@data_factura],1,tbl_SarbatoriLegale[data])=0,"ZI NELUCRATOARE","")</f>
        <v/>
      </c>
      <c r="U908">
        <f>IF([@motiv_anomalie]="","OK","DE INVESTIGAT")</f>
        <v/>
      </c>
      <c r="V908">
        <f>TEXTJOIN("; ",TRUE,[@flag_oras],[@flag_tva],[@flag_scadenta],[@flag_zi])</f>
        <v/>
      </c>
    </row>
    <row r="909">
      <c r="A909" t="inlineStr">
        <is>
          <t>F-2025-00908</t>
        </is>
      </c>
      <c r="B909" s="12" t="n">
        <v>46183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Ceai cutie 100buc</t>
        </is>
      </c>
      <c r="G909" t="inlineStr">
        <is>
          <t>Alimente</t>
        </is>
      </c>
      <c r="H909" t="n">
        <v>20</v>
      </c>
      <c r="I909" t="n">
        <v>28.85</v>
      </c>
      <c r="J909" t="n">
        <v>577</v>
      </c>
      <c r="K909" s="13" t="n">
        <v>0.09</v>
      </c>
      <c r="L909" t="n">
        <v>51.93</v>
      </c>
      <c r="M909" t="n">
        <v>628.9299999999999</v>
      </c>
      <c r="N909" t="inlineStr">
        <is>
          <t>RON</t>
        </is>
      </c>
      <c r="O909" t="inlineStr">
        <is>
          <t>Sibiu</t>
        </is>
      </c>
      <c r="P909" s="12" t="n">
        <v>46213</v>
      </c>
      <c r="Q909">
        <f>IF(COUNTIF(tbl_Localitati[oras_oficial],[@oras])=0,"ORAS NEALINIAT",IF(XLOOKUP([@oras],tbl_Localitati[oras_oficial],tbl_Localitati[judet],"?")&lt;&gt;[@judet],"JUDET NECORESPUNZATOR",""))</f>
        <v/>
      </c>
      <c r="R909">
        <f>IF(XLOOKUP([@categorie],tbl_RegulriTVA[categorie],tbl_RegulriTVA[cota_legala],-1)&lt;&gt;[@cota_tva],"TVA GRESIT","")</f>
        <v/>
      </c>
      <c r="S909">
        <f>IF([@data_scadentei]&lt;[@data_factura],"SCADENTA INAINTEA FACTURII","")</f>
        <v/>
      </c>
      <c r="T909">
        <f>IF(NETWORKDAYS.INTL([@data_factura],[@data_factura],1,tbl_SarbatoriLegale[data])=0,"ZI NELUCRATOARE","")</f>
        <v/>
      </c>
      <c r="U909">
        <f>IF([@motiv_anomalie]="","OK","DE INVESTIGAT")</f>
        <v/>
      </c>
      <c r="V909">
        <f>TEXTJOIN("; ",TRUE,[@flag_oras],[@flag_tva],[@flag_scadenta],[@flag_zi])</f>
        <v/>
      </c>
    </row>
    <row r="910">
      <c r="A910" t="inlineStr">
        <is>
          <t>F-2025-00909</t>
        </is>
      </c>
      <c r="B910" s="12" t="n">
        <v>46261</v>
      </c>
      <c r="C910" t="inlineStr">
        <is>
          <t>SC NORDIS DISTRIBUTIE SRL</t>
        </is>
      </c>
      <c r="D910" t="inlineStr">
        <is>
          <t>Constanța</t>
        </is>
      </c>
      <c r="E910" t="inlineStr">
        <is>
          <t>PRD-002</t>
        </is>
      </c>
      <c r="F910" t="inlineStr">
        <is>
          <t>Server rack 1U</t>
        </is>
      </c>
      <c r="G910" t="inlineStr">
        <is>
          <t>Hardware IT</t>
        </is>
      </c>
      <c r="H910" t="n">
        <v>3</v>
      </c>
      <c r="I910" t="n">
        <v>1116.67</v>
      </c>
      <c r="J910" t="n">
        <v>3350.01</v>
      </c>
      <c r="K910" s="13" t="n">
        <v>0.19</v>
      </c>
      <c r="L910" t="n">
        <v>636.5</v>
      </c>
      <c r="M910" t="n">
        <v>3986.51</v>
      </c>
      <c r="N910" t="inlineStr">
        <is>
          <t>RON</t>
        </is>
      </c>
      <c r="O910" t="inlineStr">
        <is>
          <t>Mangalia</t>
        </is>
      </c>
      <c r="P910" s="12" t="n">
        <v>46276</v>
      </c>
      <c r="Q910">
        <f>IF(COUNTIF(tbl_Localitati[oras_oficial],[@oras])=0,"ORAS NEALINIAT",IF(XLOOKUP([@oras],tbl_Localitati[oras_oficial],tbl_Localitati[judet],"?")&lt;&gt;[@judet],"JUDET NECORESPUNZATOR",""))</f>
        <v/>
      </c>
      <c r="R910">
        <f>IF(XLOOKUP([@categorie],tbl_RegulriTVA[categorie],tbl_RegulriTVA[cota_legala],-1)&lt;&gt;[@cota_tva],"TVA GRESIT","")</f>
        <v/>
      </c>
      <c r="S910">
        <f>IF([@data_scadentei]&lt;[@data_factura],"SCADENTA INAINTEA FACTURII","")</f>
        <v/>
      </c>
      <c r="T910">
        <f>IF(NETWORKDAYS.INTL([@data_factura],[@data_factura],1,tbl_SarbatoriLegale[data])=0,"ZI NELUCRATOARE","")</f>
        <v/>
      </c>
      <c r="U910">
        <f>IF([@motiv_anomalie]="","OK","DE INVESTIGAT")</f>
        <v/>
      </c>
      <c r="V910">
        <f>TEXTJOIN("; ",TRUE,[@flag_oras],[@flag_tva],[@flag_scadenta],[@flag_zi])</f>
        <v/>
      </c>
    </row>
    <row r="911">
      <c r="A911" t="inlineStr">
        <is>
          <t>F-2025-00910</t>
        </is>
      </c>
      <c r="B911" s="12" t="n">
        <v>46302</v>
      </c>
      <c r="C911" t="inlineStr">
        <is>
          <t>SC SOLARIS ENERGY SRL</t>
        </is>
      </c>
      <c r="D911" t="inlineStr">
        <is>
          <t>Prahova</t>
        </is>
      </c>
      <c r="E911" t="inlineStr">
        <is>
          <t>PRD-002</t>
        </is>
      </c>
      <c r="F911" t="inlineStr">
        <is>
          <t>Videoproiector sala</t>
        </is>
      </c>
      <c r="G911" t="inlineStr">
        <is>
          <t>Echipamente birou</t>
        </is>
      </c>
      <c r="H911" t="n">
        <v>2</v>
      </c>
      <c r="I911" t="n">
        <v>1120.9</v>
      </c>
      <c r="J911" t="n">
        <v>2241.8</v>
      </c>
      <c r="K911" s="13" t="n">
        <v>0.19</v>
      </c>
      <c r="L911" t="n">
        <v>425.94</v>
      </c>
      <c r="M911" t="n">
        <v>2667.74</v>
      </c>
      <c r="N911" t="inlineStr">
        <is>
          <t>RON</t>
        </is>
      </c>
      <c r="O911" t="inlineStr">
        <is>
          <t>Câmpina</t>
        </is>
      </c>
      <c r="P911" s="12" t="n">
        <v>46332</v>
      </c>
      <c r="Q911">
        <f>IF(COUNTIF(tbl_Localitati[oras_oficial],[@oras])=0,"ORAS NEALINIAT",IF(XLOOKUP([@oras],tbl_Localitati[oras_oficial],tbl_Localitati[judet],"?")&lt;&gt;[@judet],"JUDET NECORESPUNZATOR",""))</f>
        <v/>
      </c>
      <c r="R911">
        <f>IF(XLOOKUP([@categorie],tbl_RegulriTVA[categorie],tbl_RegulriTVA[cota_legala],-1)&lt;&gt;[@cota_tva],"TVA GRESIT","")</f>
        <v/>
      </c>
      <c r="S911">
        <f>IF([@data_scadentei]&lt;[@data_factura],"SCADENTA INAINTEA FACTURII","")</f>
        <v/>
      </c>
      <c r="T911">
        <f>IF(NETWORKDAYS.INTL([@data_factura],[@data_factura],1,tbl_SarbatoriLegale[data])=0,"ZI NELUCRATOARE","")</f>
        <v/>
      </c>
      <c r="U911">
        <f>IF([@motiv_anomalie]="","OK","DE INVESTIGAT")</f>
        <v/>
      </c>
      <c r="V911">
        <f>TEXTJOIN("; ",TRUE,[@flag_oras],[@flag_tva],[@flag_scadenta],[@flag_zi])</f>
        <v/>
      </c>
    </row>
    <row r="912">
      <c r="A912" t="inlineStr">
        <is>
          <t>F-2025-00911</t>
        </is>
      </c>
      <c r="B912" s="12" t="n">
        <v>46378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Videoproiector sala</t>
        </is>
      </c>
      <c r="G912" t="inlineStr">
        <is>
          <t>Echipamente birou</t>
        </is>
      </c>
      <c r="H912" t="n">
        <v>5</v>
      </c>
      <c r="I912" t="n">
        <v>259.14</v>
      </c>
      <c r="J912" t="n">
        <v>1295.7</v>
      </c>
      <c r="K912" s="13" t="n">
        <v>0.19</v>
      </c>
      <c r="L912" t="n">
        <v>246.18</v>
      </c>
      <c r="M912" t="n">
        <v>1541.88</v>
      </c>
      <c r="N912" t="inlineStr">
        <is>
          <t>RON</t>
        </is>
      </c>
      <c r="O912" t="inlineStr">
        <is>
          <t>Sibiu</t>
        </is>
      </c>
      <c r="P912" s="12" t="n">
        <v>46408</v>
      </c>
      <c r="Q912">
        <f>IF(COUNTIF(tbl_Localitati[oras_oficial],[@oras])=0,"ORAS NEALINIAT",IF(XLOOKUP([@oras],tbl_Localitati[oras_oficial],tbl_Localitati[judet],"?")&lt;&gt;[@judet],"JUDET NECORESPUNZATOR",""))</f>
        <v/>
      </c>
      <c r="R912">
        <f>IF(XLOOKUP([@categorie],tbl_RegulriTVA[categorie],tbl_RegulriTVA[cota_legala],-1)&lt;&gt;[@cota_tva],"TVA GRESIT","")</f>
        <v/>
      </c>
      <c r="S912">
        <f>IF([@data_scadentei]&lt;[@data_factura],"SCADENTA INAINTEA FACTURII","")</f>
        <v/>
      </c>
      <c r="T912">
        <f>IF(NETWORKDAYS.INTL([@data_factura],[@data_factura],1,tbl_SarbatoriLegale[data])=0,"ZI NELUCRATOARE","")</f>
        <v/>
      </c>
      <c r="U912">
        <f>IF([@motiv_anomalie]="","OK","DE INVESTIGAT")</f>
        <v/>
      </c>
      <c r="V912">
        <f>TEXTJOIN("; ",TRUE,[@flag_oras],[@flag_tva],[@flag_scadenta],[@flag_zi])</f>
        <v/>
      </c>
    </row>
    <row r="913">
      <c r="A913" t="inlineStr">
        <is>
          <t>F-2025-00912</t>
        </is>
      </c>
      <c r="B913" s="12" t="n">
        <v>46027</v>
      </c>
      <c r="C913" t="inlineStr">
        <is>
          <t>SC OMEGA SOFT SRL</t>
        </is>
      </c>
      <c r="D913" t="inlineStr">
        <is>
          <t>Dolj</t>
        </is>
      </c>
      <c r="E913" t="inlineStr">
        <is>
          <t>PRD-001</t>
        </is>
      </c>
      <c r="F913" t="inlineStr">
        <is>
          <t>Consultanta implementare IT</t>
        </is>
      </c>
      <c r="G913" t="inlineStr">
        <is>
          <t>Servicii consultanță</t>
        </is>
      </c>
      <c r="H913" t="n">
        <v>1</v>
      </c>
      <c r="I913" t="n">
        <v>2395.98</v>
      </c>
      <c r="J913" t="n">
        <v>2395.98</v>
      </c>
      <c r="K913" s="13" t="n">
        <v>0.19</v>
      </c>
      <c r="L913" t="n">
        <v>455.24</v>
      </c>
      <c r="M913" t="n">
        <v>2851.22</v>
      </c>
      <c r="N913" t="inlineStr">
        <is>
          <t>RON</t>
        </is>
      </c>
      <c r="O913" t="inlineStr">
        <is>
          <t>Craiova</t>
        </is>
      </c>
      <c r="P913" s="12" t="n">
        <v>46087</v>
      </c>
      <c r="Q913">
        <f>IF(COUNTIF(tbl_Localitati[oras_oficial],[@oras])=0,"ORAS NEALINIAT",IF(XLOOKUP([@oras],tbl_Localitati[oras_oficial],tbl_Localitati[judet],"?")&lt;&gt;[@judet],"JUDET NECORESPUNZATOR",""))</f>
        <v/>
      </c>
      <c r="R913">
        <f>IF(XLOOKUP([@categorie],tbl_RegulriTVA[categorie],tbl_RegulriTVA[cota_legala],-1)&lt;&gt;[@cota_tva],"TVA GRESIT","")</f>
        <v/>
      </c>
      <c r="S913">
        <f>IF([@data_scadentei]&lt;[@data_factura],"SCADENTA INAINTEA FACTURII","")</f>
        <v/>
      </c>
      <c r="T913">
        <f>IF(NETWORKDAYS.INTL([@data_factura],[@data_factura],1,tbl_SarbatoriLegale[data])=0,"ZI NELUCRATOARE","")</f>
        <v/>
      </c>
      <c r="U913">
        <f>IF([@motiv_anomalie]="","OK","DE INVESTIGAT")</f>
        <v/>
      </c>
      <c r="V913">
        <f>TEXTJOIN("; ",TRUE,[@flag_oras],[@flag_tva],[@flag_scadenta],[@flag_zi])</f>
        <v/>
      </c>
    </row>
    <row r="914">
      <c r="A914" t="inlineStr">
        <is>
          <t>F-2025-00913</t>
        </is>
      </c>
      <c r="B914" s="12" t="n">
        <v>46386</v>
      </c>
      <c r="C914" t="inlineStr">
        <is>
          <t>SC OMEGA SOFT SRL</t>
        </is>
      </c>
      <c r="D914" t="inlineStr">
        <is>
          <t>Dolj</t>
        </is>
      </c>
      <c r="E914" t="inlineStr">
        <is>
          <t>PRD-002</t>
        </is>
      </c>
      <c r="F914" t="inlineStr">
        <is>
          <t>Masti protectie cutie</t>
        </is>
      </c>
      <c r="G914" t="inlineStr">
        <is>
          <t>Produse farmaceutice</t>
        </is>
      </c>
      <c r="H914" t="n">
        <v>3</v>
      </c>
      <c r="I914" t="n">
        <v>1113.25</v>
      </c>
      <c r="J914" t="n">
        <v>3339.75</v>
      </c>
      <c r="K914" s="13" t="n">
        <v>0.09</v>
      </c>
      <c r="L914" t="n">
        <v>300.58</v>
      </c>
      <c r="M914" t="n">
        <v>3640.33</v>
      </c>
      <c r="N914" t="inlineStr">
        <is>
          <t>RON</t>
        </is>
      </c>
      <c r="O914" t="inlineStr">
        <is>
          <t>Craiova</t>
        </is>
      </c>
      <c r="P914" s="12" t="n">
        <v>46416</v>
      </c>
      <c r="Q914">
        <f>IF(COUNTIF(tbl_Localitati[oras_oficial],[@oras])=0,"ORAS NEALINIAT",IF(XLOOKUP([@oras],tbl_Localitati[oras_oficial],tbl_Localitati[judet],"?")&lt;&gt;[@judet],"JUDET NECORESPUNZATOR",""))</f>
        <v/>
      </c>
      <c r="R914">
        <f>IF(XLOOKUP([@categorie],tbl_RegulriTVA[categorie],tbl_RegulriTVA[cota_legala],-1)&lt;&gt;[@cota_tva],"TVA GRESIT","")</f>
        <v/>
      </c>
      <c r="S914">
        <f>IF([@data_scadentei]&lt;[@data_factura],"SCADENTA INAINTEA FACTURII","")</f>
        <v/>
      </c>
      <c r="T914">
        <f>IF(NETWORKDAYS.INTL([@data_factura],[@data_factura],1,tbl_SarbatoriLegale[data])=0,"ZI NELUCRATOARE","")</f>
        <v/>
      </c>
      <c r="U914">
        <f>IF([@motiv_anomalie]="","OK","DE INVESTIGAT")</f>
        <v/>
      </c>
      <c r="V914">
        <f>TEXTJOIN("; ",TRUE,[@flag_oras],[@flag_tva],[@flag_scadenta],[@flag_zi])</f>
        <v/>
      </c>
    </row>
    <row r="915">
      <c r="A915" t="inlineStr">
        <is>
          <t>F-2025-00914</t>
        </is>
      </c>
      <c r="B915" s="12" t="n">
        <v>46318</v>
      </c>
      <c r="C915" t="inlineStr">
        <is>
          <t>SC AROMET TRADING SRL</t>
        </is>
      </c>
      <c r="D915" t="inlineStr">
        <is>
          <t>Alba</t>
        </is>
      </c>
      <c r="E915" t="inlineStr">
        <is>
          <t>PRD-009</t>
        </is>
      </c>
      <c r="F915" t="inlineStr">
        <is>
          <t>Server rack 1U</t>
        </is>
      </c>
      <c r="G915" t="inlineStr">
        <is>
          <t>Hardware IT</t>
        </is>
      </c>
      <c r="H915" t="n">
        <v>50</v>
      </c>
      <c r="I915" t="n">
        <v>29.18</v>
      </c>
      <c r="J915" t="n">
        <v>1459</v>
      </c>
      <c r="K915" s="13" t="n">
        <v>0.19</v>
      </c>
      <c r="L915" t="n">
        <v>277.21</v>
      </c>
      <c r="M915" t="n">
        <v>1736.21</v>
      </c>
      <c r="N915" t="inlineStr">
        <is>
          <t>RON</t>
        </is>
      </c>
      <c r="O915" t="inlineStr">
        <is>
          <t>Alba Iulia</t>
        </is>
      </c>
      <c r="P915" s="12" t="n">
        <v>46363</v>
      </c>
      <c r="Q915">
        <f>IF(COUNTIF(tbl_Localitati[oras_oficial],[@oras])=0,"ORAS NEALINIAT",IF(XLOOKUP([@oras],tbl_Localitati[oras_oficial],tbl_Localitati[judet],"?")&lt;&gt;[@judet],"JUDET NECORESPUNZATOR",""))</f>
        <v/>
      </c>
      <c r="R915">
        <f>IF(XLOOKUP([@categorie],tbl_RegulriTVA[categorie],tbl_RegulriTVA[cota_legala],-1)&lt;&gt;[@cota_tva],"TVA GRESIT","")</f>
        <v/>
      </c>
      <c r="S915">
        <f>IF([@data_scadentei]&lt;[@data_factura],"SCADENTA INAINTEA FACTURII","")</f>
        <v/>
      </c>
      <c r="T915">
        <f>IF(NETWORKDAYS.INTL([@data_factura],[@data_factura],1,tbl_SarbatoriLegale[data])=0,"ZI NELUCRATOARE","")</f>
        <v/>
      </c>
      <c r="U915">
        <f>IF([@motiv_anomalie]="","OK","DE INVESTIGAT")</f>
        <v/>
      </c>
      <c r="V915">
        <f>TEXTJOIN("; ",TRUE,[@flag_oras],[@flag_tva],[@flag_scadenta],[@flag_zi])</f>
        <v/>
      </c>
    </row>
    <row r="916">
      <c r="A916" t="inlineStr">
        <is>
          <t>F-2025-00915</t>
        </is>
      </c>
      <c r="B916" s="12" t="n">
        <v>46385</v>
      </c>
      <c r="C916" t="inlineStr">
        <is>
          <t>SC INTEGROMED SA</t>
        </is>
      </c>
      <c r="D916" t="inlineStr">
        <is>
          <t>Cluj</t>
        </is>
      </c>
      <c r="E916" t="inlineStr">
        <is>
          <t>PRD-005</t>
        </is>
      </c>
      <c r="F916" t="inlineStr">
        <is>
          <t>Statie de lucru desktop</t>
        </is>
      </c>
      <c r="G916" t="inlineStr">
        <is>
          <t>Hardware IT</t>
        </is>
      </c>
      <c r="H916" t="n">
        <v>5</v>
      </c>
      <c r="I916" t="n">
        <v>251.7</v>
      </c>
      <c r="J916" t="n">
        <v>1258.5</v>
      </c>
      <c r="K916" s="13" t="n">
        <v>0.19</v>
      </c>
      <c r="L916" t="n">
        <v>239.12</v>
      </c>
      <c r="M916" t="n">
        <v>1497.62</v>
      </c>
      <c r="N916" t="inlineStr">
        <is>
          <t>RON</t>
        </is>
      </c>
      <c r="O916" t="inlineStr">
        <is>
          <t>Cluj-Napoca</t>
        </is>
      </c>
      <c r="P916" s="12" t="n">
        <v>46415</v>
      </c>
      <c r="Q916">
        <f>IF(COUNTIF(tbl_Localitati[oras_oficial],[@oras])=0,"ORAS NEALINIAT",IF(XLOOKUP([@oras],tbl_Localitati[oras_oficial],tbl_Localitati[judet],"?")&lt;&gt;[@judet],"JUDET NECORESPUNZATOR",""))</f>
        <v/>
      </c>
      <c r="R916">
        <f>IF(XLOOKUP([@categorie],tbl_RegulriTVA[categorie],tbl_RegulriTVA[cota_legala],-1)&lt;&gt;[@cota_tva],"TVA GRESIT","")</f>
        <v/>
      </c>
      <c r="S916">
        <f>IF([@data_scadentei]&lt;[@data_factura],"SCADENTA INAINTEA FACTURII","")</f>
        <v/>
      </c>
      <c r="T916">
        <f>IF(NETWORKDAYS.INTL([@data_factura],[@data_factura],1,tbl_SarbatoriLegale[data])=0,"ZI NELUCRATOARE","")</f>
        <v/>
      </c>
      <c r="U916">
        <f>IF([@motiv_anomalie]="","OK","DE INVESTIGAT")</f>
        <v/>
      </c>
      <c r="V916">
        <f>TEXTJOIN("; ",TRUE,[@flag_oras],[@flag_tva],[@flag_scadenta],[@flag_zi])</f>
        <v/>
      </c>
    </row>
    <row r="917">
      <c r="A917" t="inlineStr">
        <is>
          <t>F-2025-00916</t>
        </is>
      </c>
      <c r="B917" s="12" t="n">
        <v>46127</v>
      </c>
      <c r="C917" t="inlineStr">
        <is>
          <t>SC DACTECH SOLUTIONS SRL</t>
        </is>
      </c>
      <c r="D917" t="inlineStr">
        <is>
          <t>Argeș</t>
        </is>
      </c>
      <c r="E917" t="inlineStr">
        <is>
          <t>PRD-001</t>
        </is>
      </c>
      <c r="F917" t="inlineStr">
        <is>
          <t>Videoproiector sala</t>
        </is>
      </c>
      <c r="G917" t="inlineStr">
        <is>
          <t>Echipamente birou</t>
        </is>
      </c>
      <c r="H917" t="n">
        <v>3</v>
      </c>
      <c r="I917" t="n">
        <v>2487.05</v>
      </c>
      <c r="J917" t="n">
        <v>7461.15</v>
      </c>
      <c r="K917" s="13" t="n">
        <v>0.19</v>
      </c>
      <c r="L917" t="n">
        <v>1417.62</v>
      </c>
      <c r="M917" t="n">
        <v>8878.77</v>
      </c>
      <c r="N917" t="inlineStr">
        <is>
          <t>RON</t>
        </is>
      </c>
      <c r="O917" t="inlineStr">
        <is>
          <t>Pitești</t>
        </is>
      </c>
      <c r="P917" s="12" t="n">
        <v>46157</v>
      </c>
      <c r="Q917">
        <f>IF(COUNTIF(tbl_Localitati[oras_oficial],[@oras])=0,"ORAS NEALINIAT",IF(XLOOKUP([@oras],tbl_Localitati[oras_oficial],tbl_Localitati[judet],"?")&lt;&gt;[@judet],"JUDET NECORESPUNZATOR",""))</f>
        <v/>
      </c>
      <c r="R917">
        <f>IF(XLOOKUP([@categorie],tbl_RegulriTVA[categorie],tbl_RegulriTVA[cota_legala],-1)&lt;&gt;[@cota_tva],"TVA GRESIT","")</f>
        <v/>
      </c>
      <c r="S917">
        <f>IF([@data_scadentei]&lt;[@data_factura],"SCADENTA INAINTEA FACTURII","")</f>
        <v/>
      </c>
      <c r="T917">
        <f>IF(NETWORKDAYS.INTL([@data_factura],[@data_factura],1,tbl_SarbatoriLegale[data])=0,"ZI NELUCRATOARE","")</f>
        <v/>
      </c>
      <c r="U917">
        <f>IF([@motiv_anomalie]="","OK","DE INVESTIGAT")</f>
        <v/>
      </c>
      <c r="V917">
        <f>TEXTJOIN("; ",TRUE,[@flag_oras],[@flag_tva],[@flag_scadenta],[@flag_zi])</f>
        <v/>
      </c>
    </row>
    <row r="918">
      <c r="A918" t="inlineStr">
        <is>
          <t>F-2025-00917</t>
        </is>
      </c>
      <c r="B918" s="12" t="n">
        <v>46231</v>
      </c>
      <c r="C918" t="inlineStr">
        <is>
          <t>SC PROVITA MEDICAL SRL</t>
        </is>
      </c>
      <c r="D918" t="inlineStr">
        <is>
          <t>Mureș</t>
        </is>
      </c>
      <c r="E918" t="inlineStr">
        <is>
          <t>PRD-005</t>
        </is>
      </c>
      <c r="F918" t="inlineStr">
        <is>
          <t>Licenta antivirus enterprise</t>
        </is>
      </c>
      <c r="G918" t="inlineStr">
        <is>
          <t>Licențe software</t>
        </is>
      </c>
      <c r="H918" t="n">
        <v>2</v>
      </c>
      <c r="I918" t="n">
        <v>252.53</v>
      </c>
      <c r="J918" t="n">
        <v>505.06</v>
      </c>
      <c r="K918" s="13" t="n">
        <v>0.19</v>
      </c>
      <c r="L918" t="n">
        <v>95.95999999999999</v>
      </c>
      <c r="M918" t="n">
        <v>601.02</v>
      </c>
      <c r="N918" t="inlineStr">
        <is>
          <t>RON</t>
        </is>
      </c>
      <c r="O918" t="inlineStr">
        <is>
          <t>Bv</t>
        </is>
      </c>
      <c r="P918" s="12" t="n">
        <v>46276</v>
      </c>
      <c r="Q918">
        <f>IF(COUNTIF(tbl_Localitati[oras_oficial],[@oras])=0,"ORAS NEALINIAT",IF(XLOOKUP([@oras],tbl_Localitati[oras_oficial],tbl_Localitati[judet],"?")&lt;&gt;[@judet],"JUDET NECORESPUNZATOR",""))</f>
        <v/>
      </c>
      <c r="R918">
        <f>IF(XLOOKUP([@categorie],tbl_RegulriTVA[categorie],tbl_RegulriTVA[cota_legala],-1)&lt;&gt;[@cota_tva],"TVA GRESIT","")</f>
        <v/>
      </c>
      <c r="S918">
        <f>IF([@data_scadentei]&lt;[@data_factura],"SCADENTA INAINTEA FACTURII","")</f>
        <v/>
      </c>
      <c r="T918">
        <f>IF(NETWORKDAYS.INTL([@data_factura],[@data_factura],1,tbl_SarbatoriLegale[data])=0,"ZI NELUCRATOARE","")</f>
        <v/>
      </c>
      <c r="U918">
        <f>IF([@motiv_anomalie]="","OK","DE INVESTIGAT")</f>
        <v/>
      </c>
      <c r="V918">
        <f>TEXTJOIN("; ",TRUE,[@flag_oras],[@flag_tva],[@flag_scadenta],[@flag_zi])</f>
        <v/>
      </c>
    </row>
    <row r="919">
      <c r="A919" t="inlineStr">
        <is>
          <t>F-2025-00918</t>
        </is>
      </c>
      <c r="B919" s="12" t="n">
        <v>46339</v>
      </c>
      <c r="C919" t="inlineStr">
        <is>
          <t>SC RAPID LOGISTIC SA</t>
        </is>
      </c>
      <c r="D919" t="inlineStr">
        <is>
          <t>Prahova</t>
        </is>
      </c>
      <c r="E919" t="inlineStr">
        <is>
          <t>PRD-004</t>
        </is>
      </c>
      <c r="F919" t="inlineStr">
        <is>
          <t>Suport tehnic anual</t>
        </is>
      </c>
      <c r="G919" t="inlineStr">
        <is>
          <t>Servicii consultanță</t>
        </is>
      </c>
      <c r="H919" t="n">
        <v>2</v>
      </c>
      <c r="I919" t="n">
        <v>922.99</v>
      </c>
      <c r="J919" t="n">
        <v>1845.98</v>
      </c>
      <c r="K919" s="13" t="n">
        <v>0.19</v>
      </c>
      <c r="L919" t="n">
        <v>350.74</v>
      </c>
      <c r="M919" t="n">
        <v>2196.72</v>
      </c>
      <c r="N919" t="inlineStr">
        <is>
          <t>RON</t>
        </is>
      </c>
      <c r="O919" t="inlineStr">
        <is>
          <t>Ploiești</t>
        </is>
      </c>
      <c r="P919" s="12" t="n">
        <v>46369</v>
      </c>
      <c r="Q919">
        <f>IF(COUNTIF(tbl_Localitati[oras_oficial],[@oras])=0,"ORAS NEALINIAT",IF(XLOOKUP([@oras],tbl_Localitati[oras_oficial],tbl_Localitati[judet],"?")&lt;&gt;[@judet],"JUDET NECORESPUNZATOR",""))</f>
        <v/>
      </c>
      <c r="R919">
        <f>IF(XLOOKUP([@categorie],tbl_RegulriTVA[categorie],tbl_RegulriTVA[cota_legala],-1)&lt;&gt;[@cota_tva],"TVA GRESIT","")</f>
        <v/>
      </c>
      <c r="S919">
        <f>IF([@data_scadentei]&lt;[@data_factura],"SCADENTA INAINTEA FACTURII","")</f>
        <v/>
      </c>
      <c r="T919">
        <f>IF(NETWORKDAYS.INTL([@data_factura],[@data_factura],1,tbl_SarbatoriLegale[data])=0,"ZI NELUCRATOARE","")</f>
        <v/>
      </c>
      <c r="U919">
        <f>IF([@motiv_anomalie]="","OK","DE INVESTIGAT")</f>
        <v/>
      </c>
      <c r="V919">
        <f>TEXTJOIN("; ",TRUE,[@flag_oras],[@flag_tva],[@flag_scadenta],[@flag_zi])</f>
        <v/>
      </c>
    </row>
    <row r="920">
      <c r="A920" t="inlineStr">
        <is>
          <t>F-2025-00919</t>
        </is>
      </c>
      <c r="B920" s="12" t="n">
        <v>46308</v>
      </c>
      <c r="C920" t="inlineStr">
        <is>
          <t>SC INTEGROMED SA</t>
        </is>
      </c>
      <c r="D920" t="inlineStr">
        <is>
          <t>Cluj</t>
        </is>
      </c>
      <c r="E920" t="inlineStr">
        <is>
          <t>PRD-002</t>
        </is>
      </c>
      <c r="F920" t="inlineStr">
        <is>
          <t>Trusa prim ajutor</t>
        </is>
      </c>
      <c r="G920" t="inlineStr">
        <is>
          <t>Produse farmaceutice</t>
        </is>
      </c>
      <c r="H920" t="n">
        <v>3</v>
      </c>
      <c r="I920" t="n">
        <v>1080.83</v>
      </c>
      <c r="J920" t="n">
        <v>3242.49</v>
      </c>
      <c r="K920" s="13" t="n">
        <v>0.09</v>
      </c>
      <c r="L920" t="n">
        <v>291.82</v>
      </c>
      <c r="M920" t="n">
        <v>3534.31</v>
      </c>
      <c r="N920" t="inlineStr">
        <is>
          <t>RON</t>
        </is>
      </c>
      <c r="O920" t="inlineStr">
        <is>
          <t>Cluj-Napoca</t>
        </is>
      </c>
      <c r="P920" s="12" t="n">
        <v>46323</v>
      </c>
      <c r="Q920">
        <f>IF(COUNTIF(tbl_Localitati[oras_oficial],[@oras])=0,"ORAS NEALINIAT",IF(XLOOKUP([@oras],tbl_Localitati[oras_oficial],tbl_Localitati[judet],"?")&lt;&gt;[@judet],"JUDET NECORESPUNZATOR",""))</f>
        <v/>
      </c>
      <c r="R920">
        <f>IF(XLOOKUP([@categorie],tbl_RegulriTVA[categorie],tbl_RegulriTVA[cota_legala],-1)&lt;&gt;[@cota_tva],"TVA GRESIT","")</f>
        <v/>
      </c>
      <c r="S920">
        <f>IF([@data_scadentei]&lt;[@data_factura],"SCADENTA INAINTEA FACTURII","")</f>
        <v/>
      </c>
      <c r="T920">
        <f>IF(NETWORKDAYS.INTL([@data_factura],[@data_factura],1,tbl_SarbatoriLegale[data])=0,"ZI NELUCRATOARE","")</f>
        <v/>
      </c>
      <c r="U920">
        <f>IF([@motiv_anomalie]="","OK","DE INVESTIGAT")</f>
        <v/>
      </c>
      <c r="V920">
        <f>TEXTJOIN("; ",TRUE,[@flag_oras],[@flag_tva],[@flag_scadenta],[@flag_zi])</f>
        <v/>
      </c>
    </row>
    <row r="921">
      <c r="A921" t="inlineStr">
        <is>
          <t>F-2025-00920</t>
        </is>
      </c>
      <c r="B921" s="12" t="n">
        <v>46259</v>
      </c>
      <c r="C921" t="inlineStr">
        <is>
          <t>SC RAPID LOGISTIC SA</t>
        </is>
      </c>
      <c r="D921" t="inlineStr">
        <is>
          <t>Prahova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 IT</t>
        </is>
      </c>
      <c r="H921" t="n">
        <v>2</v>
      </c>
      <c r="I921" t="n">
        <v>2499.46</v>
      </c>
      <c r="J921" t="n">
        <v>4998.92</v>
      </c>
      <c r="K921" s="13" t="n">
        <v>0.19</v>
      </c>
      <c r="L921" t="n">
        <v>949.79</v>
      </c>
      <c r="M921" t="n">
        <v>5948.71</v>
      </c>
      <c r="N921" t="inlineStr">
        <is>
          <t>RON</t>
        </is>
      </c>
      <c r="O921" t="inlineStr">
        <is>
          <t>Ploiești</t>
        </is>
      </c>
      <c r="P921" s="12" t="n">
        <v>46289</v>
      </c>
      <c r="Q921">
        <f>IF(COUNTIF(tbl_Localitati[oras_oficial],[@oras])=0,"ORAS NEALINIAT",IF(XLOOKUP([@oras],tbl_Localitati[oras_oficial],tbl_Localitati[judet],"?")&lt;&gt;[@judet],"JUDET NECORESPUNZATOR",""))</f>
        <v/>
      </c>
      <c r="R921">
        <f>IF(XLOOKUP([@categorie],tbl_RegulriTVA[categorie],tbl_RegulriTVA[cota_legala],-1)&lt;&gt;[@cota_tva],"TVA GRESIT","")</f>
        <v/>
      </c>
      <c r="S921">
        <f>IF([@data_scadentei]&lt;[@data_factura],"SCADENTA INAINTEA FACTURII","")</f>
        <v/>
      </c>
      <c r="T921">
        <f>IF(NETWORKDAYS.INTL([@data_factura],[@data_factura],1,tbl_SarbatoriLegale[data])=0,"ZI NELUCRATOARE","")</f>
        <v/>
      </c>
      <c r="U921">
        <f>IF([@motiv_anomalie]="","OK","DE INVESTIGAT")</f>
        <v/>
      </c>
      <c r="V921">
        <f>TEXTJOIN("; ",TRUE,[@flag_oras],[@flag_tva],[@flag_scadenta],[@flag_zi])</f>
        <v/>
      </c>
    </row>
    <row r="922">
      <c r="A922" t="inlineStr">
        <is>
          <t>F-2025-00921</t>
        </is>
      </c>
      <c r="B922" s="12" t="n">
        <v>46370</v>
      </c>
      <c r="C922" t="inlineStr">
        <is>
          <t>SC INTEGROMED SA</t>
        </is>
      </c>
      <c r="D922" t="inlineStr">
        <is>
          <t>Cluj</t>
        </is>
      </c>
      <c r="E922" t="inlineStr">
        <is>
          <t>PRD-002</t>
        </is>
      </c>
      <c r="F922" t="inlineStr">
        <is>
          <t>Server rack 1U</t>
        </is>
      </c>
      <c r="G922" t="inlineStr">
        <is>
          <t>Hardware IT</t>
        </is>
      </c>
      <c r="H922" t="n">
        <v>2</v>
      </c>
      <c r="I922" t="n">
        <v>1102.17</v>
      </c>
      <c r="J922" t="n">
        <v>2204.34</v>
      </c>
      <c r="K922" s="13" t="n">
        <v>0.19</v>
      </c>
      <c r="L922" t="n">
        <v>418.82</v>
      </c>
      <c r="M922" t="n">
        <v>2623.16</v>
      </c>
      <c r="N922" t="inlineStr">
        <is>
          <t>RON</t>
        </is>
      </c>
      <c r="O922" t="inlineStr">
        <is>
          <t>Cluj-Napoca</t>
        </is>
      </c>
      <c r="P922" s="12" t="n">
        <v>46400</v>
      </c>
      <c r="Q922">
        <f>IF(COUNTIF(tbl_Localitati[oras_oficial],[@oras])=0,"ORAS NEALINIAT",IF(XLOOKUP([@oras],tbl_Localitati[oras_oficial],tbl_Localitati[judet],"?")&lt;&gt;[@judet],"JUDET NECORESPUNZATOR",""))</f>
        <v/>
      </c>
      <c r="R922">
        <f>IF(XLOOKUP([@categorie],tbl_RegulriTVA[categorie],tbl_RegulriTVA[cota_legala],-1)&lt;&gt;[@cota_tva],"TVA GRESIT","")</f>
        <v/>
      </c>
      <c r="S922">
        <f>IF([@data_scadentei]&lt;[@data_factura],"SCADENTA INAINTEA FACTURII","")</f>
        <v/>
      </c>
      <c r="T922">
        <f>IF(NETWORKDAYS.INTL([@data_factura],[@data_factura],1,tbl_SarbatoriLegale[data])=0,"ZI NELUCRATOARE","")</f>
        <v/>
      </c>
      <c r="U922">
        <f>IF([@motiv_anomalie]="","OK","DE INVESTIGAT")</f>
        <v/>
      </c>
      <c r="V922">
        <f>TEXTJOIN("; ",TRUE,[@flag_oras],[@flag_tva],[@flag_scadenta],[@flag_zi])</f>
        <v/>
      </c>
    </row>
    <row r="923">
      <c r="A923" t="inlineStr">
        <is>
          <t>F-2025-00922</t>
        </is>
      </c>
      <c r="B923" s="12" t="n">
        <v>46027</v>
      </c>
      <c r="C923" t="inlineStr">
        <is>
          <t>SC ELECTROBUILD SRL</t>
        </is>
      </c>
      <c r="D923" t="inlineStr">
        <is>
          <t>Bacău</t>
        </is>
      </c>
      <c r="E923" t="inlineStr">
        <is>
          <t>PRD-010</t>
        </is>
      </c>
      <c r="F923" t="inlineStr">
        <is>
          <t>Tocator documente</t>
        </is>
      </c>
      <c r="G923" t="inlineStr">
        <is>
          <t>Echipamente birou</t>
        </is>
      </c>
      <c r="H923" t="n">
        <v>5</v>
      </c>
      <c r="I923" t="n">
        <v>361.68</v>
      </c>
      <c r="J923" t="n">
        <v>1808.4</v>
      </c>
      <c r="K923" s="13" t="n">
        <v>0.19</v>
      </c>
      <c r="L923" t="n">
        <v>343.6</v>
      </c>
      <c r="M923" t="n">
        <v>2152</v>
      </c>
      <c r="N923" t="inlineStr">
        <is>
          <t>RON</t>
        </is>
      </c>
      <c r="O923" t="inlineStr">
        <is>
          <t>Bacău</t>
        </is>
      </c>
      <c r="P923" s="12" t="n">
        <v>46057</v>
      </c>
      <c r="Q923">
        <f>IF(COUNTIF(tbl_Localitati[oras_oficial],[@oras])=0,"ORAS NEALINIAT",IF(XLOOKUP([@oras],tbl_Localitati[oras_oficial],tbl_Localitati[judet],"?")&lt;&gt;[@judet],"JUDET NECORESPUNZATOR",""))</f>
        <v/>
      </c>
      <c r="R923">
        <f>IF(XLOOKUP([@categorie],tbl_RegulriTVA[categorie],tbl_RegulriTVA[cota_legala],-1)&lt;&gt;[@cota_tva],"TVA GRESIT","")</f>
        <v/>
      </c>
      <c r="S923">
        <f>IF([@data_scadentei]&lt;[@data_factura],"SCADENTA INAINTEA FACTURII","")</f>
        <v/>
      </c>
      <c r="T923">
        <f>IF(NETWORKDAYS.INTL([@data_factura],[@data_factura],1,tbl_SarbatoriLegale[data])=0,"ZI NELUCRATOARE","")</f>
        <v/>
      </c>
      <c r="U923">
        <f>IF([@motiv_anomalie]="","OK","DE INVESTIGAT")</f>
        <v/>
      </c>
      <c r="V923">
        <f>TEXTJOIN("; ",TRUE,[@flag_oras],[@flag_tva],[@flag_scadenta],[@flag_zi])</f>
        <v/>
      </c>
    </row>
    <row r="924">
      <c r="A924" t="inlineStr">
        <is>
          <t>F-2025-00923</t>
        </is>
      </c>
      <c r="B924" s="12" t="n">
        <v>46363</v>
      </c>
      <c r="C924" t="inlineStr">
        <is>
          <t>SC INTEGROMED SA</t>
        </is>
      </c>
      <c r="D924" t="inlineStr">
        <is>
          <t>Cluj</t>
        </is>
      </c>
      <c r="E924" t="inlineStr">
        <is>
          <t>PRD-004</t>
        </is>
      </c>
      <c r="F924" t="inlineStr">
        <is>
          <t>Masti protectie cutie</t>
        </is>
      </c>
      <c r="G924" t="inlineStr">
        <is>
          <t>Produse farmaceutice</t>
        </is>
      </c>
      <c r="H924" t="n">
        <v>1</v>
      </c>
      <c r="I924" t="n">
        <v>923.26</v>
      </c>
      <c r="J924" t="n">
        <v>923.26</v>
      </c>
      <c r="K924" s="13" t="n">
        <v>0.09</v>
      </c>
      <c r="L924" t="n">
        <v>83.09</v>
      </c>
      <c r="M924" t="n">
        <v>1006.35</v>
      </c>
      <c r="N924" t="inlineStr">
        <is>
          <t>RON</t>
        </is>
      </c>
      <c r="O924" t="inlineStr">
        <is>
          <t>Cluj-Napoca</t>
        </is>
      </c>
      <c r="P924" s="12" t="n">
        <v>46393</v>
      </c>
      <c r="Q924">
        <f>IF(COUNTIF(tbl_Localitati[oras_oficial],[@oras])=0,"ORAS NEALINIAT",IF(XLOOKUP([@oras],tbl_Localitati[oras_oficial],tbl_Localitati[judet],"?")&lt;&gt;[@judet],"JUDET NECORESPUNZATOR",""))</f>
        <v/>
      </c>
      <c r="R924">
        <f>IF(XLOOKUP([@categorie],tbl_RegulriTVA[categorie],tbl_RegulriTVA[cota_legala],-1)&lt;&gt;[@cota_tva],"TVA GRESIT","")</f>
        <v/>
      </c>
      <c r="S924">
        <f>IF([@data_scadentei]&lt;[@data_factura],"SCADENTA INAINTEA FACTURII","")</f>
        <v/>
      </c>
      <c r="T924">
        <f>IF(NETWORKDAYS.INTL([@data_factura],[@data_factura],1,tbl_SarbatoriLegale[data])=0,"ZI NELUCRATOARE","")</f>
        <v/>
      </c>
      <c r="U924">
        <f>IF([@motiv_anomalie]="","OK","DE INVESTIGAT")</f>
        <v/>
      </c>
      <c r="V924">
        <f>TEXTJOIN("; ",TRUE,[@flag_oras],[@flag_tva],[@flag_scadenta],[@flag_zi])</f>
        <v/>
      </c>
    </row>
    <row r="925">
      <c r="A925" t="inlineStr">
        <is>
          <t>F-2025-00924</t>
        </is>
      </c>
      <c r="B925" s="12" t="n">
        <v>46346</v>
      </c>
      <c r="C925" t="inlineStr">
        <is>
          <t>SC AROMET TRADING SRL</t>
        </is>
      </c>
      <c r="D925" t="inlineStr">
        <is>
          <t>Alba</t>
        </is>
      </c>
      <c r="E925" t="inlineStr">
        <is>
          <t>PRD-006</t>
        </is>
      </c>
      <c r="F925" t="inlineStr">
        <is>
          <t>Laptop business 15"</t>
        </is>
      </c>
      <c r="G925" t="inlineStr">
        <is>
          <t>Hardware IT</t>
        </is>
      </c>
      <c r="H925" t="n">
        <v>1</v>
      </c>
      <c r="I925" t="n">
        <v>718.26</v>
      </c>
      <c r="J925" t="n">
        <v>718.26</v>
      </c>
      <c r="K925" s="13" t="n">
        <v>0.19</v>
      </c>
      <c r="L925" t="n">
        <v>136.47</v>
      </c>
      <c r="M925" t="n">
        <v>854.73</v>
      </c>
      <c r="N925" t="inlineStr">
        <is>
          <t>RON</t>
        </is>
      </c>
      <c r="O925" t="inlineStr">
        <is>
          <t>Alba Iulia</t>
        </is>
      </c>
      <c r="P925" s="12" t="n">
        <v>46376</v>
      </c>
      <c r="Q925">
        <f>IF(COUNTIF(tbl_Localitati[oras_oficial],[@oras])=0,"ORAS NEALINIAT",IF(XLOOKUP([@oras],tbl_Localitati[oras_oficial],tbl_Localitati[judet],"?")&lt;&gt;[@judet],"JUDET NECORESPUNZATOR",""))</f>
        <v/>
      </c>
      <c r="R925">
        <f>IF(XLOOKUP([@categorie],tbl_RegulriTVA[categorie],tbl_RegulriTVA[cota_legala],-1)&lt;&gt;[@cota_tva],"TVA GRESIT","")</f>
        <v/>
      </c>
      <c r="S925">
        <f>IF([@data_scadentei]&lt;[@data_factura],"SCADENTA INAINTEA FACTURII","")</f>
        <v/>
      </c>
      <c r="T925">
        <f>IF(NETWORKDAYS.INTL([@data_factura],[@data_factura],1,tbl_SarbatoriLegale[data])=0,"ZI NELUCRATOARE","")</f>
        <v/>
      </c>
      <c r="U925">
        <f>IF([@motiv_anomalie]="","OK","DE INVESTIGAT")</f>
        <v/>
      </c>
      <c r="V925">
        <f>TEXTJOIN("; ",TRUE,[@flag_oras],[@flag_tva],[@flag_scadenta],[@flag_zi])</f>
        <v/>
      </c>
    </row>
    <row r="926">
      <c r="A926" t="inlineStr">
        <is>
          <t>F-2025-00925</t>
        </is>
      </c>
      <c r="B926" s="12" t="n">
        <v>46162</v>
      </c>
      <c r="C926" t="inlineStr">
        <is>
          <t>SC DACTECH SOLUTIONS SRL</t>
        </is>
      </c>
      <c r="D926" t="inlineStr">
        <is>
          <t>Argeș</t>
        </is>
      </c>
      <c r="E926" t="inlineStr">
        <is>
          <t>PRD-010</t>
        </is>
      </c>
      <c r="F926" t="inlineStr">
        <is>
          <t>Cafea boabe 1kg</t>
        </is>
      </c>
      <c r="G926" t="inlineStr">
        <is>
          <t>Alimente</t>
        </is>
      </c>
      <c r="H926" t="n">
        <v>5</v>
      </c>
      <c r="I926" t="n">
        <v>336.4</v>
      </c>
      <c r="J926" t="n">
        <v>1682</v>
      </c>
      <c r="K926" s="13" t="n">
        <v>0.09</v>
      </c>
      <c r="L926" t="n">
        <v>151.38</v>
      </c>
      <c r="M926" t="n">
        <v>1833.38</v>
      </c>
      <c r="N926" t="inlineStr">
        <is>
          <t>RON</t>
        </is>
      </c>
      <c r="O926" t="inlineStr">
        <is>
          <t>Pitești</t>
        </is>
      </c>
      <c r="P926" s="12" t="n">
        <v>46192</v>
      </c>
      <c r="Q926">
        <f>IF(COUNTIF(tbl_Localitati[oras_oficial],[@oras])=0,"ORAS NEALINIAT",IF(XLOOKUP([@oras],tbl_Localitati[oras_oficial],tbl_Localitati[judet],"?")&lt;&gt;[@judet],"JUDET NECORESPUNZATOR",""))</f>
        <v/>
      </c>
      <c r="R926">
        <f>IF(XLOOKUP([@categorie],tbl_RegulriTVA[categorie],tbl_RegulriTVA[cota_legala],-1)&lt;&gt;[@cota_tva],"TVA GRESIT","")</f>
        <v/>
      </c>
      <c r="S926">
        <f>IF([@data_scadentei]&lt;[@data_factura],"SCADENTA INAINTEA FACTURII","")</f>
        <v/>
      </c>
      <c r="T926">
        <f>IF(NETWORKDAYS.INTL([@data_factura],[@data_factura],1,tbl_SarbatoriLegale[data])=0,"ZI NELUCRATOARE","")</f>
        <v/>
      </c>
      <c r="U926">
        <f>IF([@motiv_anomalie]="","OK","DE INVESTIGAT")</f>
        <v/>
      </c>
      <c r="V926">
        <f>TEXTJOIN("; ",TRUE,[@flag_oras],[@flag_tva],[@flag_scadenta],[@flag_zi])</f>
        <v/>
      </c>
    </row>
    <row r="927">
      <c r="A927" t="inlineStr">
        <is>
          <t>F-2025-00926</t>
        </is>
      </c>
      <c r="B927" s="12" t="n">
        <v>46273</v>
      </c>
      <c r="C927" t="inlineStr">
        <is>
          <t>SC ELECTROBUILD SRL</t>
        </is>
      </c>
      <c r="D927" t="inlineStr">
        <is>
          <t>Bacău</t>
        </is>
      </c>
      <c r="E927" t="inlineStr">
        <is>
          <t>PRD-007</t>
        </is>
      </c>
      <c r="F927" t="inlineStr">
        <is>
          <t>Licenta antivirus enterprise</t>
        </is>
      </c>
      <c r="G927" t="inlineStr">
        <is>
          <t>Licențe software</t>
        </is>
      </c>
      <c r="H927" t="n">
        <v>10</v>
      </c>
      <c r="I927" t="n">
        <v>177.26</v>
      </c>
      <c r="J927" t="n">
        <v>1772.6</v>
      </c>
      <c r="K927" s="13" t="n">
        <v>0.19</v>
      </c>
      <c r="L927" t="n">
        <v>336.79</v>
      </c>
      <c r="M927" t="n">
        <v>2109.39</v>
      </c>
      <c r="N927" t="inlineStr">
        <is>
          <t>RON</t>
        </is>
      </c>
      <c r="O927" t="inlineStr">
        <is>
          <t>Bacău</t>
        </is>
      </c>
      <c r="P927" s="12" t="n">
        <v>46333</v>
      </c>
      <c r="Q927">
        <f>IF(COUNTIF(tbl_Localitati[oras_oficial],[@oras])=0,"ORAS NEALINIAT",IF(XLOOKUP([@oras],tbl_Localitati[oras_oficial],tbl_Localitati[judet],"?")&lt;&gt;[@judet],"JUDET NECORESPUNZATOR",""))</f>
        <v/>
      </c>
      <c r="R927">
        <f>IF(XLOOKUP([@categorie],tbl_RegulriTVA[categorie],tbl_RegulriTVA[cota_legala],-1)&lt;&gt;[@cota_tva],"TVA GRESIT","")</f>
        <v/>
      </c>
      <c r="S927">
        <f>IF([@data_scadentei]&lt;[@data_factura],"SCADENTA INAINTEA FACTURII","")</f>
        <v/>
      </c>
      <c r="T927">
        <f>IF(NETWORKDAYS.INTL([@data_factura],[@data_factura],1,tbl_SarbatoriLegale[data])=0,"ZI NELUCRATOARE","")</f>
        <v/>
      </c>
      <c r="U927">
        <f>IF([@motiv_anomalie]="","OK","DE INVESTIGAT")</f>
        <v/>
      </c>
      <c r="V927">
        <f>TEXTJOIN("; ",TRUE,[@flag_oras],[@flag_tva],[@flag_scadenta],[@flag_zi])</f>
        <v/>
      </c>
    </row>
    <row r="928">
      <c r="A928" t="inlineStr">
        <is>
          <t>F-2025-00927</t>
        </is>
      </c>
      <c r="B928" s="12" t="n">
        <v>46176</v>
      </c>
      <c r="C928" t="inlineStr">
        <is>
          <t>SC AROMET TRADING SRL</t>
        </is>
      </c>
      <c r="D928" t="inlineStr">
        <is>
          <t>Alba</t>
        </is>
      </c>
      <c r="E928" t="inlineStr">
        <is>
          <t>PRD-009</t>
        </is>
      </c>
      <c r="F928" t="inlineStr">
        <is>
          <t>Monitor 27" 4K</t>
        </is>
      </c>
      <c r="G928" t="inlineStr">
        <is>
          <t>Hardware IT</t>
        </is>
      </c>
      <c r="H928" t="n">
        <v>100</v>
      </c>
      <c r="I928" t="n">
        <v>29.14</v>
      </c>
      <c r="J928" t="n">
        <v>2914</v>
      </c>
      <c r="K928" s="13" t="n">
        <v>0.19</v>
      </c>
      <c r="L928" t="n">
        <v>553.66</v>
      </c>
      <c r="M928" t="n">
        <v>3467.66</v>
      </c>
      <c r="N928" t="inlineStr">
        <is>
          <t>RON</t>
        </is>
      </c>
      <c r="O928" t="inlineStr">
        <is>
          <t>Alba Iulia</t>
        </is>
      </c>
      <c r="P928" s="12" t="n">
        <v>46236</v>
      </c>
      <c r="Q928">
        <f>IF(COUNTIF(tbl_Localitati[oras_oficial],[@oras])=0,"ORAS NEALINIAT",IF(XLOOKUP([@oras],tbl_Localitati[oras_oficial],tbl_Localitati[judet],"?")&lt;&gt;[@judet],"JUDET NECORESPUNZATOR",""))</f>
        <v/>
      </c>
      <c r="R928">
        <f>IF(XLOOKUP([@categorie],tbl_RegulriTVA[categorie],tbl_RegulriTVA[cota_legala],-1)&lt;&gt;[@cota_tva],"TVA GRESIT","")</f>
        <v/>
      </c>
      <c r="S928">
        <f>IF([@data_scadentei]&lt;[@data_factura],"SCADENTA INAINTEA FACTURII","")</f>
        <v/>
      </c>
      <c r="T928">
        <f>IF(NETWORKDAYS.INTL([@data_factura],[@data_factura],1,tbl_SarbatoriLegale[data])=0,"ZI NELUCRATOARE","")</f>
        <v/>
      </c>
      <c r="U928">
        <f>IF([@motiv_anomalie]="","OK","DE INVESTIGAT")</f>
        <v/>
      </c>
      <c r="V928">
        <f>TEXTJOIN("; ",TRUE,[@flag_oras],[@flag_tva],[@flag_scadenta],[@flag_zi])</f>
        <v/>
      </c>
    </row>
    <row r="929">
      <c r="A929" t="inlineStr">
        <is>
          <t>F-2025-00928</t>
        </is>
      </c>
      <c r="B929" s="12" t="n">
        <v>46286</v>
      </c>
      <c r="C929" t="inlineStr">
        <is>
          <t>SC DACTECH SOLUTIONS SRL</t>
        </is>
      </c>
      <c r="D929" t="inlineStr">
        <is>
          <t>Argeș</t>
        </is>
      </c>
      <c r="E929" t="inlineStr">
        <is>
          <t>PRD-011</t>
        </is>
      </c>
      <c r="F929" t="inlineStr">
        <is>
          <t>Termometru digital</t>
        </is>
      </c>
      <c r="G929" t="inlineStr">
        <is>
          <t>Produse farmaceutice</t>
        </is>
      </c>
      <c r="H929" t="n">
        <v>10</v>
      </c>
      <c r="I929" t="n">
        <v>45.61</v>
      </c>
      <c r="J929" t="n">
        <v>456.1</v>
      </c>
      <c r="K929" s="13" t="n">
        <v>0.09</v>
      </c>
      <c r="L929" t="n">
        <v>41.05</v>
      </c>
      <c r="M929" t="n">
        <v>497.15</v>
      </c>
      <c r="N929" t="inlineStr">
        <is>
          <t>RON</t>
        </is>
      </c>
      <c r="O929" t="inlineStr">
        <is>
          <t>Pitești</t>
        </is>
      </c>
      <c r="P929" s="12" t="n">
        <v>46316</v>
      </c>
      <c r="Q929">
        <f>IF(COUNTIF(tbl_Localitati[oras_oficial],[@oras])=0,"ORAS NEALINIAT",IF(XLOOKUP([@oras],tbl_Localitati[oras_oficial],tbl_Localitati[judet],"?")&lt;&gt;[@judet],"JUDET NECORESPUNZATOR",""))</f>
        <v/>
      </c>
      <c r="R929">
        <f>IF(XLOOKUP([@categorie],tbl_RegulriTVA[categorie],tbl_RegulriTVA[cota_legala],-1)&lt;&gt;[@cota_tva],"TVA GRESIT","")</f>
        <v/>
      </c>
      <c r="S929">
        <f>IF([@data_scadentei]&lt;[@data_factura],"SCADENTA INAINTEA FACTURII","")</f>
        <v/>
      </c>
      <c r="T929">
        <f>IF(NETWORKDAYS.INTL([@data_factura],[@data_factura],1,tbl_SarbatoriLegale[data])=0,"ZI NELUCRATOARE","")</f>
        <v/>
      </c>
      <c r="U929">
        <f>IF([@motiv_anomalie]="","OK","DE INVESTIGAT")</f>
        <v/>
      </c>
      <c r="V929">
        <f>TEXTJOIN("; ",TRUE,[@flag_oras],[@flag_tva],[@flag_scadenta],[@flag_zi])</f>
        <v/>
      </c>
    </row>
    <row r="930">
      <c r="A930" t="inlineStr">
        <is>
          <t>F-2025-00929</t>
        </is>
      </c>
      <c r="B930" s="12" t="n">
        <v>46062</v>
      </c>
      <c r="C930" t="inlineStr">
        <is>
          <t>SC SOLARIS ENERGY SRL</t>
        </is>
      </c>
      <c r="D930" t="inlineStr">
        <is>
          <t>Prahova</t>
        </is>
      </c>
      <c r="E930" t="inlineStr">
        <is>
          <t>PRD-009</t>
        </is>
      </c>
      <c r="F930" t="inlineStr">
        <is>
          <t>Cafea boabe 1kg</t>
        </is>
      </c>
      <c r="G930" t="inlineStr">
        <is>
          <t>Alimente</t>
        </is>
      </c>
      <c r="H930" t="n">
        <v>20</v>
      </c>
      <c r="I930" t="n">
        <v>27.87</v>
      </c>
      <c r="J930" t="n">
        <v>557.4</v>
      </c>
      <c r="K930" s="13" t="n">
        <v>0.09</v>
      </c>
      <c r="L930" t="n">
        <v>50.17</v>
      </c>
      <c r="M930" t="n">
        <v>607.5700000000001</v>
      </c>
      <c r="N930" t="inlineStr">
        <is>
          <t>RON</t>
        </is>
      </c>
      <c r="O930" t="inlineStr">
        <is>
          <t>Câmpina</t>
        </is>
      </c>
      <c r="P930" s="12" t="n">
        <v>46122</v>
      </c>
      <c r="Q930">
        <f>IF(COUNTIF(tbl_Localitati[oras_oficial],[@oras])=0,"ORAS NEALINIAT",IF(XLOOKUP([@oras],tbl_Localitati[oras_oficial],tbl_Localitati[judet],"?")&lt;&gt;[@judet],"JUDET NECORESPUNZATOR",""))</f>
        <v/>
      </c>
      <c r="R930">
        <f>IF(XLOOKUP([@categorie],tbl_RegulriTVA[categorie],tbl_RegulriTVA[cota_legala],-1)&lt;&gt;[@cota_tva],"TVA GRESIT","")</f>
        <v/>
      </c>
      <c r="S930">
        <f>IF([@data_scadentei]&lt;[@data_factura],"SCADENTA INAINTEA FACTURII","")</f>
        <v/>
      </c>
      <c r="T930">
        <f>IF(NETWORKDAYS.INTL([@data_factura],[@data_factura],1,tbl_SarbatoriLegale[data])=0,"ZI NELUCRATOARE","")</f>
        <v/>
      </c>
      <c r="U930">
        <f>IF([@motiv_anomalie]="","OK","DE INVESTIGAT")</f>
        <v/>
      </c>
      <c r="V930">
        <f>TEXTJOIN("; ",TRUE,[@flag_oras],[@flag_tva],[@flag_scadenta],[@flag_zi])</f>
        <v/>
      </c>
    </row>
    <row r="931">
      <c r="A931" t="inlineStr">
        <is>
          <t>F-2025-00930</t>
        </is>
      </c>
      <c r="B931" s="12" t="n">
        <v>46105</v>
      </c>
      <c r="C931" t="inlineStr">
        <is>
          <t>SC OMEGA SOFT SRL</t>
        </is>
      </c>
      <c r="D931" t="inlineStr">
        <is>
          <t>Dolj</t>
        </is>
      </c>
      <c r="E931" t="inlineStr">
        <is>
          <t>PRD-005</t>
        </is>
      </c>
      <c r="F931" t="inlineStr">
        <is>
          <t>Laptop business 15"</t>
        </is>
      </c>
      <c r="G931" t="inlineStr">
        <is>
          <t>Hardware IT</t>
        </is>
      </c>
      <c r="H931" t="n">
        <v>3</v>
      </c>
      <c r="I931" t="n">
        <v>243.54</v>
      </c>
      <c r="J931" t="n">
        <v>730.62</v>
      </c>
      <c r="K931" s="13" t="n">
        <v>0.19</v>
      </c>
      <c r="L931" t="n">
        <v>138.82</v>
      </c>
      <c r="M931" t="n">
        <v>869.4400000000001</v>
      </c>
      <c r="N931" t="inlineStr">
        <is>
          <t>RON</t>
        </is>
      </c>
      <c r="O931" t="inlineStr">
        <is>
          <t>Craiova</t>
        </is>
      </c>
      <c r="P931" s="12" t="n">
        <v>46135</v>
      </c>
      <c r="Q931">
        <f>IF(COUNTIF(tbl_Localitati[oras_oficial],[@oras])=0,"ORAS NEALINIAT",IF(XLOOKUP([@oras],tbl_Localitati[oras_oficial],tbl_Localitati[judet],"?")&lt;&gt;[@judet],"JUDET NECORESPUNZATOR",""))</f>
        <v/>
      </c>
      <c r="R931">
        <f>IF(XLOOKUP([@categorie],tbl_RegulriTVA[categorie],tbl_RegulriTVA[cota_legala],-1)&lt;&gt;[@cota_tva],"TVA GRESIT","")</f>
        <v/>
      </c>
      <c r="S931">
        <f>IF([@data_scadentei]&lt;[@data_factura],"SCADENTA INAINTEA FACTURII","")</f>
        <v/>
      </c>
      <c r="T931">
        <f>IF(NETWORKDAYS.INTL([@data_factura],[@data_factura],1,tbl_SarbatoriLegale[data])=0,"ZI NELUCRATOARE","")</f>
        <v/>
      </c>
      <c r="U931">
        <f>IF([@motiv_anomalie]="","OK","DE INVESTIGAT")</f>
        <v/>
      </c>
      <c r="V931">
        <f>TEXTJOIN("; ",TRUE,[@flag_oras],[@flag_tva],[@flag_scadenta],[@flag_zi])</f>
        <v/>
      </c>
    </row>
    <row r="932">
      <c r="A932" t="inlineStr">
        <is>
          <t>F-2025-00931</t>
        </is>
      </c>
      <c r="B932" s="12" t="n">
        <v>46246</v>
      </c>
      <c r="C932" t="inlineStr">
        <is>
          <t>SC AROMET TRADING SRL</t>
        </is>
      </c>
      <c r="D932" t="inlineStr">
        <is>
          <t>Alba</t>
        </is>
      </c>
      <c r="E932" t="inlineStr">
        <is>
          <t>PRD-011</t>
        </is>
      </c>
      <c r="F932" t="inlineStr">
        <is>
          <t>Switch gigabit 24p</t>
        </is>
      </c>
      <c r="G932" t="inlineStr">
        <is>
          <t>Hardware IT</t>
        </is>
      </c>
      <c r="H932" t="n">
        <v>5</v>
      </c>
      <c r="I932" t="n">
        <v>45.47</v>
      </c>
      <c r="J932" t="n">
        <v>227.35</v>
      </c>
      <c r="K932" s="13" t="n">
        <v>0.19</v>
      </c>
      <c r="L932" t="n">
        <v>43.2</v>
      </c>
      <c r="M932" t="n">
        <v>270.55</v>
      </c>
      <c r="N932" t="inlineStr">
        <is>
          <t>RON</t>
        </is>
      </c>
      <c r="O932" t="inlineStr">
        <is>
          <t>Bv</t>
        </is>
      </c>
      <c r="P932" s="12" t="n">
        <v>46276</v>
      </c>
      <c r="Q932">
        <f>IF(COUNTIF(tbl_Localitati[oras_oficial],[@oras])=0,"ORAS NEALINIAT",IF(XLOOKUP([@oras],tbl_Localitati[oras_oficial],tbl_Localitati[judet],"?")&lt;&gt;[@judet],"JUDET NECORESPUNZATOR",""))</f>
        <v/>
      </c>
      <c r="R932">
        <f>IF(XLOOKUP([@categorie],tbl_RegulriTVA[categorie],tbl_RegulriTVA[cota_legala],-1)&lt;&gt;[@cota_tva],"TVA GRESIT","")</f>
        <v/>
      </c>
      <c r="S932">
        <f>IF([@data_scadentei]&lt;[@data_factura],"SCADENTA INAINTEA FACTURII","")</f>
        <v/>
      </c>
      <c r="T932">
        <f>IF(NETWORKDAYS.INTL([@data_factura],[@data_factura],1,tbl_SarbatoriLegale[data])=0,"ZI NELUCRATOARE","")</f>
        <v/>
      </c>
      <c r="U932">
        <f>IF([@motiv_anomalie]="","OK","DE INVESTIGAT")</f>
        <v/>
      </c>
      <c r="V932">
        <f>TEXTJOIN("; ",TRUE,[@flag_oras],[@flag_tva],[@flag_scadenta],[@flag_zi])</f>
        <v/>
      </c>
    </row>
    <row r="933">
      <c r="A933" t="inlineStr">
        <is>
          <t>F-2025-00932</t>
        </is>
      </c>
      <c r="B933" s="12" t="n">
        <v>46192</v>
      </c>
      <c r="C933" t="inlineStr">
        <is>
          <t>SC METALPLAST INVEST SA</t>
        </is>
      </c>
      <c r="D933" t="inlineStr">
        <is>
          <t>Cluj</t>
        </is>
      </c>
      <c r="E933" t="inlineStr">
        <is>
          <t>PRD-011</t>
        </is>
      </c>
      <c r="F933" t="inlineStr">
        <is>
          <t>Trusa prim ajutor</t>
        </is>
      </c>
      <c r="G933" t="inlineStr">
        <is>
          <t>Produse farmaceutice</t>
        </is>
      </c>
      <c r="H933" t="n">
        <v>50</v>
      </c>
      <c r="I933" t="n">
        <v>45.88</v>
      </c>
      <c r="J933" t="n">
        <v>2294</v>
      </c>
      <c r="K933" s="13" t="n">
        <v>0.09</v>
      </c>
      <c r="L933" t="n">
        <v>206.46</v>
      </c>
      <c r="M933" t="n">
        <v>2500.46</v>
      </c>
      <c r="N933" t="inlineStr">
        <is>
          <t>RON</t>
        </is>
      </c>
      <c r="O933" t="inlineStr">
        <is>
          <t>Turda</t>
        </is>
      </c>
      <c r="P933" s="12" t="n">
        <v>46207</v>
      </c>
      <c r="Q933">
        <f>IF(COUNTIF(tbl_Localitati[oras_oficial],[@oras])=0,"ORAS NEALINIAT",IF(XLOOKUP([@oras],tbl_Localitati[oras_oficial],tbl_Localitati[judet],"?")&lt;&gt;[@judet],"JUDET NECORESPUNZATOR",""))</f>
        <v/>
      </c>
      <c r="R933">
        <f>IF(XLOOKUP([@categorie],tbl_RegulriTVA[categorie],tbl_RegulriTVA[cota_legala],-1)&lt;&gt;[@cota_tva],"TVA GRESIT","")</f>
        <v/>
      </c>
      <c r="S933">
        <f>IF([@data_scadentei]&lt;[@data_factura],"SCADENTA INAINTEA FACTURII","")</f>
        <v/>
      </c>
      <c r="T933">
        <f>IF(NETWORKDAYS.INTL([@data_factura],[@data_factura],1,tbl_SarbatoriLegale[data])=0,"ZI NELUCRATOARE","")</f>
        <v/>
      </c>
      <c r="U933">
        <f>IF([@motiv_anomalie]="","OK","DE INVESTIGAT")</f>
        <v/>
      </c>
      <c r="V933">
        <f>TEXTJOIN("; ",TRUE,[@flag_oras],[@flag_tva],[@flag_scadenta],[@flag_zi])</f>
        <v/>
      </c>
    </row>
    <row r="934">
      <c r="A934" t="inlineStr">
        <is>
          <t>F-2025-00933</t>
        </is>
      </c>
      <c r="B934" s="12" t="n">
        <v>46155</v>
      </c>
      <c r="C934" t="inlineStr">
        <is>
          <t>SC AROMET TRADING SRL</t>
        </is>
      </c>
      <c r="D934" t="inlineStr">
        <is>
          <t>Alba</t>
        </is>
      </c>
      <c r="E934" t="inlineStr">
        <is>
          <t>PRD-002</t>
        </is>
      </c>
      <c r="F934" t="inlineStr">
        <is>
          <t>Termometru digital</t>
        </is>
      </c>
      <c r="G934" t="inlineStr">
        <is>
          <t>Produse farmaceutice</t>
        </is>
      </c>
      <c r="H934" t="n">
        <v>1</v>
      </c>
      <c r="I934" t="n">
        <v>1078.81</v>
      </c>
      <c r="J934" t="n">
        <v>1078.81</v>
      </c>
      <c r="K934" s="13" t="n">
        <v>0.09</v>
      </c>
      <c r="L934" t="n">
        <v>97.09</v>
      </c>
      <c r="M934" t="n">
        <v>1175.9</v>
      </c>
      <c r="N934" t="inlineStr">
        <is>
          <t>RON</t>
        </is>
      </c>
      <c r="O934" t="inlineStr">
        <is>
          <t>Alba Iulia</t>
        </is>
      </c>
      <c r="P934" s="12" t="n">
        <v>46170</v>
      </c>
      <c r="Q934">
        <f>IF(COUNTIF(tbl_Localitati[oras_oficial],[@oras])=0,"ORAS NEALINIAT",IF(XLOOKUP([@oras],tbl_Localitati[oras_oficial],tbl_Localitati[judet],"?")&lt;&gt;[@judet],"JUDET NECORESPUNZATOR",""))</f>
        <v/>
      </c>
      <c r="R934">
        <f>IF(XLOOKUP([@categorie],tbl_RegulriTVA[categorie],tbl_RegulriTVA[cota_legala],-1)&lt;&gt;[@cota_tva],"TVA GRESIT","")</f>
        <v/>
      </c>
      <c r="S934">
        <f>IF([@data_scadentei]&lt;[@data_factura],"SCADENTA INAINTEA FACTURII","")</f>
        <v/>
      </c>
      <c r="T934">
        <f>IF(NETWORKDAYS.INTL([@data_factura],[@data_factura],1,tbl_SarbatoriLegale[data])=0,"ZI NELUCRATOARE","")</f>
        <v/>
      </c>
      <c r="U934">
        <f>IF([@motiv_anomalie]="","OK","DE INVESTIGAT")</f>
        <v/>
      </c>
      <c r="V934">
        <f>TEXTJOIN("; ",TRUE,[@flag_oras],[@flag_tva],[@flag_scadenta],[@flag_zi])</f>
        <v/>
      </c>
    </row>
    <row r="935">
      <c r="A935" t="inlineStr">
        <is>
          <t>F-2025-00934</t>
        </is>
      </c>
      <c r="B935" s="12" t="n">
        <v>46076</v>
      </c>
      <c r="C935" t="inlineStr">
        <is>
          <t>SC PROVITA MEDICAL SRL</t>
        </is>
      </c>
      <c r="D935" t="inlineStr">
        <is>
          <t>Mureș</t>
        </is>
      </c>
      <c r="E935" t="inlineStr">
        <is>
          <t>PRD-003</t>
        </is>
      </c>
      <c r="F935" t="inlineStr">
        <is>
          <t>Trusa prim ajutor</t>
        </is>
      </c>
      <c r="G935" t="inlineStr">
        <is>
          <t>Produse farmaceutice</t>
        </is>
      </c>
      <c r="H935" t="n">
        <v>1</v>
      </c>
      <c r="I935" t="n">
        <v>4324.58</v>
      </c>
      <c r="J935" t="n">
        <v>4324.58</v>
      </c>
      <c r="K935" s="13" t="n">
        <v>0.09</v>
      </c>
      <c r="L935" t="n">
        <v>389.21</v>
      </c>
      <c r="M935" t="n">
        <v>4713.79</v>
      </c>
      <c r="N935" t="inlineStr">
        <is>
          <t>EUR</t>
        </is>
      </c>
      <c r="O935" t="inlineStr">
        <is>
          <t>Târgu Mureș</t>
        </is>
      </c>
      <c r="P935" s="12" t="n">
        <v>46106</v>
      </c>
      <c r="Q935">
        <f>IF(COUNTIF(tbl_Localitati[oras_oficial],[@oras])=0,"ORAS NEALINIAT",IF(XLOOKUP([@oras],tbl_Localitati[oras_oficial],tbl_Localitati[judet],"?")&lt;&gt;[@judet],"JUDET NECORESPUNZATOR",""))</f>
        <v/>
      </c>
      <c r="R935">
        <f>IF(XLOOKUP([@categorie],tbl_RegulriTVA[categorie],tbl_RegulriTVA[cota_legala],-1)&lt;&gt;[@cota_tva],"TVA GRESIT","")</f>
        <v/>
      </c>
      <c r="S935">
        <f>IF([@data_scadentei]&lt;[@data_factura],"SCADENTA INAINTEA FACTURII","")</f>
        <v/>
      </c>
      <c r="T935">
        <f>IF(NETWORKDAYS.INTL([@data_factura],[@data_factura],1,tbl_SarbatoriLegale[data])=0,"ZI NELUCRATOARE","")</f>
        <v/>
      </c>
      <c r="U935">
        <f>IF([@motiv_anomalie]="","OK","DE INVESTIGAT")</f>
        <v/>
      </c>
      <c r="V935">
        <f>TEXTJOIN("; ",TRUE,[@flag_oras],[@flag_tva],[@flag_scadenta],[@flag_zi])</f>
        <v/>
      </c>
    </row>
    <row r="936">
      <c r="A936" t="inlineStr">
        <is>
          <t>F-2025-00935</t>
        </is>
      </c>
      <c r="B936" s="12" t="n">
        <v>46170</v>
      </c>
      <c r="C936" t="inlineStr">
        <is>
          <t>SC AROMET TRADING SRL</t>
        </is>
      </c>
      <c r="D936" t="inlineStr">
        <is>
          <t>Alba</t>
        </is>
      </c>
      <c r="E936" t="inlineStr">
        <is>
          <t>PRD-005</t>
        </is>
      </c>
      <c r="F936" t="inlineStr">
        <is>
          <t>Laptop business 15"</t>
        </is>
      </c>
      <c r="G936" t="inlineStr">
        <is>
          <t>Hardware IT</t>
        </is>
      </c>
      <c r="H936" t="n">
        <v>3</v>
      </c>
      <c r="I936" t="n">
        <v>260.79</v>
      </c>
      <c r="J936" t="n">
        <v>782.37</v>
      </c>
      <c r="K936" s="13" t="n">
        <v>0.19</v>
      </c>
      <c r="L936" t="n">
        <v>148.65</v>
      </c>
      <c r="M936" t="n">
        <v>931.02</v>
      </c>
      <c r="N936" t="inlineStr">
        <is>
          <t>RON</t>
        </is>
      </c>
      <c r="O936" t="inlineStr">
        <is>
          <t>Alba Iulia</t>
        </is>
      </c>
      <c r="P936" s="12" t="n">
        <v>46185</v>
      </c>
      <c r="Q936">
        <f>IF(COUNTIF(tbl_Localitati[oras_oficial],[@oras])=0,"ORAS NEALINIAT",IF(XLOOKUP([@oras],tbl_Localitati[oras_oficial],tbl_Localitati[judet],"?")&lt;&gt;[@judet],"JUDET NECORESPUNZATOR",""))</f>
        <v/>
      </c>
      <c r="R936">
        <f>IF(XLOOKUP([@categorie],tbl_RegulriTVA[categorie],tbl_RegulriTVA[cota_legala],-1)&lt;&gt;[@cota_tva],"TVA GRESIT","")</f>
        <v/>
      </c>
      <c r="S936">
        <f>IF([@data_scadentei]&lt;[@data_factura],"SCADENTA INAINTEA FACTURII","")</f>
        <v/>
      </c>
      <c r="T936">
        <f>IF(NETWORKDAYS.INTL([@data_factura],[@data_factura],1,tbl_SarbatoriLegale[data])=0,"ZI NELUCRATOARE","")</f>
        <v/>
      </c>
      <c r="U936">
        <f>IF([@motiv_anomalie]="","OK","DE INVESTIGAT")</f>
        <v/>
      </c>
      <c r="V936">
        <f>TEXTJOIN("; ",TRUE,[@flag_oras],[@flag_tva],[@flag_scadenta],[@flag_zi])</f>
        <v/>
      </c>
    </row>
    <row r="937">
      <c r="A937" t="inlineStr">
        <is>
          <t>F-2025-00936</t>
        </is>
      </c>
      <c r="B937" s="12" t="n">
        <v>46146</v>
      </c>
      <c r="C937" t="inlineStr">
        <is>
          <t>SC INTEGROMED SA</t>
        </is>
      </c>
      <c r="D937" t="inlineStr">
        <is>
          <t>Cluj</t>
        </is>
      </c>
      <c r="E937" t="inlineStr">
        <is>
          <t>PRD-007</t>
        </is>
      </c>
      <c r="F937" t="inlineStr">
        <is>
          <t>Monitor 27" 4K</t>
        </is>
      </c>
      <c r="G937" t="inlineStr">
        <is>
          <t>Hardware IT</t>
        </is>
      </c>
      <c r="H937" t="n">
        <v>10</v>
      </c>
      <c r="I937" t="n">
        <v>185.16</v>
      </c>
      <c r="J937" t="n">
        <v>1851.6</v>
      </c>
      <c r="K937" s="13" t="n">
        <v>0.19</v>
      </c>
      <c r="L937" t="n">
        <v>351.8</v>
      </c>
      <c r="M937" t="n">
        <v>2203.4</v>
      </c>
      <c r="N937" t="inlineStr">
        <is>
          <t>RON</t>
        </is>
      </c>
      <c r="O937" t="inlineStr">
        <is>
          <t>Cluj-Napoca</t>
        </is>
      </c>
      <c r="P937" s="12" t="n">
        <v>46176</v>
      </c>
      <c r="Q937">
        <f>IF(COUNTIF(tbl_Localitati[oras_oficial],[@oras])=0,"ORAS NEALINIAT",IF(XLOOKUP([@oras],tbl_Localitati[oras_oficial],tbl_Localitati[judet],"?")&lt;&gt;[@judet],"JUDET NECORESPUNZATOR",""))</f>
        <v/>
      </c>
      <c r="R937">
        <f>IF(XLOOKUP([@categorie],tbl_RegulriTVA[categorie],tbl_RegulriTVA[cota_legala],-1)&lt;&gt;[@cota_tva],"TVA GRESIT","")</f>
        <v/>
      </c>
      <c r="S937">
        <f>IF([@data_scadentei]&lt;[@data_factura],"SCADENTA INAINTEA FACTURII","")</f>
        <v/>
      </c>
      <c r="T937">
        <f>IF(NETWORKDAYS.INTL([@data_factura],[@data_factura],1,tbl_SarbatoriLegale[data])=0,"ZI NELUCRATOARE","")</f>
        <v/>
      </c>
      <c r="U937">
        <f>IF([@motiv_anomalie]="","OK","DE INVESTIGAT")</f>
        <v/>
      </c>
      <c r="V937">
        <f>TEXTJOIN("; ",TRUE,[@flag_oras],[@flag_tva],[@flag_scadenta],[@flag_zi])</f>
        <v/>
      </c>
    </row>
    <row r="938">
      <c r="A938" t="inlineStr">
        <is>
          <t>F-2025-00937</t>
        </is>
      </c>
      <c r="B938" s="12" t="n">
        <v>46169</v>
      </c>
      <c r="C938" t="inlineStr">
        <is>
          <t>SC RAPID LOGISTIC SA</t>
        </is>
      </c>
      <c r="D938" t="inlineStr">
        <is>
          <t>Prahova</t>
        </is>
      </c>
      <c r="E938" t="inlineStr">
        <is>
          <t>PRD-006</t>
        </is>
      </c>
      <c r="F938" t="inlineStr">
        <is>
          <t>Statie de lucru desktop</t>
        </is>
      </c>
      <c r="G938" t="inlineStr">
        <is>
          <t>Hardware IT</t>
        </is>
      </c>
      <c r="H938" t="n">
        <v>1</v>
      </c>
      <c r="I938" t="n">
        <v>783.3</v>
      </c>
      <c r="J938" t="n">
        <v>783.3</v>
      </c>
      <c r="K938" s="13" t="n">
        <v>0.19</v>
      </c>
      <c r="L938" t="n">
        <v>148.83</v>
      </c>
      <c r="M938" t="n">
        <v>932.13</v>
      </c>
      <c r="N938" t="inlineStr">
        <is>
          <t>RON</t>
        </is>
      </c>
      <c r="O938" t="inlineStr">
        <is>
          <t>Ploiești</t>
        </is>
      </c>
      <c r="P938" s="12" t="n">
        <v>46199</v>
      </c>
      <c r="Q938">
        <f>IF(COUNTIF(tbl_Localitati[oras_oficial],[@oras])=0,"ORAS NEALINIAT",IF(XLOOKUP([@oras],tbl_Localitati[oras_oficial],tbl_Localitati[judet],"?")&lt;&gt;[@judet],"JUDET NECORESPUNZATOR",""))</f>
        <v/>
      </c>
      <c r="R938">
        <f>IF(XLOOKUP([@categorie],tbl_RegulriTVA[categorie],tbl_RegulriTVA[cota_legala],-1)&lt;&gt;[@cota_tva],"TVA GRESIT","")</f>
        <v/>
      </c>
      <c r="S938">
        <f>IF([@data_scadentei]&lt;[@data_factura],"SCADENTA INAINTEA FACTURII","")</f>
        <v/>
      </c>
      <c r="T938">
        <f>IF(NETWORKDAYS.INTL([@data_factura],[@data_factura],1,tbl_SarbatoriLegale[data])=0,"ZI NELUCRATOARE","")</f>
        <v/>
      </c>
      <c r="U938">
        <f>IF([@motiv_anomalie]="","OK","DE INVESTIGAT")</f>
        <v/>
      </c>
      <c r="V938">
        <f>TEXTJOIN("; ",TRUE,[@flag_oras],[@flag_tva],[@flag_scadenta],[@flag_zi])</f>
        <v/>
      </c>
    </row>
    <row r="939">
      <c r="A939" t="inlineStr">
        <is>
          <t>F-2025-00938</t>
        </is>
      </c>
      <c r="B939" s="12" t="n">
        <v>46224</v>
      </c>
      <c r="C939" t="inlineStr">
        <is>
          <t>SC DACTECH SOLUTIONS SRL</t>
        </is>
      </c>
      <c r="D939" t="inlineStr">
        <is>
          <t>Argeș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 IT</t>
        </is>
      </c>
      <c r="H939" t="n">
        <v>3</v>
      </c>
      <c r="I939" t="n">
        <v>2410.49</v>
      </c>
      <c r="J939" t="n">
        <v>7231.47</v>
      </c>
      <c r="K939" s="13" t="n">
        <v>0.19</v>
      </c>
      <c r="L939" t="n">
        <v>1373.98</v>
      </c>
      <c r="M939" t="n">
        <v>8605.450000000001</v>
      </c>
      <c r="N939" t="inlineStr">
        <is>
          <t>RON</t>
        </is>
      </c>
      <c r="O939" t="inlineStr">
        <is>
          <t>Pitești</t>
        </is>
      </c>
      <c r="P939" s="12" t="n">
        <v>46269</v>
      </c>
      <c r="Q939">
        <f>IF(COUNTIF(tbl_Localitati[oras_oficial],[@oras])=0,"ORAS NEALINIAT",IF(XLOOKUP([@oras],tbl_Localitati[oras_oficial],tbl_Localitati[judet],"?")&lt;&gt;[@judet],"JUDET NECORESPUNZATOR",""))</f>
        <v/>
      </c>
      <c r="R939">
        <f>IF(XLOOKUP([@categorie],tbl_RegulriTVA[categorie],tbl_RegulriTVA[cota_legala],-1)&lt;&gt;[@cota_tva],"TVA GRESIT","")</f>
        <v/>
      </c>
      <c r="S939">
        <f>IF([@data_scadentei]&lt;[@data_factura],"SCADENTA INAINTEA FACTURII","")</f>
        <v/>
      </c>
      <c r="T939">
        <f>IF(NETWORKDAYS.INTL([@data_factura],[@data_factura],1,tbl_SarbatoriLegale[data])=0,"ZI NELUCRATOARE","")</f>
        <v/>
      </c>
      <c r="U939">
        <f>IF([@motiv_anomalie]="","OK","DE INVESTIGAT")</f>
        <v/>
      </c>
      <c r="V939">
        <f>TEXTJOIN("; ",TRUE,[@flag_oras],[@flag_tva],[@flag_scadenta],[@flag_zi])</f>
        <v/>
      </c>
    </row>
    <row r="940">
      <c r="A940" t="inlineStr">
        <is>
          <t>F-2025-00939</t>
        </is>
      </c>
      <c r="B940" s="12" t="n">
        <v>46267</v>
      </c>
      <c r="C940" t="inlineStr">
        <is>
          <t>SC DACTECH SOLUTIONS SRL</t>
        </is>
      </c>
      <c r="D940" t="inlineStr">
        <is>
          <t>Argeș</t>
        </is>
      </c>
      <c r="E940" t="inlineStr">
        <is>
          <t>PRD-001</t>
        </is>
      </c>
      <c r="F940" t="inlineStr">
        <is>
          <t>Ceai cutie 100buc</t>
        </is>
      </c>
      <c r="G940" t="inlineStr">
        <is>
          <t>Alimente</t>
        </is>
      </c>
      <c r="H940" t="n">
        <v>3</v>
      </c>
      <c r="I940" t="n">
        <v>2488.55</v>
      </c>
      <c r="J940" t="n">
        <v>7465.65</v>
      </c>
      <c r="K940" s="13" t="n">
        <v>0.09</v>
      </c>
      <c r="L940" t="n">
        <v>671.91</v>
      </c>
      <c r="M940" t="n">
        <v>8137.56</v>
      </c>
      <c r="N940" t="inlineStr">
        <is>
          <t>RON</t>
        </is>
      </c>
      <c r="O940" t="inlineStr">
        <is>
          <t>Pitești</t>
        </is>
      </c>
      <c r="P940" s="12" t="n">
        <v>46297</v>
      </c>
      <c r="Q940">
        <f>IF(COUNTIF(tbl_Localitati[oras_oficial],[@oras])=0,"ORAS NEALINIAT",IF(XLOOKUP([@oras],tbl_Localitati[oras_oficial],tbl_Localitati[judet],"?")&lt;&gt;[@judet],"JUDET NECORESPUNZATOR",""))</f>
        <v/>
      </c>
      <c r="R940">
        <f>IF(XLOOKUP([@categorie],tbl_RegulriTVA[categorie],tbl_RegulriTVA[cota_legala],-1)&lt;&gt;[@cota_tva],"TVA GRESIT","")</f>
        <v/>
      </c>
      <c r="S940">
        <f>IF([@data_scadentei]&lt;[@data_factura],"SCADENTA INAINTEA FACTURII","")</f>
        <v/>
      </c>
      <c r="T940">
        <f>IF(NETWORKDAYS.INTL([@data_factura],[@data_factura],1,tbl_SarbatoriLegale[data])=0,"ZI NELUCRATOARE","")</f>
        <v/>
      </c>
      <c r="U940">
        <f>IF([@motiv_anomalie]="","OK","DE INVESTIGAT")</f>
        <v/>
      </c>
      <c r="V940">
        <f>TEXTJOIN("; ",TRUE,[@flag_oras],[@flag_tva],[@flag_scadenta],[@flag_zi])</f>
        <v/>
      </c>
    </row>
    <row r="941">
      <c r="A941" t="inlineStr">
        <is>
          <t>F-2025-00940</t>
        </is>
      </c>
      <c r="B941" s="12" t="n">
        <v>46293</v>
      </c>
      <c r="C941" t="inlineStr">
        <is>
          <t>SC ELECTROBUILD SRL</t>
        </is>
      </c>
      <c r="D941" t="inlineStr">
        <is>
          <t>Bacău</t>
        </is>
      </c>
      <c r="E941" t="inlineStr">
        <is>
          <t>PRD-005</t>
        </is>
      </c>
      <c r="F941" t="inlineStr">
        <is>
          <t>Licenta antivirus enterprise</t>
        </is>
      </c>
      <c r="G941" t="inlineStr">
        <is>
          <t>Licențe software</t>
        </is>
      </c>
      <c r="H941" t="n">
        <v>5</v>
      </c>
      <c r="I941" t="n">
        <v>240.55</v>
      </c>
      <c r="J941" t="n">
        <v>1202.75</v>
      </c>
      <c r="K941" s="13" t="n">
        <v>0.19</v>
      </c>
      <c r="L941" t="n">
        <v>228.52</v>
      </c>
      <c r="M941" t="n">
        <v>1431.27</v>
      </c>
      <c r="N941" t="inlineStr">
        <is>
          <t>RON</t>
        </is>
      </c>
      <c r="O941" t="inlineStr">
        <is>
          <t>Bacău</t>
        </is>
      </c>
      <c r="P941" s="12" t="n">
        <v>46323</v>
      </c>
      <c r="Q941">
        <f>IF(COUNTIF(tbl_Localitati[oras_oficial],[@oras])=0,"ORAS NEALINIAT",IF(XLOOKUP([@oras],tbl_Localitati[oras_oficial],tbl_Localitati[judet],"?")&lt;&gt;[@judet],"JUDET NECORESPUNZATOR",""))</f>
        <v/>
      </c>
      <c r="R941">
        <f>IF(XLOOKUP([@categorie],tbl_RegulriTVA[categorie],tbl_RegulriTVA[cota_legala],-1)&lt;&gt;[@cota_tva],"TVA GRESIT","")</f>
        <v/>
      </c>
      <c r="S941">
        <f>IF([@data_scadentei]&lt;[@data_factura],"SCADENTA INAINTEA FACTURII","")</f>
        <v/>
      </c>
      <c r="T941">
        <f>IF(NETWORKDAYS.INTL([@data_factura],[@data_factura],1,tbl_SarbatoriLegale[data])=0,"ZI NELUCRATOARE","")</f>
        <v/>
      </c>
      <c r="U941">
        <f>IF([@motiv_anomalie]="","OK","DE INVESTIGAT")</f>
        <v/>
      </c>
      <c r="V941">
        <f>TEXTJOIN("; ",TRUE,[@flag_oras],[@flag_tva],[@flag_scadenta],[@flag_zi])</f>
        <v/>
      </c>
    </row>
    <row r="942">
      <c r="A942" t="inlineStr">
        <is>
          <t>F-2025-00941</t>
        </is>
      </c>
      <c r="B942" s="12" t="n">
        <v>46254</v>
      </c>
      <c r="C942" t="inlineStr">
        <is>
          <t>SC FARMAVITAL DISTRIBUTIE SA</t>
        </is>
      </c>
      <c r="D942" t="inlineStr">
        <is>
          <t>Bihor</t>
        </is>
      </c>
      <c r="E942" t="inlineStr">
        <is>
          <t>PRD-009</t>
        </is>
      </c>
      <c r="F942" t="inlineStr">
        <is>
          <t>Telefon IP birou</t>
        </is>
      </c>
      <c r="G942" t="inlineStr">
        <is>
          <t>Echipamente birou</t>
        </is>
      </c>
      <c r="H942" t="n">
        <v>5</v>
      </c>
      <c r="I942" t="n">
        <v>29.2</v>
      </c>
      <c r="J942" t="n">
        <v>146</v>
      </c>
      <c r="K942" s="13" t="n">
        <v>0.19</v>
      </c>
      <c r="L942" t="n">
        <v>27.74</v>
      </c>
      <c r="M942" t="n">
        <v>173.74</v>
      </c>
      <c r="N942" t="inlineStr">
        <is>
          <t>RON</t>
        </is>
      </c>
      <c r="O942" t="inlineStr">
        <is>
          <t>Oradea</t>
        </is>
      </c>
      <c r="P942" s="12" t="n">
        <v>46314</v>
      </c>
      <c r="Q942">
        <f>IF(COUNTIF(tbl_Localitati[oras_oficial],[@oras])=0,"ORAS NEALINIAT",IF(XLOOKUP([@oras],tbl_Localitati[oras_oficial],tbl_Localitati[judet],"?")&lt;&gt;[@judet],"JUDET NECORESPUNZATOR",""))</f>
        <v/>
      </c>
      <c r="R942">
        <f>IF(XLOOKUP([@categorie],tbl_RegulriTVA[categorie],tbl_RegulriTVA[cota_legala],-1)&lt;&gt;[@cota_tva],"TVA GRESIT","")</f>
        <v/>
      </c>
      <c r="S942">
        <f>IF([@data_scadentei]&lt;[@data_factura],"SCADENTA INAINTEA FACTURII","")</f>
        <v/>
      </c>
      <c r="T942">
        <f>IF(NETWORKDAYS.INTL([@data_factura],[@data_factura],1,tbl_SarbatoriLegale[data])=0,"ZI NELUCRATOARE","")</f>
        <v/>
      </c>
      <c r="U942">
        <f>IF([@motiv_anomalie]="","OK","DE INVESTIGAT")</f>
        <v/>
      </c>
      <c r="V942">
        <f>TEXTJOIN("; ",TRUE,[@flag_oras],[@flag_tva],[@flag_scadenta],[@flag_zi])</f>
        <v/>
      </c>
    </row>
    <row r="943">
      <c r="A943" t="inlineStr">
        <is>
          <t>F-2025-00942</t>
        </is>
      </c>
      <c r="B943" s="12" t="n">
        <v>46059</v>
      </c>
      <c r="C943" t="inlineStr">
        <is>
          <t>SC DACTECH SOLUTIONS SRL</t>
        </is>
      </c>
      <c r="D943" t="inlineStr">
        <is>
          <t>Argeș</t>
        </is>
      </c>
      <c r="E943" t="inlineStr">
        <is>
          <t>PRD-006</t>
        </is>
      </c>
      <c r="F943" t="inlineStr">
        <is>
          <t>Statie de lucru desktop</t>
        </is>
      </c>
      <c r="G943" t="inlineStr">
        <is>
          <t>Hardware IT</t>
        </is>
      </c>
      <c r="H943" t="n">
        <v>1</v>
      </c>
      <c r="I943" t="n">
        <v>763.91</v>
      </c>
      <c r="J943" t="n">
        <v>763.91</v>
      </c>
      <c r="K943" s="13" t="n">
        <v>0.19</v>
      </c>
      <c r="L943" t="n">
        <v>145.14</v>
      </c>
      <c r="M943" t="n">
        <v>909.05</v>
      </c>
      <c r="N943" t="inlineStr">
        <is>
          <t>RON</t>
        </is>
      </c>
      <c r="O943" t="inlineStr">
        <is>
          <t>Pitești</t>
        </is>
      </c>
      <c r="P943" s="12" t="n">
        <v>46074</v>
      </c>
      <c r="Q943">
        <f>IF(COUNTIF(tbl_Localitati[oras_oficial],[@oras])=0,"ORAS NEALINIAT",IF(XLOOKUP([@oras],tbl_Localitati[oras_oficial],tbl_Localitati[judet],"?")&lt;&gt;[@judet],"JUDET NECORESPUNZATOR",""))</f>
        <v/>
      </c>
      <c r="R943">
        <f>IF(XLOOKUP([@categorie],tbl_RegulriTVA[categorie],tbl_RegulriTVA[cota_legala],-1)&lt;&gt;[@cota_tva],"TVA GRESIT","")</f>
        <v/>
      </c>
      <c r="S943">
        <f>IF([@data_scadentei]&lt;[@data_factura],"SCADENTA INAINTEA FACTURII","")</f>
        <v/>
      </c>
      <c r="T943">
        <f>IF(NETWORKDAYS.INTL([@data_factura],[@data_factura],1,tbl_SarbatoriLegale[data])=0,"ZI NELUCRATOARE","")</f>
        <v/>
      </c>
      <c r="U943">
        <f>IF([@motiv_anomalie]="","OK","DE INVESTIGAT")</f>
        <v/>
      </c>
      <c r="V943">
        <f>TEXTJOIN("; ",TRUE,[@flag_oras],[@flag_tva],[@flag_scadenta],[@flag_zi])</f>
        <v/>
      </c>
    </row>
    <row r="944">
      <c r="A944" t="inlineStr">
        <is>
          <t>F-2025-00943</t>
        </is>
      </c>
      <c r="B944" s="12" t="n">
        <v>46072</v>
      </c>
      <c r="C944" t="inlineStr">
        <is>
          <t>SC FARMAVITAL DISTRIBUTIE SA</t>
        </is>
      </c>
      <c r="D944" t="inlineStr">
        <is>
          <t>Bihor</t>
        </is>
      </c>
      <c r="E944" t="inlineStr">
        <is>
          <t>PRD-002</t>
        </is>
      </c>
      <c r="F944" t="inlineStr">
        <is>
          <t>Set carti formare</t>
        </is>
      </c>
      <c r="G944" t="inlineStr">
        <is>
          <t>Cărți și manuale</t>
        </is>
      </c>
      <c r="H944" t="n">
        <v>1</v>
      </c>
      <c r="I944" t="n">
        <v>1087.63</v>
      </c>
      <c r="J944" t="n">
        <v>1087.63</v>
      </c>
      <c r="K944" s="13" t="n">
        <v>0.05</v>
      </c>
      <c r="L944" t="n">
        <v>54.38</v>
      </c>
      <c r="M944" t="n">
        <v>1142.01</v>
      </c>
      <c r="N944" t="inlineStr">
        <is>
          <t>RON</t>
        </is>
      </c>
      <c r="O944" t="inlineStr">
        <is>
          <t>Oradea</t>
        </is>
      </c>
      <c r="P944" s="12" t="n">
        <v>46117</v>
      </c>
      <c r="Q944">
        <f>IF(COUNTIF(tbl_Localitati[oras_oficial],[@oras])=0,"ORAS NEALINIAT",IF(XLOOKUP([@oras],tbl_Localitati[oras_oficial],tbl_Localitati[judet],"?")&lt;&gt;[@judet],"JUDET NECORESPUNZATOR",""))</f>
        <v/>
      </c>
      <c r="R944">
        <f>IF(XLOOKUP([@categorie],tbl_RegulriTVA[categorie],tbl_RegulriTVA[cota_legala],-1)&lt;&gt;[@cota_tva],"TVA GRESIT","")</f>
        <v/>
      </c>
      <c r="S944">
        <f>IF([@data_scadentei]&lt;[@data_factura],"SCADENTA INAINTEA FACTURII","")</f>
        <v/>
      </c>
      <c r="T944">
        <f>IF(NETWORKDAYS.INTL([@data_factura],[@data_factura],1,tbl_SarbatoriLegale[data])=0,"ZI NELUCRATOARE","")</f>
        <v/>
      </c>
      <c r="U944">
        <f>IF([@motiv_anomalie]="","OK","DE INVESTIGAT")</f>
        <v/>
      </c>
      <c r="V944">
        <f>TEXTJOIN("; ",TRUE,[@flag_oras],[@flag_tva],[@flag_scadenta],[@flag_zi])</f>
        <v/>
      </c>
    </row>
    <row r="945">
      <c r="A945" t="inlineStr">
        <is>
          <t>F-2025-00944</t>
        </is>
      </c>
      <c r="B945" s="12" t="n">
        <v>46384</v>
      </c>
      <c r="C945" t="inlineStr">
        <is>
          <t>SC AROMET TRADING SRL</t>
        </is>
      </c>
      <c r="D945" t="inlineStr">
        <is>
          <t>Alba</t>
        </is>
      </c>
      <c r="E945" t="inlineStr">
        <is>
          <t>PRD-001</t>
        </is>
      </c>
      <c r="F945" t="inlineStr">
        <is>
          <t>Licenta ERP contabilitate</t>
        </is>
      </c>
      <c r="G945" t="inlineStr">
        <is>
          <t>Licențe software</t>
        </is>
      </c>
      <c r="H945" t="n">
        <v>2</v>
      </c>
      <c r="I945" t="n">
        <v>2314.56</v>
      </c>
      <c r="J945" t="n">
        <v>4629.12</v>
      </c>
      <c r="K945" s="13" t="n">
        <v>0.19</v>
      </c>
      <c r="L945" t="n">
        <v>879.53</v>
      </c>
      <c r="M945" t="n">
        <v>5508.65</v>
      </c>
      <c r="N945" t="inlineStr">
        <is>
          <t>RON</t>
        </is>
      </c>
      <c r="O945" t="inlineStr">
        <is>
          <t>Alba Iulia</t>
        </is>
      </c>
      <c r="P945" s="12" t="n">
        <v>46414</v>
      </c>
      <c r="Q945">
        <f>IF(COUNTIF(tbl_Localitati[oras_oficial],[@oras])=0,"ORAS NEALINIAT",IF(XLOOKUP([@oras],tbl_Localitati[oras_oficial],tbl_Localitati[judet],"?")&lt;&gt;[@judet],"JUDET NECORESPUNZATOR",""))</f>
        <v/>
      </c>
      <c r="R945">
        <f>IF(XLOOKUP([@categorie],tbl_RegulriTVA[categorie],tbl_RegulriTVA[cota_legala],-1)&lt;&gt;[@cota_tva],"TVA GRESIT","")</f>
        <v/>
      </c>
      <c r="S945">
        <f>IF([@data_scadentei]&lt;[@data_factura],"SCADENTA INAINTEA FACTURII","")</f>
        <v/>
      </c>
      <c r="T945">
        <f>IF(NETWORKDAYS.INTL([@data_factura],[@data_factura],1,tbl_SarbatoriLegale[data])=0,"ZI NELUCRATOARE","")</f>
        <v/>
      </c>
      <c r="U945">
        <f>IF([@motiv_anomalie]="","OK","DE INVESTIGAT")</f>
        <v/>
      </c>
      <c r="V945">
        <f>TEXTJOIN("; ",TRUE,[@flag_oras],[@flag_tva],[@flag_scadenta],[@flag_zi])</f>
        <v/>
      </c>
    </row>
    <row r="946">
      <c r="A946" t="inlineStr">
        <is>
          <t>F-2025-00945</t>
        </is>
      </c>
      <c r="B946" s="12" t="n">
        <v>46118</v>
      </c>
      <c r="C946" t="inlineStr">
        <is>
          <t>SC DACTECH SOLUTIONS SRL</t>
        </is>
      </c>
      <c r="D946" t="inlineStr">
        <is>
          <t>Argeș</t>
        </is>
      </c>
      <c r="E946" t="inlineStr">
        <is>
          <t>PRD-006</t>
        </is>
      </c>
      <c r="F946" t="inlineStr">
        <is>
          <t>Laptop business 15"</t>
        </is>
      </c>
      <c r="G946" t="inlineStr">
        <is>
          <t>Hardware IT</t>
        </is>
      </c>
      <c r="H946" t="n">
        <v>50</v>
      </c>
      <c r="I946" t="n">
        <v>719.8</v>
      </c>
      <c r="J946" t="n">
        <v>35990</v>
      </c>
      <c r="K946" s="13" t="n">
        <v>0.19</v>
      </c>
      <c r="L946" t="n">
        <v>6838.1</v>
      </c>
      <c r="M946" t="n">
        <v>42828.1</v>
      </c>
      <c r="N946" t="inlineStr">
        <is>
          <t>RON</t>
        </is>
      </c>
      <c r="O946" t="inlineStr">
        <is>
          <t>Pitești</t>
        </is>
      </c>
      <c r="P946" s="12" t="n">
        <v>46148</v>
      </c>
      <c r="Q946">
        <f>IF(COUNTIF(tbl_Localitati[oras_oficial],[@oras])=0,"ORAS NEALINIAT",IF(XLOOKUP([@oras],tbl_Localitati[oras_oficial],tbl_Localitati[judet],"?")&lt;&gt;[@judet],"JUDET NECORESPUNZATOR",""))</f>
        <v/>
      </c>
      <c r="R946">
        <f>IF(XLOOKUP([@categorie],tbl_RegulriTVA[categorie],tbl_RegulriTVA[cota_legala],-1)&lt;&gt;[@cota_tva],"TVA GRESIT","")</f>
        <v/>
      </c>
      <c r="S946">
        <f>IF([@data_scadentei]&lt;[@data_factura],"SCADENTA INAINTEA FACTURII","")</f>
        <v/>
      </c>
      <c r="T946">
        <f>IF(NETWORKDAYS.INTL([@data_factura],[@data_factura],1,tbl_SarbatoriLegale[data])=0,"ZI NELUCRATOARE","")</f>
        <v/>
      </c>
      <c r="U946">
        <f>IF([@motiv_anomalie]="","OK","DE INVESTIGAT")</f>
        <v/>
      </c>
      <c r="V946">
        <f>TEXTJOIN("; ",TRUE,[@flag_oras],[@flag_tva],[@flag_scadenta],[@flag_zi])</f>
        <v/>
      </c>
    </row>
    <row r="947">
      <c r="A947" t="inlineStr">
        <is>
          <t>F-2025-00946</t>
        </is>
      </c>
      <c r="B947" s="12" t="n">
        <v>46232</v>
      </c>
      <c r="C947" t="inlineStr">
        <is>
          <t>SC OMEGA SOFT SRL</t>
        </is>
      </c>
      <c r="D947" t="inlineStr">
        <is>
          <t>Dolj</t>
        </is>
      </c>
      <c r="E947" t="inlineStr">
        <is>
          <t>PRD-002</t>
        </is>
      </c>
      <c r="F947" t="inlineStr">
        <is>
          <t>Licenta ERP contabilitate</t>
        </is>
      </c>
      <c r="G947" t="inlineStr">
        <is>
          <t>Licențe software</t>
        </is>
      </c>
      <c r="H947" t="n">
        <v>5</v>
      </c>
      <c r="I947" t="n">
        <v>1132.24</v>
      </c>
      <c r="J947" t="n">
        <v>5661.2</v>
      </c>
      <c r="K947" s="13" t="n">
        <v>0.19</v>
      </c>
      <c r="L947" t="n">
        <v>1075.63</v>
      </c>
      <c r="M947" t="n">
        <v>6736.83</v>
      </c>
      <c r="N947" t="inlineStr">
        <is>
          <t>RON</t>
        </is>
      </c>
      <c r="O947" t="inlineStr">
        <is>
          <t>Craiova</t>
        </is>
      </c>
      <c r="P947" s="12" t="n">
        <v>46277</v>
      </c>
      <c r="Q947">
        <f>IF(COUNTIF(tbl_Localitati[oras_oficial],[@oras])=0,"ORAS NEALINIAT",IF(XLOOKUP([@oras],tbl_Localitati[oras_oficial],tbl_Localitati[judet],"?")&lt;&gt;[@judet],"JUDET NECORESPUNZATOR",""))</f>
        <v/>
      </c>
      <c r="R947">
        <f>IF(XLOOKUP([@categorie],tbl_RegulriTVA[categorie],tbl_RegulriTVA[cota_legala],-1)&lt;&gt;[@cota_tva],"TVA GRESIT","")</f>
        <v/>
      </c>
      <c r="S947">
        <f>IF([@data_scadentei]&lt;[@data_factura],"SCADENTA INAINTEA FACTURII","")</f>
        <v/>
      </c>
      <c r="T947">
        <f>IF(NETWORKDAYS.INTL([@data_factura],[@data_factura],1,tbl_SarbatoriLegale[data])=0,"ZI NELUCRATOARE","")</f>
        <v/>
      </c>
      <c r="U947">
        <f>IF([@motiv_anomalie]="","OK","DE INVESTIGAT")</f>
        <v/>
      </c>
      <c r="V947">
        <f>TEXTJOIN("; ",TRUE,[@flag_oras],[@flag_tva],[@flag_scadenta],[@flag_zi])</f>
        <v/>
      </c>
    </row>
    <row r="948">
      <c r="A948" t="inlineStr">
        <is>
          <t>F-2025-00947</t>
        </is>
      </c>
      <c r="B948" s="12" t="n">
        <v>46373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Manual proceduri interne</t>
        </is>
      </c>
      <c r="G948" t="inlineStr">
        <is>
          <t>Cărți și manuale</t>
        </is>
      </c>
      <c r="H948" t="n">
        <v>10</v>
      </c>
      <c r="I948" t="n">
        <v>345.39</v>
      </c>
      <c r="J948" t="n">
        <v>3453.9</v>
      </c>
      <c r="K948" s="13" t="n">
        <v>0.05</v>
      </c>
      <c r="L948" t="n">
        <v>172.7</v>
      </c>
      <c r="M948" t="n">
        <v>3626.6</v>
      </c>
      <c r="N948" t="inlineStr">
        <is>
          <t>RON</t>
        </is>
      </c>
      <c r="O948" t="inlineStr">
        <is>
          <t>Sibiu</t>
        </is>
      </c>
      <c r="P948" s="12" t="n">
        <v>46433</v>
      </c>
      <c r="Q948">
        <f>IF(COUNTIF(tbl_Localitati[oras_oficial],[@oras])=0,"ORAS NEALINIAT",IF(XLOOKUP([@oras],tbl_Localitati[oras_oficial],tbl_Localitati[judet],"?")&lt;&gt;[@judet],"JUDET NECORESPUNZATOR",""))</f>
        <v/>
      </c>
      <c r="R948">
        <f>IF(XLOOKUP([@categorie],tbl_RegulriTVA[categorie],tbl_RegulriTVA[cota_legala],-1)&lt;&gt;[@cota_tva],"TVA GRESIT","")</f>
        <v/>
      </c>
      <c r="S948">
        <f>IF([@data_scadentei]&lt;[@data_factura],"SCADENTA INAINTEA FACTURII","")</f>
        <v/>
      </c>
      <c r="T948">
        <f>IF(NETWORKDAYS.INTL([@data_factura],[@data_factura],1,tbl_SarbatoriLegale[data])=0,"ZI NELUCRATOARE","")</f>
        <v/>
      </c>
      <c r="U948">
        <f>IF([@motiv_anomalie]="","OK","DE INVESTIGAT")</f>
        <v/>
      </c>
      <c r="V948">
        <f>TEXTJOIN("; ",TRUE,[@flag_oras],[@flag_tva],[@flag_scadenta],[@flag_zi])</f>
        <v/>
      </c>
    </row>
    <row r="949">
      <c r="A949" t="inlineStr">
        <is>
          <t>F-2025-00948</t>
        </is>
      </c>
      <c r="B949" s="12" t="n">
        <v>46349</v>
      </c>
      <c r="C949" t="inlineStr">
        <is>
          <t>SC SOLARIS ENERGY SRL</t>
        </is>
      </c>
      <c r="D949" t="inlineStr">
        <is>
          <t>Prahova</t>
        </is>
      </c>
      <c r="E949" t="inlineStr">
        <is>
          <t>PRD-003</t>
        </is>
      </c>
      <c r="F949" t="inlineStr">
        <is>
          <t>Apa plata bax</t>
        </is>
      </c>
      <c r="G949" t="inlineStr">
        <is>
          <t>Alimente</t>
        </is>
      </c>
      <c r="H949" t="n">
        <v>3</v>
      </c>
      <c r="I949" t="n">
        <v>4142.26</v>
      </c>
      <c r="J949" t="n">
        <v>12426.78</v>
      </c>
      <c r="K949" s="13" t="n">
        <v>0.09</v>
      </c>
      <c r="L949" t="n">
        <v>1118.41</v>
      </c>
      <c r="M949" t="n">
        <v>13545.19</v>
      </c>
      <c r="N949" t="inlineStr">
        <is>
          <t>RON</t>
        </is>
      </c>
      <c r="O949" t="inlineStr">
        <is>
          <t>Câmpina</t>
        </is>
      </c>
      <c r="P949" s="12" t="n">
        <v>46379</v>
      </c>
      <c r="Q949">
        <f>IF(COUNTIF(tbl_Localitati[oras_oficial],[@oras])=0,"ORAS NEALINIAT",IF(XLOOKUP([@oras],tbl_Localitati[oras_oficial],tbl_Localitati[judet],"?")&lt;&gt;[@judet],"JUDET NECORESPUNZATOR",""))</f>
        <v/>
      </c>
      <c r="R949">
        <f>IF(XLOOKUP([@categorie],tbl_RegulriTVA[categorie],tbl_RegulriTVA[cota_legala],-1)&lt;&gt;[@cota_tva],"TVA GRESIT","")</f>
        <v/>
      </c>
      <c r="S949">
        <f>IF([@data_scadentei]&lt;[@data_factura],"SCADENTA INAINTEA FACTURII","")</f>
        <v/>
      </c>
      <c r="T949">
        <f>IF(NETWORKDAYS.INTL([@data_factura],[@data_factura],1,tbl_SarbatoriLegale[data])=0,"ZI NELUCRATOARE","")</f>
        <v/>
      </c>
      <c r="U949">
        <f>IF([@motiv_anomalie]="","OK","DE INVESTIGAT")</f>
        <v/>
      </c>
      <c r="V949">
        <f>TEXTJOIN("; ",TRUE,[@flag_oras],[@flag_tva],[@flag_scadenta],[@flag_zi])</f>
        <v/>
      </c>
    </row>
    <row r="950">
      <c r="A950" t="inlineStr">
        <is>
          <t>F-2025-00949</t>
        </is>
      </c>
      <c r="B950" s="12" t="n">
        <v>46252</v>
      </c>
      <c r="C950" t="inlineStr">
        <is>
          <t>SC INEXISTENT TRADING SRL</t>
        </is>
      </c>
      <c r="D950" t="inlineStr">
        <is>
          <t>Brașov</t>
        </is>
      </c>
      <c r="E950" t="inlineStr">
        <is>
          <t>PRD-006</t>
        </is>
      </c>
      <c r="F950" t="inlineStr">
        <is>
          <t>Audit infrastructura</t>
        </is>
      </c>
      <c r="G950" t="inlineStr">
        <is>
          <t>Servicii consultanță</t>
        </is>
      </c>
      <c r="H950" t="n">
        <v>5</v>
      </c>
      <c r="I950" t="n">
        <v>754.67</v>
      </c>
      <c r="J950" t="n">
        <v>3773.35</v>
      </c>
      <c r="K950" s="13" t="n">
        <v>0.19</v>
      </c>
      <c r="L950" t="n">
        <v>716.9400000000001</v>
      </c>
      <c r="M950" t="n">
        <v>4490.29</v>
      </c>
      <c r="N950" t="inlineStr">
        <is>
          <t>RON</t>
        </is>
      </c>
      <c r="O950" t="inlineStr">
        <is>
          <t>Făgăraș</t>
        </is>
      </c>
      <c r="P950" s="12" t="n">
        <v>46297</v>
      </c>
      <c r="Q950">
        <f>IF(COUNTIF(tbl_Localitati[oras_oficial],[@oras])=0,"ORAS NEALINIAT",IF(XLOOKUP([@oras],tbl_Localitati[oras_oficial],tbl_Localitati[judet],"?")&lt;&gt;[@judet],"JUDET NECORESPUNZATOR",""))</f>
        <v/>
      </c>
      <c r="R950">
        <f>IF(XLOOKUP([@categorie],tbl_RegulriTVA[categorie],tbl_RegulriTVA[cota_legala],-1)&lt;&gt;[@cota_tva],"TVA GRESIT","")</f>
        <v/>
      </c>
      <c r="S950">
        <f>IF([@data_scadentei]&lt;[@data_factura],"SCADENTA INAINTEA FACTURII","")</f>
        <v/>
      </c>
      <c r="T950">
        <f>IF(NETWORKDAYS.INTL([@data_factura],[@data_factura],1,tbl_SarbatoriLegale[data])=0,"ZI NELUCRATOARE","")</f>
        <v/>
      </c>
      <c r="U950">
        <f>IF([@motiv_anomalie]="","OK","DE INVESTIGAT")</f>
        <v/>
      </c>
      <c r="V950">
        <f>TEXTJOIN("; ",TRUE,[@flag_oras],[@flag_tva],[@flag_scadenta],[@flag_zi])</f>
        <v/>
      </c>
    </row>
    <row r="951">
      <c r="A951" t="inlineStr">
        <is>
          <t>F-2025-00950</t>
        </is>
      </c>
      <c r="B951" s="12" t="n">
        <v>46175</v>
      </c>
      <c r="C951" t="inlineStr">
        <is>
          <t>SC PROVITA MEDICAL SRL</t>
        </is>
      </c>
      <c r="D951" t="inlineStr">
        <is>
          <t>Mureș</t>
        </is>
      </c>
      <c r="E951" t="inlineStr">
        <is>
          <t>PRD-001</t>
        </is>
      </c>
      <c r="F951" t="inlineStr">
        <is>
          <t>Manual proceduri interne</t>
        </is>
      </c>
      <c r="G951" t="inlineStr">
        <is>
          <t>Cărți și manuale</t>
        </is>
      </c>
      <c r="H951" t="n">
        <v>5</v>
      </c>
      <c r="I951" t="n">
        <v>2453.82</v>
      </c>
      <c r="J951" t="n">
        <v>12269.1</v>
      </c>
      <c r="K951" s="13" t="n">
        <v>0.05</v>
      </c>
      <c r="L951" t="n">
        <v>613.46</v>
      </c>
      <c r="M951" t="n">
        <v>12882.56</v>
      </c>
      <c r="N951" t="inlineStr">
        <is>
          <t>RON</t>
        </is>
      </c>
      <c r="O951" t="inlineStr">
        <is>
          <t>Târgu Mureș</t>
        </is>
      </c>
      <c r="P951" s="12" t="n">
        <v>46205</v>
      </c>
      <c r="Q951">
        <f>IF(COUNTIF(tbl_Localitati[oras_oficial],[@oras])=0,"ORAS NEALINIAT",IF(XLOOKUP([@oras],tbl_Localitati[oras_oficial],tbl_Localitati[judet],"?")&lt;&gt;[@judet],"JUDET NECORESPUNZATOR",""))</f>
        <v/>
      </c>
      <c r="R951">
        <f>IF(XLOOKUP([@categorie],tbl_RegulriTVA[categorie],tbl_RegulriTVA[cota_legala],-1)&lt;&gt;[@cota_tva],"TVA GRESIT","")</f>
        <v/>
      </c>
      <c r="S951">
        <f>IF([@data_scadentei]&lt;[@data_factura],"SCADENTA INAINTEA FACTURII","")</f>
        <v/>
      </c>
      <c r="T951">
        <f>IF(NETWORKDAYS.INTL([@data_factura],[@data_factura],1,tbl_SarbatoriLegale[data])=0,"ZI NELUCRATOARE","")</f>
        <v/>
      </c>
      <c r="U951">
        <f>IF([@motiv_anomalie]="","OK","DE INVESTIGAT")</f>
        <v/>
      </c>
      <c r="V951">
        <f>TEXTJOIN("; ",TRUE,[@flag_oras],[@flag_tva],[@flag_scadenta],[@flag_zi])</f>
        <v/>
      </c>
    </row>
    <row r="952">
      <c r="A952" t="inlineStr">
        <is>
          <t>F-2025-00951</t>
        </is>
      </c>
      <c r="B952" s="12" t="n">
        <v>46211</v>
      </c>
      <c r="C952" t="inlineStr">
        <is>
          <t>SC SOLARIS ENERGY SRL</t>
        </is>
      </c>
      <c r="D952" t="inlineStr">
        <is>
          <t>Prahova</t>
        </is>
      </c>
      <c r="E952" t="inlineStr">
        <is>
          <t>PRD-001</t>
        </is>
      </c>
      <c r="F952" t="inlineStr">
        <is>
          <t>Licenta Office 365 anuala</t>
        </is>
      </c>
      <c r="G952" t="inlineStr">
        <is>
          <t>Licențe software</t>
        </is>
      </c>
      <c r="H952" t="n">
        <v>5</v>
      </c>
      <c r="I952" t="n">
        <v>2441.18</v>
      </c>
      <c r="J952" t="n">
        <v>12205.9</v>
      </c>
      <c r="K952" s="13" t="n">
        <v>0.19</v>
      </c>
      <c r="L952" t="n">
        <v>2319.12</v>
      </c>
      <c r="M952" t="n">
        <v>14525.02</v>
      </c>
      <c r="N952" t="inlineStr">
        <is>
          <t>RON</t>
        </is>
      </c>
      <c r="O952" t="inlineStr">
        <is>
          <t>Câmpina</t>
        </is>
      </c>
      <c r="P952" s="12" t="n">
        <v>46241</v>
      </c>
      <c r="Q952">
        <f>IF(COUNTIF(tbl_Localitati[oras_oficial],[@oras])=0,"ORAS NEALINIAT",IF(XLOOKUP([@oras],tbl_Localitati[oras_oficial],tbl_Localitati[judet],"?")&lt;&gt;[@judet],"JUDET NECORESPUNZATOR",""))</f>
        <v/>
      </c>
      <c r="R952">
        <f>IF(XLOOKUP([@categorie],tbl_RegulriTVA[categorie],tbl_RegulriTVA[cota_legala],-1)&lt;&gt;[@cota_tva],"TVA GRESIT","")</f>
        <v/>
      </c>
      <c r="S952">
        <f>IF([@data_scadentei]&lt;[@data_factura],"SCADENTA INAINTEA FACTURII","")</f>
        <v/>
      </c>
      <c r="T952">
        <f>IF(NETWORKDAYS.INTL([@data_factura],[@data_factura],1,tbl_SarbatoriLegale[data])=0,"ZI NELUCRATOARE","")</f>
        <v/>
      </c>
      <c r="U952">
        <f>IF([@motiv_anomalie]="","OK","DE INVESTIGAT")</f>
        <v/>
      </c>
      <c r="V952">
        <f>TEXTJOIN("; ",TRUE,[@flag_oras],[@flag_tva],[@flag_scadenta],[@flag_zi])</f>
        <v/>
      </c>
    </row>
    <row r="953">
      <c r="A953" t="inlineStr">
        <is>
          <t>F-2025-00952</t>
        </is>
      </c>
      <c r="B953" s="12" t="n">
        <v>46212</v>
      </c>
      <c r="C953" t="inlineStr">
        <is>
          <t>SC NORDIS DISTRIBUTIE SRL</t>
        </is>
      </c>
      <c r="D953" t="inlineStr">
        <is>
          <t>Constanța</t>
        </is>
      </c>
      <c r="E953" t="inlineStr">
        <is>
          <t>PRD-003</t>
        </is>
      </c>
      <c r="F953" t="inlineStr">
        <is>
          <t>Licenta Office 365 anuala</t>
        </is>
      </c>
      <c r="G953" t="inlineStr">
        <is>
          <t>Licențe software</t>
        </is>
      </c>
      <c r="H953" t="n">
        <v>1</v>
      </c>
      <c r="I953" t="n">
        <v>4387.34</v>
      </c>
      <c r="J953" t="n">
        <v>4387.34</v>
      </c>
      <c r="K953" s="13" t="n">
        <v>0.19</v>
      </c>
      <c r="L953" t="n">
        <v>833.59</v>
      </c>
      <c r="M953" t="n">
        <v>5220.93</v>
      </c>
      <c r="N953" t="inlineStr">
        <is>
          <t>RON</t>
        </is>
      </c>
      <c r="O953" t="inlineStr">
        <is>
          <t>Mangalia</t>
        </is>
      </c>
      <c r="P953" s="12" t="n">
        <v>46272</v>
      </c>
      <c r="Q953">
        <f>IF(COUNTIF(tbl_Localitati[oras_oficial],[@oras])=0,"ORAS NEALINIAT",IF(XLOOKUP([@oras],tbl_Localitati[oras_oficial],tbl_Localitati[judet],"?")&lt;&gt;[@judet],"JUDET NECORESPUNZATOR",""))</f>
        <v/>
      </c>
      <c r="R953">
        <f>IF(XLOOKUP([@categorie],tbl_RegulriTVA[categorie],tbl_RegulriTVA[cota_legala],-1)&lt;&gt;[@cota_tva],"TVA GRESIT","")</f>
        <v/>
      </c>
      <c r="S953">
        <f>IF([@data_scadentei]&lt;[@data_factura],"SCADENTA INAINTEA FACTURII","")</f>
        <v/>
      </c>
      <c r="T953">
        <f>IF(NETWORKDAYS.INTL([@data_factura],[@data_factura],1,tbl_SarbatoriLegale[data])=0,"ZI NELUCRATOARE","")</f>
        <v/>
      </c>
      <c r="U953">
        <f>IF([@motiv_anomalie]="","OK","DE INVESTIGAT")</f>
        <v/>
      </c>
      <c r="V953">
        <f>TEXTJOIN("; ",TRUE,[@flag_oras],[@flag_tva],[@flag_scadenta],[@flag_zi])</f>
        <v/>
      </c>
    </row>
    <row r="954">
      <c r="A954" t="inlineStr">
        <is>
          <t>F-2025-00953</t>
        </is>
      </c>
      <c r="B954" s="12" t="n">
        <v>46352</v>
      </c>
      <c r="C954" t="inlineStr">
        <is>
          <t>SC DACTECH SOLUTIONS SRL</t>
        </is>
      </c>
      <c r="D954" t="inlineStr">
        <is>
          <t>Argeș</t>
        </is>
      </c>
      <c r="E954" t="inlineStr">
        <is>
          <t>PRD-002</t>
        </is>
      </c>
      <c r="F954" t="inlineStr">
        <is>
          <t>Suport tehnic anual</t>
        </is>
      </c>
      <c r="G954" t="inlineStr">
        <is>
          <t>Servicii consultanță</t>
        </is>
      </c>
      <c r="H954" t="n">
        <v>3</v>
      </c>
      <c r="I954" t="n">
        <v>1048.17</v>
      </c>
      <c r="J954" t="n">
        <v>3144.51</v>
      </c>
      <c r="K954" s="13" t="n">
        <v>0.19</v>
      </c>
      <c r="L954" t="n">
        <v>597.46</v>
      </c>
      <c r="M954" t="n">
        <v>3741.97</v>
      </c>
      <c r="N954" t="inlineStr">
        <is>
          <t>RON</t>
        </is>
      </c>
      <c r="O954" t="inlineStr">
        <is>
          <t>Pitești</t>
        </is>
      </c>
      <c r="P954" s="12" t="n">
        <v>46367</v>
      </c>
      <c r="Q954">
        <f>IF(COUNTIF(tbl_Localitati[oras_oficial],[@oras])=0,"ORAS NEALINIAT",IF(XLOOKUP([@oras],tbl_Localitati[oras_oficial],tbl_Localitati[judet],"?")&lt;&gt;[@judet],"JUDET NECORESPUNZATOR",""))</f>
        <v/>
      </c>
      <c r="R954">
        <f>IF(XLOOKUP([@categorie],tbl_RegulriTVA[categorie],tbl_RegulriTVA[cota_legala],-1)&lt;&gt;[@cota_tva],"TVA GRESIT","")</f>
        <v/>
      </c>
      <c r="S954">
        <f>IF([@data_scadentei]&lt;[@data_factura],"SCADENTA INAINTEA FACTURII","")</f>
        <v/>
      </c>
      <c r="T954">
        <f>IF(NETWORKDAYS.INTL([@data_factura],[@data_factura],1,tbl_SarbatoriLegale[data])=0,"ZI NELUCRATOARE","")</f>
        <v/>
      </c>
      <c r="U954">
        <f>IF([@motiv_anomalie]="","OK","DE INVESTIGAT")</f>
        <v/>
      </c>
      <c r="V954">
        <f>TEXTJOIN("; ",TRUE,[@flag_oras],[@flag_tva],[@flag_scadenta],[@flag_zi])</f>
        <v/>
      </c>
    </row>
    <row r="955">
      <c r="A955" t="inlineStr">
        <is>
          <t>F-2025-00954</t>
        </is>
      </c>
      <c r="B955" s="12" t="n">
        <v>46076</v>
      </c>
      <c r="C955" t="inlineStr">
        <is>
          <t>SC ELECTROBUILD SRL</t>
        </is>
      </c>
      <c r="D955" t="inlineStr">
        <is>
          <t>Bacău</t>
        </is>
      </c>
      <c r="E955" t="inlineStr">
        <is>
          <t>PRD-007</t>
        </is>
      </c>
      <c r="F955" t="inlineStr">
        <is>
          <t>Abonament suita cloud</t>
        </is>
      </c>
      <c r="G955" t="inlineStr">
        <is>
          <t>Licențe software</t>
        </is>
      </c>
      <c r="H955" t="n">
        <v>10</v>
      </c>
      <c r="I955" t="n">
        <v>171.82</v>
      </c>
      <c r="J955" t="n">
        <v>1718.2</v>
      </c>
      <c r="K955" s="13" t="n">
        <v>0.19</v>
      </c>
      <c r="L955" t="n">
        <v>326.46</v>
      </c>
      <c r="M955" t="n">
        <v>2044.66</v>
      </c>
      <c r="N955" t="inlineStr">
        <is>
          <t>RON</t>
        </is>
      </c>
      <c r="O955" t="inlineStr">
        <is>
          <t>Bacău</t>
        </is>
      </c>
      <c r="P955" s="12" t="n">
        <v>46106</v>
      </c>
      <c r="Q955">
        <f>IF(COUNTIF(tbl_Localitati[oras_oficial],[@oras])=0,"ORAS NEALINIAT",IF(XLOOKUP([@oras],tbl_Localitati[oras_oficial],tbl_Localitati[judet],"?")&lt;&gt;[@judet],"JUDET NECORESPUNZATOR",""))</f>
        <v/>
      </c>
      <c r="R955">
        <f>IF(XLOOKUP([@categorie],tbl_RegulriTVA[categorie],tbl_RegulriTVA[cota_legala],-1)&lt;&gt;[@cota_tva],"TVA GRESIT","")</f>
        <v/>
      </c>
      <c r="S955">
        <f>IF([@data_scadentei]&lt;[@data_factura],"SCADENTA INAINTEA FACTURII","")</f>
        <v/>
      </c>
      <c r="T955">
        <f>IF(NETWORKDAYS.INTL([@data_factura],[@data_factura],1,tbl_SarbatoriLegale[data])=0,"ZI NELUCRATOARE","")</f>
        <v/>
      </c>
      <c r="U955">
        <f>IF([@motiv_anomalie]="","OK","DE INVESTIGAT")</f>
        <v/>
      </c>
      <c r="V955">
        <f>TEXTJOIN("; ",TRUE,[@flag_oras],[@flag_tva],[@flag_scadenta],[@flag_zi])</f>
        <v/>
      </c>
    </row>
    <row r="956">
      <c r="A956" t="inlineStr">
        <is>
          <t>F-2025-00955</t>
        </is>
      </c>
      <c r="B956" s="12" t="n">
        <v>46230</v>
      </c>
      <c r="C956" t="inlineStr">
        <is>
          <t>SC NORDIS DISTRIBUTIE SRL</t>
        </is>
      </c>
      <c r="D956" t="inlineStr">
        <is>
          <t>Constanța</t>
        </is>
      </c>
      <c r="E956" t="inlineStr">
        <is>
          <t>PRD-005</t>
        </is>
      </c>
      <c r="F956" t="inlineStr">
        <is>
          <t>Licenta antivirus enterprise</t>
        </is>
      </c>
      <c r="G956" t="inlineStr">
        <is>
          <t>Licențe software</t>
        </is>
      </c>
      <c r="H956" t="n">
        <v>2</v>
      </c>
      <c r="I956" t="n">
        <v>247.1</v>
      </c>
      <c r="J956" t="n">
        <v>494.2</v>
      </c>
      <c r="K956" s="13" t="n">
        <v>0.19</v>
      </c>
      <c r="L956" t="n">
        <v>93.90000000000001</v>
      </c>
      <c r="M956" t="n">
        <v>588.1</v>
      </c>
      <c r="N956" t="inlineStr">
        <is>
          <t>RON</t>
        </is>
      </c>
      <c r="O956" t="inlineStr">
        <is>
          <t>Mangalia</t>
        </is>
      </c>
      <c r="P956" s="12" t="n">
        <v>46290</v>
      </c>
      <c r="Q956">
        <f>IF(COUNTIF(tbl_Localitati[oras_oficial],[@oras])=0,"ORAS NEALINIAT",IF(XLOOKUP([@oras],tbl_Localitati[oras_oficial],tbl_Localitati[judet],"?")&lt;&gt;[@judet],"JUDET NECORESPUNZATOR",""))</f>
        <v/>
      </c>
      <c r="R956">
        <f>IF(XLOOKUP([@categorie],tbl_RegulriTVA[categorie],tbl_RegulriTVA[cota_legala],-1)&lt;&gt;[@cota_tva],"TVA GRESIT","")</f>
        <v/>
      </c>
      <c r="S956">
        <f>IF([@data_scadentei]&lt;[@data_factura],"SCADENTA INAINTEA FACTURII","")</f>
        <v/>
      </c>
      <c r="T956">
        <f>IF(NETWORKDAYS.INTL([@data_factura],[@data_factura],1,tbl_SarbatoriLegale[data])=0,"ZI NELUCRATOARE","")</f>
        <v/>
      </c>
      <c r="U956">
        <f>IF([@motiv_anomalie]="","OK","DE INVESTIGAT")</f>
        <v/>
      </c>
      <c r="V956">
        <f>TEXTJOIN("; ",TRUE,[@flag_oras],[@flag_tva],[@flag_scadenta],[@flag_zi])</f>
        <v/>
      </c>
    </row>
    <row r="957">
      <c r="A957" t="inlineStr">
        <is>
          <t>F-2025-00956</t>
        </is>
      </c>
      <c r="B957" s="12" t="n">
        <v>46203</v>
      </c>
      <c r="C957" t="inlineStr">
        <is>
          <t>SC OMEGA SOFT SRL</t>
        </is>
      </c>
      <c r="D957" t="inlineStr">
        <is>
          <t>Dolj</t>
        </is>
      </c>
      <c r="E957" t="inlineStr">
        <is>
          <t>PRD-006</t>
        </is>
      </c>
      <c r="F957" t="inlineStr">
        <is>
          <t>Manual proceduri interne</t>
        </is>
      </c>
      <c r="G957" t="inlineStr">
        <is>
          <t>Cărți și manuale</t>
        </is>
      </c>
      <c r="H957" t="n">
        <v>10</v>
      </c>
      <c r="I957" t="n">
        <v>747.22</v>
      </c>
      <c r="J957" t="n">
        <v>7472.2</v>
      </c>
      <c r="K957" s="13" t="n">
        <v>0.05</v>
      </c>
      <c r="L957" t="n">
        <v>373.61</v>
      </c>
      <c r="M957" t="n">
        <v>7845.81</v>
      </c>
      <c r="N957" t="inlineStr">
        <is>
          <t>RON</t>
        </is>
      </c>
      <c r="O957" t="inlineStr">
        <is>
          <t>Craiova</t>
        </is>
      </c>
      <c r="P957" s="12" t="n">
        <v>46218</v>
      </c>
      <c r="Q957">
        <f>IF(COUNTIF(tbl_Localitati[oras_oficial],[@oras])=0,"ORAS NEALINIAT",IF(XLOOKUP([@oras],tbl_Localitati[oras_oficial],tbl_Localitati[judet],"?")&lt;&gt;[@judet],"JUDET NECORESPUNZATOR",""))</f>
        <v/>
      </c>
      <c r="R957">
        <f>IF(XLOOKUP([@categorie],tbl_RegulriTVA[categorie],tbl_RegulriTVA[cota_legala],-1)&lt;&gt;[@cota_tva],"TVA GRESIT","")</f>
        <v/>
      </c>
      <c r="S957">
        <f>IF([@data_scadentei]&lt;[@data_factura],"SCADENTA INAINTEA FACTURII","")</f>
        <v/>
      </c>
      <c r="T957">
        <f>IF(NETWORKDAYS.INTL([@data_factura],[@data_factura],1,tbl_SarbatoriLegale[data])=0,"ZI NELUCRATOARE","")</f>
        <v/>
      </c>
      <c r="U957">
        <f>IF([@motiv_anomalie]="","OK","DE INVESTIGAT")</f>
        <v/>
      </c>
      <c r="V957">
        <f>TEXTJOIN("; ",TRUE,[@flag_oras],[@flag_tva],[@flag_scadenta],[@flag_zi])</f>
        <v/>
      </c>
    </row>
    <row r="958">
      <c r="A958" t="inlineStr">
        <is>
          <t>F-2025-00957</t>
        </is>
      </c>
      <c r="B958" s="12" t="n">
        <v>46052</v>
      </c>
      <c r="C958" t="inlineStr">
        <is>
          <t>SC AROMET TRADING SRL</t>
        </is>
      </c>
      <c r="D958" t="inlineStr">
        <is>
          <t>Alba</t>
        </is>
      </c>
      <c r="E958" t="inlineStr">
        <is>
          <t>PRD-009</t>
        </is>
      </c>
      <c r="F958" t="inlineStr">
        <is>
          <t>Suport tehnic anual</t>
        </is>
      </c>
      <c r="G958" t="inlineStr">
        <is>
          <t>Servicii consultanță</t>
        </is>
      </c>
      <c r="H958" t="n">
        <v>20</v>
      </c>
      <c r="I958" t="n">
        <v>29.01</v>
      </c>
      <c r="J958" t="n">
        <v>580.2</v>
      </c>
      <c r="K958" s="13" t="n">
        <v>0.19</v>
      </c>
      <c r="L958" t="n">
        <v>110.24</v>
      </c>
      <c r="M958" t="n">
        <v>690.4400000000001</v>
      </c>
      <c r="N958" t="inlineStr">
        <is>
          <t>RON</t>
        </is>
      </c>
      <c r="O958" t="inlineStr">
        <is>
          <t>Alba Iulia</t>
        </is>
      </c>
      <c r="P958" s="12" t="n">
        <v>46067</v>
      </c>
      <c r="Q958">
        <f>IF(COUNTIF(tbl_Localitati[oras_oficial],[@oras])=0,"ORAS NEALINIAT",IF(XLOOKUP([@oras],tbl_Localitati[oras_oficial],tbl_Localitati[judet],"?")&lt;&gt;[@judet],"JUDET NECORESPUNZATOR",""))</f>
        <v/>
      </c>
      <c r="R958">
        <f>IF(XLOOKUP([@categorie],tbl_RegulriTVA[categorie],tbl_RegulriTVA[cota_legala],-1)&lt;&gt;[@cota_tva],"TVA GRESIT","")</f>
        <v/>
      </c>
      <c r="S958">
        <f>IF([@data_scadentei]&lt;[@data_factura],"SCADENTA INAINTEA FACTURII","")</f>
        <v/>
      </c>
      <c r="T958">
        <f>IF(NETWORKDAYS.INTL([@data_factura],[@data_factura],1,tbl_SarbatoriLegale[data])=0,"ZI NELUCRATOARE","")</f>
        <v/>
      </c>
      <c r="U958">
        <f>IF([@motiv_anomalie]="","OK","DE INVESTIGAT")</f>
        <v/>
      </c>
      <c r="V958">
        <f>TEXTJOIN("; ",TRUE,[@flag_oras],[@flag_tva],[@flag_scadenta],[@flag_zi])</f>
        <v/>
      </c>
    </row>
    <row r="959">
      <c r="A959" t="inlineStr">
        <is>
          <t>F-2025-00958</t>
        </is>
      </c>
      <c r="B959" s="12" t="n">
        <v>46043</v>
      </c>
      <c r="C959" t="inlineStr">
        <is>
          <t>SC INTEGROMED SA</t>
        </is>
      </c>
      <c r="D959" t="inlineStr">
        <is>
          <t>Cluj</t>
        </is>
      </c>
      <c r="E959" t="inlineStr">
        <is>
          <t>PRD-005</t>
        </is>
      </c>
      <c r="F959" t="inlineStr">
        <is>
          <t>Server rack 1U</t>
        </is>
      </c>
      <c r="G959" t="inlineStr">
        <is>
          <t>Hardware IT</t>
        </is>
      </c>
      <c r="H959" t="n">
        <v>1</v>
      </c>
      <c r="I959" t="n">
        <v>255.19</v>
      </c>
      <c r="J959" t="n">
        <v>255.19</v>
      </c>
      <c r="K959" s="13" t="n">
        <v>0.19</v>
      </c>
      <c r="L959" t="n">
        <v>48.49</v>
      </c>
      <c r="M959" t="n">
        <v>303.68</v>
      </c>
      <c r="N959" t="inlineStr">
        <is>
          <t>RON</t>
        </is>
      </c>
      <c r="O959" t="inlineStr">
        <is>
          <t>Cluj-Napoca</t>
        </is>
      </c>
      <c r="P959" s="12" t="n">
        <v>46058</v>
      </c>
      <c r="Q959">
        <f>IF(COUNTIF(tbl_Localitati[oras_oficial],[@oras])=0,"ORAS NEALINIAT",IF(XLOOKUP([@oras],tbl_Localitati[oras_oficial],tbl_Localitati[judet],"?")&lt;&gt;[@judet],"JUDET NECORESPUNZATOR",""))</f>
        <v/>
      </c>
      <c r="R959">
        <f>IF(XLOOKUP([@categorie],tbl_RegulriTVA[categorie],tbl_RegulriTVA[cota_legala],-1)&lt;&gt;[@cota_tva],"TVA GRESIT","")</f>
        <v/>
      </c>
      <c r="S959">
        <f>IF([@data_scadentei]&lt;[@data_factura],"SCADENTA INAINTEA FACTURII","")</f>
        <v/>
      </c>
      <c r="T959">
        <f>IF(NETWORKDAYS.INTL([@data_factura],[@data_factura],1,tbl_SarbatoriLegale[data])=0,"ZI NELUCRATOARE","")</f>
        <v/>
      </c>
      <c r="U959">
        <f>IF([@motiv_anomalie]="","OK","DE INVESTIGAT")</f>
        <v/>
      </c>
      <c r="V959">
        <f>TEXTJOIN("; ",TRUE,[@flag_oras],[@flag_tva],[@flag_scadenta],[@flag_zi])</f>
        <v/>
      </c>
    </row>
    <row r="960">
      <c r="A960" t="inlineStr">
        <is>
          <t>F-2025-00959</t>
        </is>
      </c>
      <c r="B960" s="12" t="n">
        <v>46134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Telefon IP birou</t>
        </is>
      </c>
      <c r="G960" t="inlineStr">
        <is>
          <t>Echipamente birou</t>
        </is>
      </c>
      <c r="H960" t="n">
        <v>1</v>
      </c>
      <c r="I960" t="n">
        <v>244.62</v>
      </c>
      <c r="J960" t="n">
        <v>244.62</v>
      </c>
      <c r="K960" s="13" t="n">
        <v>0.19</v>
      </c>
      <c r="L960" t="n">
        <v>46.48</v>
      </c>
      <c r="M960" t="n">
        <v>291.1</v>
      </c>
      <c r="N960" t="inlineStr">
        <is>
          <t>EUR</t>
        </is>
      </c>
      <c r="O960" t="inlineStr">
        <is>
          <t>Sibiu</t>
        </is>
      </c>
      <c r="P960" s="12" t="n">
        <v>46194</v>
      </c>
      <c r="Q960">
        <f>IF(COUNTIF(tbl_Localitati[oras_oficial],[@oras])=0,"ORAS NEALINIAT",IF(XLOOKUP([@oras],tbl_Localitati[oras_oficial],tbl_Localitati[judet],"?")&lt;&gt;[@judet],"JUDET NECORESPUNZATOR",""))</f>
        <v/>
      </c>
      <c r="R960">
        <f>IF(XLOOKUP([@categorie],tbl_RegulriTVA[categorie],tbl_RegulriTVA[cota_legala],-1)&lt;&gt;[@cota_tva],"TVA GRESIT","")</f>
        <v/>
      </c>
      <c r="S960">
        <f>IF([@data_scadentei]&lt;[@data_factura],"SCADENTA INAINTEA FACTURII","")</f>
        <v/>
      </c>
      <c r="T960">
        <f>IF(NETWORKDAYS.INTL([@data_factura],[@data_factura],1,tbl_SarbatoriLegale[data])=0,"ZI NELUCRATOARE","")</f>
        <v/>
      </c>
      <c r="U960">
        <f>IF([@motiv_anomalie]="","OK","DE INVESTIGAT")</f>
        <v/>
      </c>
      <c r="V960">
        <f>TEXTJOIN("; ",TRUE,[@flag_oras],[@flag_tva],[@flag_scadenta],[@flag_zi])</f>
        <v/>
      </c>
    </row>
    <row r="961">
      <c r="A961" t="inlineStr">
        <is>
          <t>F-2025-00960</t>
        </is>
      </c>
      <c r="B961" s="12" t="n">
        <v>46286</v>
      </c>
      <c r="C961" t="inlineStr">
        <is>
          <t>SC METALPLAST INVEST SA</t>
        </is>
      </c>
      <c r="D961" t="inlineStr">
        <is>
          <t>Cluj</t>
        </is>
      </c>
      <c r="E961" t="inlineStr">
        <is>
          <t>PRD-011</t>
        </is>
      </c>
      <c r="F961" t="inlineStr">
        <is>
          <t>Multifunctionala laser</t>
        </is>
      </c>
      <c r="G961" t="inlineStr">
        <is>
          <t>Echipamente birou</t>
        </is>
      </c>
      <c r="H961" t="n">
        <v>5</v>
      </c>
      <c r="I961" t="n">
        <v>46.5</v>
      </c>
      <c r="J961" t="n">
        <v>232.5</v>
      </c>
      <c r="K961" s="13" t="n">
        <v>0.19</v>
      </c>
      <c r="L961" t="n">
        <v>44.17</v>
      </c>
      <c r="M961" t="n">
        <v>276.67</v>
      </c>
      <c r="N961" t="inlineStr">
        <is>
          <t>RON</t>
        </is>
      </c>
      <c r="O961" t="inlineStr">
        <is>
          <t>Turda</t>
        </is>
      </c>
      <c r="P961" s="12" t="n">
        <v>46316</v>
      </c>
      <c r="Q961">
        <f>IF(COUNTIF(tbl_Localitati[oras_oficial],[@oras])=0,"ORAS NEALINIAT",IF(XLOOKUP([@oras],tbl_Localitati[oras_oficial],tbl_Localitati[judet],"?")&lt;&gt;[@judet],"JUDET NECORESPUNZATOR",""))</f>
        <v/>
      </c>
      <c r="R961">
        <f>IF(XLOOKUP([@categorie],tbl_RegulriTVA[categorie],tbl_RegulriTVA[cota_legala],-1)&lt;&gt;[@cota_tva],"TVA GRESIT","")</f>
        <v/>
      </c>
      <c r="S961">
        <f>IF([@data_scadentei]&lt;[@data_factura],"SCADENTA INAINTEA FACTURII","")</f>
        <v/>
      </c>
      <c r="T961">
        <f>IF(NETWORKDAYS.INTL([@data_factura],[@data_factura],1,tbl_SarbatoriLegale[data])=0,"ZI NELUCRATOARE","")</f>
        <v/>
      </c>
      <c r="U961">
        <f>IF([@motiv_anomalie]="","OK","DE INVESTIGAT")</f>
        <v/>
      </c>
      <c r="V961">
        <f>TEXTJOIN("; ",TRUE,[@flag_oras],[@flag_tva],[@flag_scadenta],[@flag_zi])</f>
        <v/>
      </c>
    </row>
    <row r="962">
      <c r="A962" t="inlineStr">
        <is>
          <t>F-2025-00961</t>
        </is>
      </c>
      <c r="B962" s="12" t="n">
        <v>46226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Apa plata bax</t>
        </is>
      </c>
      <c r="G962" t="inlineStr">
        <is>
          <t>Alimente</t>
        </is>
      </c>
      <c r="H962" t="n">
        <v>3</v>
      </c>
      <c r="I962" t="n">
        <v>237.94</v>
      </c>
      <c r="J962" t="n">
        <v>713.8200000000001</v>
      </c>
      <c r="K962" s="13" t="n">
        <v>0.09</v>
      </c>
      <c r="L962" t="n">
        <v>64.23999999999999</v>
      </c>
      <c r="M962" t="n">
        <v>778.0599999999999</v>
      </c>
      <c r="N962" t="inlineStr">
        <is>
          <t>RON</t>
        </is>
      </c>
      <c r="O962" t="inlineStr">
        <is>
          <t>Sibiu</t>
        </is>
      </c>
      <c r="P962" s="12" t="n">
        <v>46271</v>
      </c>
      <c r="Q962">
        <f>IF(COUNTIF(tbl_Localitati[oras_oficial],[@oras])=0,"ORAS NEALINIAT",IF(XLOOKUP([@oras],tbl_Localitati[oras_oficial],tbl_Localitati[judet],"?")&lt;&gt;[@judet],"JUDET NECORESPUNZATOR",""))</f>
        <v/>
      </c>
      <c r="R962">
        <f>IF(XLOOKUP([@categorie],tbl_RegulriTVA[categorie],tbl_RegulriTVA[cota_legala],-1)&lt;&gt;[@cota_tva],"TVA GRESIT","")</f>
        <v/>
      </c>
      <c r="S962">
        <f>IF([@data_scadentei]&lt;[@data_factura],"SCADENTA INAINTEA FACTURII","")</f>
        <v/>
      </c>
      <c r="T962">
        <f>IF(NETWORKDAYS.INTL([@data_factura],[@data_factura],1,tbl_SarbatoriLegale[data])=0,"ZI NELUCRATOARE","")</f>
        <v/>
      </c>
      <c r="U962">
        <f>IF([@motiv_anomalie]="","OK","DE INVESTIGAT")</f>
        <v/>
      </c>
      <c r="V962">
        <f>TEXTJOIN("; ",TRUE,[@flag_oras],[@flag_tva],[@flag_scadenta],[@flag_zi])</f>
        <v/>
      </c>
    </row>
    <row r="963">
      <c r="A963" t="inlineStr">
        <is>
          <t>F-2025-00962</t>
        </is>
      </c>
      <c r="B963" s="12" t="n">
        <v>46058</v>
      </c>
      <c r="C963" t="inlineStr">
        <is>
          <t>SC OMEGA SOFT SRL</t>
        </is>
      </c>
      <c r="D963" t="inlineStr">
        <is>
          <t>Dolj</t>
        </is>
      </c>
      <c r="E963" t="inlineStr">
        <is>
          <t>PRD-005</t>
        </is>
      </c>
      <c r="F963" t="inlineStr">
        <is>
          <t>Licenta Office 365 anuala</t>
        </is>
      </c>
      <c r="G963" t="inlineStr">
        <is>
          <t>Licențe software</t>
        </is>
      </c>
      <c r="H963" t="n">
        <v>10</v>
      </c>
      <c r="I963" t="n">
        <v>242.02</v>
      </c>
      <c r="J963" t="n">
        <v>2420.2</v>
      </c>
      <c r="K963" s="13" t="n">
        <v>0.19</v>
      </c>
      <c r="L963" t="n">
        <v>459.84</v>
      </c>
      <c r="M963" t="n">
        <v>2880.04</v>
      </c>
      <c r="N963" t="inlineStr">
        <is>
          <t>RON</t>
        </is>
      </c>
      <c r="O963" t="inlineStr">
        <is>
          <t>Craiova</t>
        </is>
      </c>
      <c r="P963" s="12" t="n">
        <v>46088</v>
      </c>
      <c r="Q963">
        <f>IF(COUNTIF(tbl_Localitati[oras_oficial],[@oras])=0,"ORAS NEALINIAT",IF(XLOOKUP([@oras],tbl_Localitati[oras_oficial],tbl_Localitati[judet],"?")&lt;&gt;[@judet],"JUDET NECORESPUNZATOR",""))</f>
        <v/>
      </c>
      <c r="R963">
        <f>IF(XLOOKUP([@categorie],tbl_RegulriTVA[categorie],tbl_RegulriTVA[cota_legala],-1)&lt;&gt;[@cota_tva],"TVA GRESIT","")</f>
        <v/>
      </c>
      <c r="S963">
        <f>IF([@data_scadentei]&lt;[@data_factura],"SCADENTA INAINTEA FACTURII","")</f>
        <v/>
      </c>
      <c r="T963">
        <f>IF(NETWORKDAYS.INTL([@data_factura],[@data_factura],1,tbl_SarbatoriLegale[data])=0,"ZI NELUCRATOARE","")</f>
        <v/>
      </c>
      <c r="U963">
        <f>IF([@motiv_anomalie]="","OK","DE INVESTIGAT")</f>
        <v/>
      </c>
      <c r="V963">
        <f>TEXTJOIN("; ",TRUE,[@flag_oras],[@flag_tva],[@flag_scadenta],[@flag_zi])</f>
        <v/>
      </c>
    </row>
    <row r="964">
      <c r="A964" t="inlineStr">
        <is>
          <t>F-2025-00963</t>
        </is>
      </c>
      <c r="B964" s="12" t="n">
        <v>46366</v>
      </c>
      <c r="C964" t="inlineStr">
        <is>
          <t>SC NORDIS DISTRIBUTIE SRL</t>
        </is>
      </c>
      <c r="D964" t="inlineStr">
        <is>
          <t>Constanța</t>
        </is>
      </c>
      <c r="E964" t="inlineStr">
        <is>
          <t>PRD-001</t>
        </is>
      </c>
      <c r="F964" t="inlineStr">
        <is>
          <t>Tocator documente</t>
        </is>
      </c>
      <c r="G964" t="inlineStr">
        <is>
          <t>Echipamente birou</t>
        </is>
      </c>
      <c r="H964" t="n">
        <v>1</v>
      </c>
      <c r="I964" t="n">
        <v>2416.88</v>
      </c>
      <c r="J964" t="n">
        <v>2416.88</v>
      </c>
      <c r="K964" s="13" t="n">
        <v>0.19</v>
      </c>
      <c r="L964" t="n">
        <v>459.21</v>
      </c>
      <c r="M964" t="n">
        <v>2876.09</v>
      </c>
      <c r="N964" t="inlineStr">
        <is>
          <t>RON</t>
        </is>
      </c>
      <c r="O964" t="inlineStr">
        <is>
          <t>Mangalia</t>
        </is>
      </c>
      <c r="P964" s="12" t="n">
        <v>46396</v>
      </c>
      <c r="Q964">
        <f>IF(COUNTIF(tbl_Localitati[oras_oficial],[@oras])=0,"ORAS NEALINIAT",IF(XLOOKUP([@oras],tbl_Localitati[oras_oficial],tbl_Localitati[judet],"?")&lt;&gt;[@judet],"JUDET NECORESPUNZATOR",""))</f>
        <v/>
      </c>
      <c r="R964">
        <f>IF(XLOOKUP([@categorie],tbl_RegulriTVA[categorie],tbl_RegulriTVA[cota_legala],-1)&lt;&gt;[@cota_tva],"TVA GRESIT","")</f>
        <v/>
      </c>
      <c r="S964">
        <f>IF([@data_scadentei]&lt;[@data_factura],"SCADENTA INAINTEA FACTURII","")</f>
        <v/>
      </c>
      <c r="T964">
        <f>IF(NETWORKDAYS.INTL([@data_factura],[@data_factura],1,tbl_SarbatoriLegale[data])=0,"ZI NELUCRATOARE","")</f>
        <v/>
      </c>
      <c r="U964">
        <f>IF([@motiv_anomalie]="","OK","DE INVESTIGAT")</f>
        <v/>
      </c>
      <c r="V964">
        <f>TEXTJOIN("; ",TRUE,[@flag_oras],[@flag_tva],[@flag_scadenta],[@flag_zi])</f>
        <v/>
      </c>
    </row>
    <row r="965">
      <c r="A965" t="inlineStr">
        <is>
          <t>F-2025-00964</t>
        </is>
      </c>
      <c r="B965" s="12" t="n">
        <v>46149</v>
      </c>
      <c r="C965" t="inlineStr">
        <is>
          <t>SC DACTECH SOLUTIONS SRL</t>
        </is>
      </c>
      <c r="D965" t="inlineStr">
        <is>
          <t>Argeș</t>
        </is>
      </c>
      <c r="E965" t="inlineStr">
        <is>
          <t>PRD-001</t>
        </is>
      </c>
      <c r="F965" t="inlineStr">
        <is>
          <t>Consultanta implementare IT</t>
        </is>
      </c>
      <c r="G965" t="inlineStr">
        <is>
          <t>Servicii consultanță</t>
        </is>
      </c>
      <c r="H965" t="n">
        <v>2</v>
      </c>
      <c r="I965" t="n">
        <v>2455.02</v>
      </c>
      <c r="J965" t="n">
        <v>4910.04</v>
      </c>
      <c r="K965" s="13" t="n">
        <v>0.19</v>
      </c>
      <c r="L965" t="n">
        <v>932.91</v>
      </c>
      <c r="M965" t="n">
        <v>5842.95</v>
      </c>
      <c r="N965" t="inlineStr">
        <is>
          <t>RON</t>
        </is>
      </c>
      <c r="O965" t="inlineStr">
        <is>
          <t>Pitești</t>
        </is>
      </c>
      <c r="P965" s="12" t="n">
        <v>46179</v>
      </c>
      <c r="Q965">
        <f>IF(COUNTIF(tbl_Localitati[oras_oficial],[@oras])=0,"ORAS NEALINIAT",IF(XLOOKUP([@oras],tbl_Localitati[oras_oficial],tbl_Localitati[judet],"?")&lt;&gt;[@judet],"JUDET NECORESPUNZATOR",""))</f>
        <v/>
      </c>
      <c r="R965">
        <f>IF(XLOOKUP([@categorie],tbl_RegulriTVA[categorie],tbl_RegulriTVA[cota_legala],-1)&lt;&gt;[@cota_tva],"TVA GRESIT","")</f>
        <v/>
      </c>
      <c r="S965">
        <f>IF([@data_scadentei]&lt;[@data_factura],"SCADENTA INAINTEA FACTURII","")</f>
        <v/>
      </c>
      <c r="T965">
        <f>IF(NETWORKDAYS.INTL([@data_factura],[@data_factura],1,tbl_SarbatoriLegale[data])=0,"ZI NELUCRATOARE","")</f>
        <v/>
      </c>
      <c r="U965">
        <f>IF([@motiv_anomalie]="","OK","DE INVESTIGAT")</f>
        <v/>
      </c>
      <c r="V965">
        <f>TEXTJOIN("; ",TRUE,[@flag_oras],[@flag_tva],[@flag_scadenta],[@flag_zi])</f>
        <v/>
      </c>
    </row>
    <row r="966">
      <c r="A966" t="inlineStr">
        <is>
          <t>F-2025-00965</t>
        </is>
      </c>
      <c r="B966" s="12" t="n">
        <v>46283</v>
      </c>
      <c r="C966" t="inlineStr">
        <is>
          <t>SC AROMET TRADING SRL</t>
        </is>
      </c>
      <c r="D966" t="inlineStr">
        <is>
          <t>Alba</t>
        </is>
      </c>
      <c r="E966" t="inlineStr">
        <is>
          <t>PRD-001</t>
        </is>
      </c>
      <c r="F966" t="inlineStr">
        <is>
          <t>Licenta antivirus enterprise</t>
        </is>
      </c>
      <c r="G966" t="inlineStr">
        <is>
          <t>Licențe software</t>
        </is>
      </c>
      <c r="H966" t="n">
        <v>2</v>
      </c>
      <c r="I966" t="n">
        <v>2431.24</v>
      </c>
      <c r="J966" t="n">
        <v>4862.48</v>
      </c>
      <c r="K966" s="13" t="n">
        <v>0.19</v>
      </c>
      <c r="L966" t="n">
        <v>923.87</v>
      </c>
      <c r="M966" t="n">
        <v>5786.35</v>
      </c>
      <c r="N966" t="inlineStr">
        <is>
          <t>RON</t>
        </is>
      </c>
      <c r="O966" t="inlineStr">
        <is>
          <t>Alba Iulia</t>
        </is>
      </c>
      <c r="P966" s="12" t="n">
        <v>46313</v>
      </c>
      <c r="Q966">
        <f>IF(COUNTIF(tbl_Localitati[oras_oficial],[@oras])=0,"ORAS NEALINIAT",IF(XLOOKUP([@oras],tbl_Localitati[oras_oficial],tbl_Localitati[judet],"?")&lt;&gt;[@judet],"JUDET NECORESPUNZATOR",""))</f>
        <v/>
      </c>
      <c r="R966">
        <f>IF(XLOOKUP([@categorie],tbl_RegulriTVA[categorie],tbl_RegulriTVA[cota_legala],-1)&lt;&gt;[@cota_tva],"TVA GRESIT","")</f>
        <v/>
      </c>
      <c r="S966">
        <f>IF([@data_scadentei]&lt;[@data_factura],"SCADENTA INAINTEA FACTURII","")</f>
        <v/>
      </c>
      <c r="T966">
        <f>IF(NETWORKDAYS.INTL([@data_factura],[@data_factura],1,tbl_SarbatoriLegale[data])=0,"ZI NELUCRATOARE","")</f>
        <v/>
      </c>
      <c r="U966">
        <f>IF([@motiv_anomalie]="","OK","DE INVESTIGAT")</f>
        <v/>
      </c>
      <c r="V966">
        <f>TEXTJOIN("; ",TRUE,[@flag_oras],[@flag_tva],[@flag_scadenta],[@flag_zi])</f>
        <v/>
      </c>
    </row>
    <row r="967">
      <c r="A967" t="inlineStr">
        <is>
          <t>F-2025-00966</t>
        </is>
      </c>
      <c r="B967" s="12" t="n">
        <v>46115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Server rack 1U</t>
        </is>
      </c>
      <c r="G967" t="inlineStr">
        <is>
          <t>Hardware IT</t>
        </is>
      </c>
      <c r="H967" t="n">
        <v>2</v>
      </c>
      <c r="I967" t="n">
        <v>2424.09</v>
      </c>
      <c r="J967" t="n">
        <v>4848.18</v>
      </c>
      <c r="K967" s="13" t="n">
        <v>0.19</v>
      </c>
      <c r="L967" t="n">
        <v>921.15</v>
      </c>
      <c r="M967" t="n">
        <v>5769.33</v>
      </c>
      <c r="N967" t="inlineStr">
        <is>
          <t>EUR</t>
        </is>
      </c>
      <c r="O967" t="inlineStr">
        <is>
          <t>Sibiu</t>
        </is>
      </c>
      <c r="P967" s="12" t="n">
        <v>46130</v>
      </c>
      <c r="Q967">
        <f>IF(COUNTIF(tbl_Localitati[oras_oficial],[@oras])=0,"ORAS NEALINIAT",IF(XLOOKUP([@oras],tbl_Localitati[oras_oficial],tbl_Localitati[judet],"?")&lt;&gt;[@judet],"JUDET NECORESPUNZATOR",""))</f>
        <v/>
      </c>
      <c r="R967">
        <f>IF(XLOOKUP([@categorie],tbl_RegulriTVA[categorie],tbl_RegulriTVA[cota_legala],-1)&lt;&gt;[@cota_tva],"TVA GRESIT","")</f>
        <v/>
      </c>
      <c r="S967">
        <f>IF([@data_scadentei]&lt;[@data_factura],"SCADENTA INAINTEA FACTURII","")</f>
        <v/>
      </c>
      <c r="T967">
        <f>IF(NETWORKDAYS.INTL([@data_factura],[@data_factura],1,tbl_SarbatoriLegale[data])=0,"ZI NELUCRATOARE","")</f>
        <v/>
      </c>
      <c r="U967">
        <f>IF([@motiv_anomalie]="","OK","DE INVESTIGAT")</f>
        <v/>
      </c>
      <c r="V967">
        <f>TEXTJOIN("; ",TRUE,[@flag_oras],[@flag_tva],[@flag_scadenta],[@flag_zi])</f>
        <v/>
      </c>
    </row>
    <row r="968">
      <c r="A968" t="inlineStr">
        <is>
          <t>F-2025-00967</t>
        </is>
      </c>
      <c r="B968" s="12" t="n">
        <v>46197</v>
      </c>
      <c r="C968" t="inlineStr">
        <is>
          <t>SC METALPLAST INVEST SA</t>
        </is>
      </c>
      <c r="D968" t="inlineStr">
        <is>
          <t>Cluj</t>
        </is>
      </c>
      <c r="E968" t="inlineStr">
        <is>
          <t>PRD-005</t>
        </is>
      </c>
      <c r="F968" t="inlineStr">
        <is>
          <t>Switch gigabit 24p</t>
        </is>
      </c>
      <c r="G968" t="inlineStr">
        <is>
          <t>Hardware IT</t>
        </is>
      </c>
      <c r="H968" t="n">
        <v>1</v>
      </c>
      <c r="I968" t="n">
        <v>255.49</v>
      </c>
      <c r="J968" t="n">
        <v>255.49</v>
      </c>
      <c r="K968" s="13" t="n">
        <v>0.19</v>
      </c>
      <c r="L968" t="n">
        <v>48.54</v>
      </c>
      <c r="M968" t="n">
        <v>304.03</v>
      </c>
      <c r="N968" t="inlineStr">
        <is>
          <t>RON</t>
        </is>
      </c>
      <c r="O968" t="inlineStr">
        <is>
          <t>Turda</t>
        </is>
      </c>
      <c r="P968" s="12" t="n">
        <v>46242</v>
      </c>
      <c r="Q968">
        <f>IF(COUNTIF(tbl_Localitati[oras_oficial],[@oras])=0,"ORAS NEALINIAT",IF(XLOOKUP([@oras],tbl_Localitati[oras_oficial],tbl_Localitati[judet],"?")&lt;&gt;[@judet],"JUDET NECORESPUNZATOR",""))</f>
        <v/>
      </c>
      <c r="R968">
        <f>IF(XLOOKUP([@categorie],tbl_RegulriTVA[categorie],tbl_RegulriTVA[cota_legala],-1)&lt;&gt;[@cota_tva],"TVA GRESIT","")</f>
        <v/>
      </c>
      <c r="S968">
        <f>IF([@data_scadentei]&lt;[@data_factura],"SCADENTA INAINTEA FACTURII","")</f>
        <v/>
      </c>
      <c r="T968">
        <f>IF(NETWORKDAYS.INTL([@data_factura],[@data_factura],1,tbl_SarbatoriLegale[data])=0,"ZI NELUCRATOARE","")</f>
        <v/>
      </c>
      <c r="U968">
        <f>IF([@motiv_anomalie]="","OK","DE INVESTIGAT")</f>
        <v/>
      </c>
      <c r="V968">
        <f>TEXTJOIN("; ",TRUE,[@flag_oras],[@flag_tva],[@flag_scadenta],[@flag_zi])</f>
        <v/>
      </c>
    </row>
    <row r="969">
      <c r="A969" t="inlineStr">
        <is>
          <t>F-2025-00968</t>
        </is>
      </c>
      <c r="B969" s="12" t="n">
        <v>46142</v>
      </c>
      <c r="C969" t="inlineStr">
        <is>
          <t>SC METALPLAST INVEST SA</t>
        </is>
      </c>
      <c r="D969" t="inlineStr">
        <is>
          <t>Cluj</t>
        </is>
      </c>
      <c r="E969" t="inlineStr">
        <is>
          <t>PRD-002</t>
        </is>
      </c>
      <c r="F969" t="inlineStr">
        <is>
          <t>Statie de lucru desktop</t>
        </is>
      </c>
      <c r="G969" t="inlineStr">
        <is>
          <t>Hardware IT</t>
        </is>
      </c>
      <c r="H969" t="n">
        <v>2</v>
      </c>
      <c r="I969" t="n">
        <v>1143.38</v>
      </c>
      <c r="J969" t="n">
        <v>2286.76</v>
      </c>
      <c r="K969" s="13" t="n">
        <v>0.19</v>
      </c>
      <c r="L969" t="n">
        <v>434.48</v>
      </c>
      <c r="M969" t="n">
        <v>2721.24</v>
      </c>
      <c r="N969" t="inlineStr">
        <is>
          <t>RON</t>
        </is>
      </c>
      <c r="O969" t="inlineStr">
        <is>
          <t>Turda</t>
        </is>
      </c>
      <c r="P969" s="12" t="n">
        <v>46202</v>
      </c>
      <c r="Q969">
        <f>IF(COUNTIF(tbl_Localitati[oras_oficial],[@oras])=0,"ORAS NEALINIAT",IF(XLOOKUP([@oras],tbl_Localitati[oras_oficial],tbl_Localitati[judet],"?")&lt;&gt;[@judet],"JUDET NECORESPUNZATOR",""))</f>
        <v/>
      </c>
      <c r="R969">
        <f>IF(XLOOKUP([@categorie],tbl_RegulriTVA[categorie],tbl_RegulriTVA[cota_legala],-1)&lt;&gt;[@cota_tva],"TVA GRESIT","")</f>
        <v/>
      </c>
      <c r="S969">
        <f>IF([@data_scadentei]&lt;[@data_factura],"SCADENTA INAINTEA FACTURII","")</f>
        <v/>
      </c>
      <c r="T969">
        <f>IF(NETWORKDAYS.INTL([@data_factura],[@data_factura],1,tbl_SarbatoriLegale[data])=0,"ZI NELUCRATOARE","")</f>
        <v/>
      </c>
      <c r="U969">
        <f>IF([@motiv_anomalie]="","OK","DE INVESTIGAT")</f>
        <v/>
      </c>
      <c r="V969">
        <f>TEXTJOIN("; ",TRUE,[@flag_oras],[@flag_tva],[@flag_scadenta],[@flag_zi])</f>
        <v/>
      </c>
    </row>
    <row r="970">
      <c r="A970" t="inlineStr">
        <is>
          <t>F-2025-00969</t>
        </is>
      </c>
      <c r="B970" s="12" t="n">
        <v>46034</v>
      </c>
      <c r="C970" t="inlineStr">
        <is>
          <t>SC DACTECH SOLUTIONS SRL</t>
        </is>
      </c>
      <c r="D970" t="inlineStr">
        <is>
          <t>Argeș</t>
        </is>
      </c>
      <c r="E970" t="inlineStr">
        <is>
          <t>PRD-001</t>
        </is>
      </c>
      <c r="F970" t="inlineStr">
        <is>
          <t>Statie de lucru desktop</t>
        </is>
      </c>
      <c r="G970" t="inlineStr">
        <is>
          <t>Hardware IT</t>
        </is>
      </c>
      <c r="H970" t="n">
        <v>1</v>
      </c>
      <c r="I970" t="n">
        <v>2519.13</v>
      </c>
      <c r="J970" t="n">
        <v>2519.13</v>
      </c>
      <c r="K970" s="13" t="n">
        <v>0.19</v>
      </c>
      <c r="L970" t="n">
        <v>478.63</v>
      </c>
      <c r="M970" t="n">
        <v>2997.76</v>
      </c>
      <c r="N970" t="inlineStr">
        <is>
          <t>RON</t>
        </is>
      </c>
      <c r="O970" t="inlineStr">
        <is>
          <t>Pitești</t>
        </is>
      </c>
      <c r="P970" s="12" t="n">
        <v>46031</v>
      </c>
      <c r="Q970">
        <f>IF(COUNTIF(tbl_Localitati[oras_oficial],[@oras])=0,"ORAS NEALINIAT",IF(XLOOKUP([@oras],tbl_Localitati[oras_oficial],tbl_Localitati[judet],"?")&lt;&gt;[@judet],"JUDET NECORESPUNZATOR",""))</f>
        <v/>
      </c>
      <c r="R970">
        <f>IF(XLOOKUP([@categorie],tbl_RegulriTVA[categorie],tbl_RegulriTVA[cota_legala],-1)&lt;&gt;[@cota_tva],"TVA GRESIT","")</f>
        <v/>
      </c>
      <c r="S970">
        <f>IF([@data_scadentei]&lt;[@data_factura],"SCADENTA INAINTEA FACTURII","")</f>
        <v/>
      </c>
      <c r="T970">
        <f>IF(NETWORKDAYS.INTL([@data_factura],[@data_factura],1,tbl_SarbatoriLegale[data])=0,"ZI NELUCRATOARE","")</f>
        <v/>
      </c>
      <c r="U970">
        <f>IF([@motiv_anomalie]="","OK","DE INVESTIGAT")</f>
        <v/>
      </c>
      <c r="V970">
        <f>TEXTJOIN("; ",TRUE,[@flag_oras],[@flag_tva],[@flag_scadenta],[@flag_zi])</f>
        <v/>
      </c>
    </row>
    <row r="971">
      <c r="A971" t="inlineStr">
        <is>
          <t>F-2025-00970</t>
        </is>
      </c>
      <c r="B971" s="12" t="n">
        <v>46031</v>
      </c>
      <c r="C971" t="inlineStr">
        <is>
          <t>SC DACTECH SOLUTIONS SRL</t>
        </is>
      </c>
      <c r="D971" t="inlineStr">
        <is>
          <t>Argeș</t>
        </is>
      </c>
      <c r="E971" t="inlineStr">
        <is>
          <t>PRD-005</t>
        </is>
      </c>
      <c r="F971" t="inlineStr">
        <is>
          <t>Termometru digital</t>
        </is>
      </c>
      <c r="G971" t="inlineStr">
        <is>
          <t>Produse farmaceutice</t>
        </is>
      </c>
      <c r="H971" t="n">
        <v>1</v>
      </c>
      <c r="I971" t="n">
        <v>245.9</v>
      </c>
      <c r="J971" t="n">
        <v>245.9</v>
      </c>
      <c r="K971" s="13" t="n">
        <v>0.09</v>
      </c>
      <c r="L971" t="n">
        <v>22.13</v>
      </c>
      <c r="M971" t="n">
        <v>268.03</v>
      </c>
      <c r="N971" t="inlineStr">
        <is>
          <t>RON</t>
        </is>
      </c>
      <c r="O971" t="inlineStr">
        <is>
          <t>Pitești</t>
        </is>
      </c>
      <c r="P971" s="12" t="n">
        <v>46061</v>
      </c>
      <c r="Q971">
        <f>IF(COUNTIF(tbl_Localitati[oras_oficial],[@oras])=0,"ORAS NEALINIAT",IF(XLOOKUP([@oras],tbl_Localitati[oras_oficial],tbl_Localitati[judet],"?")&lt;&gt;[@judet],"JUDET NECORESPUNZATOR",""))</f>
        <v/>
      </c>
      <c r="R971">
        <f>IF(XLOOKUP([@categorie],tbl_RegulriTVA[categorie],tbl_RegulriTVA[cota_legala],-1)&lt;&gt;[@cota_tva],"TVA GRESIT","")</f>
        <v/>
      </c>
      <c r="S971">
        <f>IF([@data_scadentei]&lt;[@data_factura],"SCADENTA INAINTEA FACTURII","")</f>
        <v/>
      </c>
      <c r="T971">
        <f>IF(NETWORKDAYS.INTL([@data_factura],[@data_factura],1,tbl_SarbatoriLegale[data])=0,"ZI NELUCRATOARE","")</f>
        <v/>
      </c>
      <c r="U971">
        <f>IF([@motiv_anomalie]="","OK","DE INVESTIGAT")</f>
        <v/>
      </c>
      <c r="V971">
        <f>TEXTJOIN("; ",TRUE,[@flag_oras],[@flag_tva],[@flag_scadenta],[@flag_zi])</f>
        <v/>
      </c>
    </row>
    <row r="972">
      <c r="A972" t="inlineStr">
        <is>
          <t>F-2025-00971</t>
        </is>
      </c>
      <c r="B972" s="12" t="n">
        <v>46220</v>
      </c>
      <c r="C972" t="inlineStr">
        <is>
          <t>SC PROVITA MEDICAL SRL</t>
        </is>
      </c>
      <c r="D972" t="inlineStr">
        <is>
          <t>Mureș</t>
        </is>
      </c>
      <c r="E972" t="inlineStr">
        <is>
          <t>PRD-004</t>
        </is>
      </c>
      <c r="F972" t="inlineStr">
        <is>
          <t>Licenta ERP contabilitate</t>
        </is>
      </c>
      <c r="G972" t="inlineStr">
        <is>
          <t>Licențe software</t>
        </is>
      </c>
      <c r="H972" t="n">
        <v>1</v>
      </c>
      <c r="I972" t="n">
        <v>933.46</v>
      </c>
      <c r="J972" t="n">
        <v>933.46</v>
      </c>
      <c r="K972" s="13" t="n">
        <v>0.19</v>
      </c>
      <c r="L972" t="n">
        <v>177.36</v>
      </c>
      <c r="M972" t="n">
        <v>1110.82</v>
      </c>
      <c r="N972" t="inlineStr">
        <is>
          <t>RON</t>
        </is>
      </c>
      <c r="O972" t="inlineStr">
        <is>
          <t>Târgu Mureș</t>
        </is>
      </c>
      <c r="P972" s="12" t="n">
        <v>46265</v>
      </c>
      <c r="Q972">
        <f>IF(COUNTIF(tbl_Localitati[oras_oficial],[@oras])=0,"ORAS NEALINIAT",IF(XLOOKUP([@oras],tbl_Localitati[oras_oficial],tbl_Localitati[judet],"?")&lt;&gt;[@judet],"JUDET NECORESPUNZATOR",""))</f>
        <v/>
      </c>
      <c r="R972">
        <f>IF(XLOOKUP([@categorie],tbl_RegulriTVA[categorie],tbl_RegulriTVA[cota_legala],-1)&lt;&gt;[@cota_tva],"TVA GRESIT","")</f>
        <v/>
      </c>
      <c r="S972">
        <f>IF([@data_scadentei]&lt;[@data_factura],"SCADENTA INAINTEA FACTURII","")</f>
        <v/>
      </c>
      <c r="T972">
        <f>IF(NETWORKDAYS.INTL([@data_factura],[@data_factura],1,tbl_SarbatoriLegale[data])=0,"ZI NELUCRATOARE","")</f>
        <v/>
      </c>
      <c r="U972">
        <f>IF([@motiv_anomalie]="","OK","DE INVESTIGAT")</f>
        <v/>
      </c>
      <c r="V972">
        <f>TEXTJOIN("; ",TRUE,[@flag_oras],[@flag_tva],[@flag_scadenta],[@flag_zi])</f>
        <v/>
      </c>
    </row>
    <row r="973">
      <c r="A973" t="inlineStr">
        <is>
          <t>F-2025-00972</t>
        </is>
      </c>
      <c r="B973" s="12" t="n">
        <v>46167</v>
      </c>
      <c r="C973" t="inlineStr">
        <is>
          <t>SC NORDIS DISTRIBUTIE SRL</t>
        </is>
      </c>
      <c r="D973" t="inlineStr">
        <is>
          <t>Constanța</t>
        </is>
      </c>
      <c r="E973" t="inlineStr">
        <is>
          <t>PRD-009</t>
        </is>
      </c>
      <c r="F973" t="inlineStr">
        <is>
          <t>Monitor 27" 4K</t>
        </is>
      </c>
      <c r="G973" t="inlineStr">
        <is>
          <t>Hardware IT</t>
        </is>
      </c>
      <c r="H973" t="n">
        <v>50</v>
      </c>
      <c r="I973" t="n">
        <v>28.26</v>
      </c>
      <c r="J973" t="n">
        <v>1413</v>
      </c>
      <c r="K973" s="13" t="n">
        <v>0.19</v>
      </c>
      <c r="L973" t="n">
        <v>268.47</v>
      </c>
      <c r="M973" t="n">
        <v>1681.47</v>
      </c>
      <c r="N973" t="inlineStr">
        <is>
          <t>RON</t>
        </is>
      </c>
      <c r="O973" t="inlineStr">
        <is>
          <t>Mangalia</t>
        </is>
      </c>
      <c r="P973" s="12" t="n">
        <v>46197</v>
      </c>
      <c r="Q973">
        <f>IF(COUNTIF(tbl_Localitati[oras_oficial],[@oras])=0,"ORAS NEALINIAT",IF(XLOOKUP([@oras],tbl_Localitati[oras_oficial],tbl_Localitati[judet],"?")&lt;&gt;[@judet],"JUDET NECORESPUNZATOR",""))</f>
        <v/>
      </c>
      <c r="R973">
        <f>IF(XLOOKUP([@categorie],tbl_RegulriTVA[categorie],tbl_RegulriTVA[cota_legala],-1)&lt;&gt;[@cota_tva],"TVA GRESIT","")</f>
        <v/>
      </c>
      <c r="S973">
        <f>IF([@data_scadentei]&lt;[@data_factura],"SCADENTA INAINTEA FACTURII","")</f>
        <v/>
      </c>
      <c r="T973">
        <f>IF(NETWORKDAYS.INTL([@data_factura],[@data_factura],1,tbl_SarbatoriLegale[data])=0,"ZI NELUCRATOARE","")</f>
        <v/>
      </c>
      <c r="U973">
        <f>IF([@motiv_anomalie]="","OK","DE INVESTIGAT")</f>
        <v/>
      </c>
      <c r="V973">
        <f>TEXTJOIN("; ",TRUE,[@flag_oras],[@flag_tva],[@flag_scadenta],[@flag_zi])</f>
        <v/>
      </c>
    </row>
    <row r="974">
      <c r="A974" t="inlineStr">
        <is>
          <t>F-2025-00973</t>
        </is>
      </c>
      <c r="B974" s="12" t="n">
        <v>46351</v>
      </c>
      <c r="C974" t="inlineStr">
        <is>
          <t>SC ELECTROBUILD SRL</t>
        </is>
      </c>
      <c r="D974" t="inlineStr">
        <is>
          <t>Bacău</t>
        </is>
      </c>
      <c r="E974" t="inlineStr">
        <is>
          <t>PRD-009</t>
        </is>
      </c>
      <c r="F974" t="inlineStr">
        <is>
          <t>Trusa prim ajutor</t>
        </is>
      </c>
      <c r="G974" t="inlineStr">
        <is>
          <t>Produse farmaceutice</t>
        </is>
      </c>
      <c r="H974" t="n">
        <v>20</v>
      </c>
      <c r="I974" t="n">
        <v>28.26</v>
      </c>
      <c r="J974" t="n">
        <v>565.2</v>
      </c>
      <c r="K974" s="13" t="n">
        <v>0.09</v>
      </c>
      <c r="L974" t="n">
        <v>50.87</v>
      </c>
      <c r="M974" t="n">
        <v>616.0700000000001</v>
      </c>
      <c r="N974" t="inlineStr">
        <is>
          <t>RON</t>
        </is>
      </c>
      <c r="O974" t="inlineStr">
        <is>
          <t>Bacău</t>
        </is>
      </c>
      <c r="P974" s="12" t="n">
        <v>46366</v>
      </c>
      <c r="Q974">
        <f>IF(COUNTIF(tbl_Localitati[oras_oficial],[@oras])=0,"ORAS NEALINIAT",IF(XLOOKUP([@oras],tbl_Localitati[oras_oficial],tbl_Localitati[judet],"?")&lt;&gt;[@judet],"JUDET NECORESPUNZATOR",""))</f>
        <v/>
      </c>
      <c r="R974">
        <f>IF(XLOOKUP([@categorie],tbl_RegulriTVA[categorie],tbl_RegulriTVA[cota_legala],-1)&lt;&gt;[@cota_tva],"TVA GRESIT","")</f>
        <v/>
      </c>
      <c r="S974">
        <f>IF([@data_scadentei]&lt;[@data_factura],"SCADENTA INAINTEA FACTURII","")</f>
        <v/>
      </c>
      <c r="T974">
        <f>IF(NETWORKDAYS.INTL([@data_factura],[@data_factura],1,tbl_SarbatoriLegale[data])=0,"ZI NELUCRATOARE","")</f>
        <v/>
      </c>
      <c r="U974">
        <f>IF([@motiv_anomalie]="","OK","DE INVESTIGAT")</f>
        <v/>
      </c>
      <c r="V974">
        <f>TEXTJOIN("; ",TRUE,[@flag_oras],[@flag_tva],[@flag_scadenta],[@flag_zi])</f>
        <v/>
      </c>
    </row>
    <row r="975">
      <c r="A975" t="inlineStr">
        <is>
          <t>F-2025-00974</t>
        </is>
      </c>
      <c r="B975" s="12" t="n">
        <v>46323</v>
      </c>
      <c r="C975" t="inlineStr">
        <is>
          <t>SC PROVITA MEDICAL SRL</t>
        </is>
      </c>
      <c r="D975" t="inlineStr">
        <is>
          <t>Mureș</t>
        </is>
      </c>
      <c r="E975" t="inlineStr">
        <is>
          <t>PRD-004</t>
        </is>
      </c>
      <c r="F975" t="inlineStr">
        <is>
          <t>Licenta ERP contabilitate</t>
        </is>
      </c>
      <c r="G975" t="inlineStr">
        <is>
          <t>Licențe software</t>
        </is>
      </c>
      <c r="H975" t="n">
        <v>2</v>
      </c>
      <c r="I975" t="n">
        <v>883.6799999999999</v>
      </c>
      <c r="J975" t="n">
        <v>1767.36</v>
      </c>
      <c r="K975" s="13" t="n">
        <v>0.05</v>
      </c>
      <c r="L975" t="n">
        <v>88.37</v>
      </c>
      <c r="M975" t="n">
        <v>1855.73</v>
      </c>
      <c r="N975" t="inlineStr">
        <is>
          <t>RON</t>
        </is>
      </c>
      <c r="O975" t="inlineStr">
        <is>
          <t>Târgu Mureș</t>
        </is>
      </c>
      <c r="P975" s="12" t="n">
        <v>46353</v>
      </c>
      <c r="Q975">
        <f>IF(COUNTIF(tbl_Localitati[oras_oficial],[@oras])=0,"ORAS NEALINIAT",IF(XLOOKUP([@oras],tbl_Localitati[oras_oficial],tbl_Localitati[judet],"?")&lt;&gt;[@judet],"JUDET NECORESPUNZATOR",""))</f>
        <v/>
      </c>
      <c r="R975">
        <f>IF(XLOOKUP([@categorie],tbl_RegulriTVA[categorie],tbl_RegulriTVA[cota_legala],-1)&lt;&gt;[@cota_tva],"TVA GRESIT","")</f>
        <v/>
      </c>
      <c r="S975">
        <f>IF([@data_scadentei]&lt;[@data_factura],"SCADENTA INAINTEA FACTURII","")</f>
        <v/>
      </c>
      <c r="T975">
        <f>IF(NETWORKDAYS.INTL([@data_factura],[@data_factura],1,tbl_SarbatoriLegale[data])=0,"ZI NELUCRATOARE","")</f>
        <v/>
      </c>
      <c r="U975">
        <f>IF([@motiv_anomalie]="","OK","DE INVESTIGAT")</f>
        <v/>
      </c>
      <c r="V975">
        <f>TEXTJOIN("; ",TRUE,[@flag_oras],[@flag_tva],[@flag_scadenta],[@flag_zi])</f>
        <v/>
      </c>
    </row>
    <row r="976">
      <c r="A976" t="inlineStr">
        <is>
          <t>F-2025-00975</t>
        </is>
      </c>
      <c r="B976" s="12" t="n">
        <v>46051</v>
      </c>
      <c r="C976" t="inlineStr">
        <is>
          <t>SC METALPLAST INVEST SA</t>
        </is>
      </c>
      <c r="D976" t="inlineStr">
        <is>
          <t>Cluj</t>
        </is>
      </c>
      <c r="E976" t="inlineStr">
        <is>
          <t>PRD-002</t>
        </is>
      </c>
      <c r="F976" t="inlineStr">
        <is>
          <t>Consultanta implementare IT</t>
        </is>
      </c>
      <c r="G976" t="inlineStr">
        <is>
          <t>Servicii consultanță</t>
        </is>
      </c>
      <c r="H976" t="n">
        <v>3</v>
      </c>
      <c r="I976" t="n">
        <v>1108.85</v>
      </c>
      <c r="J976" t="n">
        <v>3326.55</v>
      </c>
      <c r="K976" s="13" t="n">
        <v>0.19</v>
      </c>
      <c r="L976" t="n">
        <v>632.04</v>
      </c>
      <c r="M976" t="n">
        <v>3958.59</v>
      </c>
      <c r="N976" t="inlineStr">
        <is>
          <t>RON</t>
        </is>
      </c>
      <c r="O976" t="inlineStr">
        <is>
          <t>Turda</t>
        </is>
      </c>
      <c r="P976" s="12" t="n">
        <v>46081</v>
      </c>
      <c r="Q976">
        <f>IF(COUNTIF(tbl_Localitati[oras_oficial],[@oras])=0,"ORAS NEALINIAT",IF(XLOOKUP([@oras],tbl_Localitati[oras_oficial],tbl_Localitati[judet],"?")&lt;&gt;[@judet],"JUDET NECORESPUNZATOR",""))</f>
        <v/>
      </c>
      <c r="R976">
        <f>IF(XLOOKUP([@categorie],tbl_RegulriTVA[categorie],tbl_RegulriTVA[cota_legala],-1)&lt;&gt;[@cota_tva],"TVA GRESIT","")</f>
        <v/>
      </c>
      <c r="S976">
        <f>IF([@data_scadentei]&lt;[@data_factura],"SCADENTA INAINTEA FACTURII","")</f>
        <v/>
      </c>
      <c r="T976">
        <f>IF(NETWORKDAYS.INTL([@data_factura],[@data_factura],1,tbl_SarbatoriLegale[data])=0,"ZI NELUCRATOARE","")</f>
        <v/>
      </c>
      <c r="U976">
        <f>IF([@motiv_anomalie]="","OK","DE INVESTIGAT")</f>
        <v/>
      </c>
      <c r="V976">
        <f>TEXTJOIN("; ",TRUE,[@flag_oras],[@flag_tva],[@flag_scadenta],[@flag_zi])</f>
        <v/>
      </c>
    </row>
    <row r="977">
      <c r="A977" t="inlineStr">
        <is>
          <t>F-2025-00976</t>
        </is>
      </c>
      <c r="B977" s="12" t="n">
        <v>46197</v>
      </c>
      <c r="C977" t="inlineStr">
        <is>
          <t>SC INTEGROMED SA</t>
        </is>
      </c>
      <c r="D977" t="inlineStr">
        <is>
          <t>Cluj</t>
        </is>
      </c>
      <c r="E977" t="inlineStr">
        <is>
          <t>PRD-010</t>
        </is>
      </c>
      <c r="F977" t="inlineStr">
        <is>
          <t>Videoproiector sala</t>
        </is>
      </c>
      <c r="G977" t="inlineStr">
        <is>
          <t>Echipamente birou</t>
        </is>
      </c>
      <c r="H977" t="n">
        <v>20</v>
      </c>
      <c r="I977" t="n">
        <v>363.19</v>
      </c>
      <c r="J977" t="n">
        <v>7263.8</v>
      </c>
      <c r="K977" s="13" t="n">
        <v>0.19</v>
      </c>
      <c r="L977" t="n">
        <v>1380.12</v>
      </c>
      <c r="M977" t="n">
        <v>8643.92</v>
      </c>
      <c r="N977" t="inlineStr">
        <is>
          <t>RON</t>
        </is>
      </c>
      <c r="O977" t="inlineStr">
        <is>
          <t>Cluj-Napoca</t>
        </is>
      </c>
      <c r="P977" s="12" t="n">
        <v>46242</v>
      </c>
      <c r="Q977">
        <f>IF(COUNTIF(tbl_Localitati[oras_oficial],[@oras])=0,"ORAS NEALINIAT",IF(XLOOKUP([@oras],tbl_Localitati[oras_oficial],tbl_Localitati[judet],"?")&lt;&gt;[@judet],"JUDET NECORESPUNZATOR",""))</f>
        <v/>
      </c>
      <c r="R977">
        <f>IF(XLOOKUP([@categorie],tbl_RegulriTVA[categorie],tbl_RegulriTVA[cota_legala],-1)&lt;&gt;[@cota_tva],"TVA GRESIT","")</f>
        <v/>
      </c>
      <c r="S977">
        <f>IF([@data_scadentei]&lt;[@data_factura],"SCADENTA INAINTEA FACTURII","")</f>
        <v/>
      </c>
      <c r="T977">
        <f>IF(NETWORKDAYS.INTL([@data_factura],[@data_factura],1,tbl_SarbatoriLegale[data])=0,"ZI NELUCRATOARE","")</f>
        <v/>
      </c>
      <c r="U977">
        <f>IF([@motiv_anomalie]="","OK","DE INVESTIGAT")</f>
        <v/>
      </c>
      <c r="V977">
        <f>TEXTJOIN("; ",TRUE,[@flag_oras],[@flag_tva],[@flag_scadenta],[@flag_zi])</f>
        <v/>
      </c>
    </row>
    <row r="978">
      <c r="A978" t="inlineStr">
        <is>
          <t>F-2025-00977</t>
        </is>
      </c>
      <c r="B978" s="12" t="n">
        <v>46212</v>
      </c>
      <c r="C978" t="inlineStr">
        <is>
          <t>SC NORDIS DISTRIBUTIE SRL</t>
        </is>
      </c>
      <c r="D978" t="inlineStr">
        <is>
          <t>Constanța</t>
        </is>
      </c>
      <c r="E978" t="inlineStr">
        <is>
          <t>PRD-002</t>
        </is>
      </c>
      <c r="F978" t="inlineStr">
        <is>
          <t>Statie de lucru desktop</t>
        </is>
      </c>
      <c r="G978" t="inlineStr">
        <is>
          <t>Hardware IT</t>
        </is>
      </c>
      <c r="H978" t="n">
        <v>5</v>
      </c>
      <c r="I978" t="n">
        <v>1111.01</v>
      </c>
      <c r="J978" t="n">
        <v>5555.05</v>
      </c>
      <c r="K978" s="13" t="n">
        <v>0.19</v>
      </c>
      <c r="L978" t="n">
        <v>1055.46</v>
      </c>
      <c r="M978" t="n">
        <v>6610.51</v>
      </c>
      <c r="N978" t="inlineStr">
        <is>
          <t>RON</t>
        </is>
      </c>
      <c r="O978" t="inlineStr">
        <is>
          <t>Mangalia</t>
        </is>
      </c>
      <c r="P978" s="12" t="n">
        <v>46257</v>
      </c>
      <c r="Q978">
        <f>IF(COUNTIF(tbl_Localitati[oras_oficial],[@oras])=0,"ORAS NEALINIAT",IF(XLOOKUP([@oras],tbl_Localitati[oras_oficial],tbl_Localitati[judet],"?")&lt;&gt;[@judet],"JUDET NECORESPUNZATOR",""))</f>
        <v/>
      </c>
      <c r="R978">
        <f>IF(XLOOKUP([@categorie],tbl_RegulriTVA[categorie],tbl_RegulriTVA[cota_legala],-1)&lt;&gt;[@cota_tva],"TVA GRESIT","")</f>
        <v/>
      </c>
      <c r="S978">
        <f>IF([@data_scadentei]&lt;[@data_factura],"SCADENTA INAINTEA FACTURII","")</f>
        <v/>
      </c>
      <c r="T978">
        <f>IF(NETWORKDAYS.INTL([@data_factura],[@data_factura],1,tbl_SarbatoriLegale[data])=0,"ZI NELUCRATOARE","")</f>
        <v/>
      </c>
      <c r="U978">
        <f>IF([@motiv_anomalie]="","OK","DE INVESTIGAT")</f>
        <v/>
      </c>
      <c r="V978">
        <f>TEXTJOIN("; ",TRUE,[@flag_oras],[@flag_tva],[@flag_scadenta],[@flag_zi])</f>
        <v/>
      </c>
    </row>
    <row r="979">
      <c r="A979" t="inlineStr">
        <is>
          <t>F-2025-00978</t>
        </is>
      </c>
      <c r="B979" s="12" t="n">
        <v>46085</v>
      </c>
      <c r="C979" t="inlineStr">
        <is>
          <t>SC INTEGROMED SA</t>
        </is>
      </c>
      <c r="D979" t="inlineStr">
        <is>
          <t>Cluj</t>
        </is>
      </c>
      <c r="E979" t="inlineStr">
        <is>
          <t>PRD-002</t>
        </is>
      </c>
      <c r="F979" t="inlineStr">
        <is>
          <t>Licenta Office 365 anuala</t>
        </is>
      </c>
      <c r="G979" t="inlineStr">
        <is>
          <t>Licențe software</t>
        </is>
      </c>
      <c r="H979" t="n">
        <v>1</v>
      </c>
      <c r="I979" t="n">
        <v>1130.48</v>
      </c>
      <c r="J979" t="n">
        <v>1130.48</v>
      </c>
      <c r="K979" s="13" t="n">
        <v>0.19</v>
      </c>
      <c r="L979" t="n">
        <v>214.79</v>
      </c>
      <c r="M979" t="n">
        <v>1345.27</v>
      </c>
      <c r="N979" t="inlineStr">
        <is>
          <t>RON</t>
        </is>
      </c>
      <c r="O979" t="inlineStr">
        <is>
          <t>Cluj-Napoca</t>
        </is>
      </c>
      <c r="P979" s="12" t="n">
        <v>46115</v>
      </c>
      <c r="Q979">
        <f>IF(COUNTIF(tbl_Localitati[oras_oficial],[@oras])=0,"ORAS NEALINIAT",IF(XLOOKUP([@oras],tbl_Localitati[oras_oficial],tbl_Localitati[judet],"?")&lt;&gt;[@judet],"JUDET NECORESPUNZATOR",""))</f>
        <v/>
      </c>
      <c r="R979">
        <f>IF(XLOOKUP([@categorie],tbl_RegulriTVA[categorie],tbl_RegulriTVA[cota_legala],-1)&lt;&gt;[@cota_tva],"TVA GRESIT","")</f>
        <v/>
      </c>
      <c r="S979">
        <f>IF([@data_scadentei]&lt;[@data_factura],"SCADENTA INAINTEA FACTURII","")</f>
        <v/>
      </c>
      <c r="T979">
        <f>IF(NETWORKDAYS.INTL([@data_factura],[@data_factura],1,tbl_SarbatoriLegale[data])=0,"ZI NELUCRATOARE","")</f>
        <v/>
      </c>
      <c r="U979">
        <f>IF([@motiv_anomalie]="","OK","DE INVESTIGAT")</f>
        <v/>
      </c>
      <c r="V979">
        <f>TEXTJOIN("; ",TRUE,[@flag_oras],[@flag_tva],[@flag_scadenta],[@flag_zi])</f>
        <v/>
      </c>
    </row>
    <row r="980">
      <c r="A980" t="inlineStr">
        <is>
          <t>F-2025-00979</t>
        </is>
      </c>
      <c r="B980" s="12" t="n">
        <v>46275</v>
      </c>
      <c r="C980" t="inlineStr">
        <is>
          <t>SC DACTECH SOLUTIONS SRL</t>
        </is>
      </c>
      <c r="D980" t="inlineStr">
        <is>
          <t>Argeș</t>
        </is>
      </c>
      <c r="E980" t="inlineStr">
        <is>
          <t>PRD-002</t>
        </is>
      </c>
      <c r="F980" t="inlineStr">
        <is>
          <t>Consultanta implementare IT</t>
        </is>
      </c>
      <c r="G980" t="inlineStr">
        <is>
          <t>Servicii consultanță</t>
        </is>
      </c>
      <c r="H980" t="n">
        <v>5</v>
      </c>
      <c r="I980" t="n">
        <v>1145.75</v>
      </c>
      <c r="J980" t="n">
        <v>5728.75</v>
      </c>
      <c r="K980" s="13" t="n">
        <v>0.19</v>
      </c>
      <c r="L980" t="n">
        <v>1088.46</v>
      </c>
      <c r="M980" t="n">
        <v>6817.21</v>
      </c>
      <c r="N980" t="inlineStr">
        <is>
          <t>RON</t>
        </is>
      </c>
      <c r="O980" t="inlineStr">
        <is>
          <t>Pitești</t>
        </is>
      </c>
      <c r="P980" s="12" t="n">
        <v>46335</v>
      </c>
      <c r="Q980">
        <f>IF(COUNTIF(tbl_Localitati[oras_oficial],[@oras])=0,"ORAS NEALINIAT",IF(XLOOKUP([@oras],tbl_Localitati[oras_oficial],tbl_Localitati[judet],"?")&lt;&gt;[@judet],"JUDET NECORESPUNZATOR",""))</f>
        <v/>
      </c>
      <c r="R980">
        <f>IF(XLOOKUP([@categorie],tbl_RegulriTVA[categorie],tbl_RegulriTVA[cota_legala],-1)&lt;&gt;[@cota_tva],"TVA GRESIT","")</f>
        <v/>
      </c>
      <c r="S980">
        <f>IF([@data_scadentei]&lt;[@data_factura],"SCADENTA INAINTEA FACTURII","")</f>
        <v/>
      </c>
      <c r="T980">
        <f>IF(NETWORKDAYS.INTL([@data_factura],[@data_factura],1,tbl_SarbatoriLegale[data])=0,"ZI NELUCRATOARE","")</f>
        <v/>
      </c>
      <c r="U980">
        <f>IF([@motiv_anomalie]="","OK","DE INVESTIGAT")</f>
        <v/>
      </c>
      <c r="V980">
        <f>TEXTJOIN("; ",TRUE,[@flag_oras],[@flag_tva],[@flag_scadenta],[@flag_zi])</f>
        <v/>
      </c>
    </row>
    <row r="981">
      <c r="A981" t="inlineStr">
        <is>
          <t>F-2025-00980</t>
        </is>
      </c>
      <c r="B981" s="12" t="n">
        <v>46300</v>
      </c>
      <c r="C981" t="inlineStr">
        <is>
          <t>SC PROVITA MEDICAL SRL</t>
        </is>
      </c>
      <c r="D981" t="inlineStr">
        <is>
          <t>Mureș</t>
        </is>
      </c>
      <c r="E981" t="inlineStr">
        <is>
          <t>PRD-009</t>
        </is>
      </c>
      <c r="F981" t="inlineStr">
        <is>
          <t>Laptop business 15"</t>
        </is>
      </c>
      <c r="G981" t="inlineStr">
        <is>
          <t>Hardware IT</t>
        </is>
      </c>
      <c r="H981" t="n">
        <v>10</v>
      </c>
      <c r="I981" t="n">
        <v>26.82</v>
      </c>
      <c r="J981" t="n">
        <v>268.2</v>
      </c>
      <c r="K981" s="13" t="n">
        <v>0.19</v>
      </c>
      <c r="L981" t="n">
        <v>50.96</v>
      </c>
      <c r="M981" t="n">
        <v>319.16</v>
      </c>
      <c r="N981" t="inlineStr">
        <is>
          <t>RON</t>
        </is>
      </c>
      <c r="O981" t="inlineStr">
        <is>
          <t>Târgu Mureș</t>
        </is>
      </c>
      <c r="P981" s="12" t="n">
        <v>46345</v>
      </c>
      <c r="Q981">
        <f>IF(COUNTIF(tbl_Localitati[oras_oficial],[@oras])=0,"ORAS NEALINIAT",IF(XLOOKUP([@oras],tbl_Localitati[oras_oficial],tbl_Localitati[judet],"?")&lt;&gt;[@judet],"JUDET NECORESPUNZATOR",""))</f>
        <v/>
      </c>
      <c r="R981">
        <f>IF(XLOOKUP([@categorie],tbl_RegulriTVA[categorie],tbl_RegulriTVA[cota_legala],-1)&lt;&gt;[@cota_tva],"TVA GRESIT","")</f>
        <v/>
      </c>
      <c r="S981">
        <f>IF([@data_scadentei]&lt;[@data_factura],"SCADENTA INAINTEA FACTURII","")</f>
        <v/>
      </c>
      <c r="T981">
        <f>IF(NETWORKDAYS.INTL([@data_factura],[@data_factura],1,tbl_SarbatoriLegale[data])=0,"ZI NELUCRATOARE","")</f>
        <v/>
      </c>
      <c r="U981">
        <f>IF([@motiv_anomalie]="","OK","DE INVESTIGAT")</f>
        <v/>
      </c>
      <c r="V981">
        <f>TEXTJOIN("; ",TRUE,[@flag_oras],[@flag_tva],[@flag_scadenta],[@flag_zi])</f>
        <v/>
      </c>
    </row>
    <row r="982">
      <c r="A982" t="inlineStr">
        <is>
          <t>F-2025-00981</t>
        </is>
      </c>
      <c r="B982" s="12" t="n">
        <v>46342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Statie de lucru desktop</t>
        </is>
      </c>
      <c r="G982" t="inlineStr">
        <is>
          <t>Hardware IT</t>
        </is>
      </c>
      <c r="H982" t="n">
        <v>50</v>
      </c>
      <c r="I982" t="n">
        <v>28.52</v>
      </c>
      <c r="J982" t="n">
        <v>1426</v>
      </c>
      <c r="K982" s="13" t="n">
        <v>0.19</v>
      </c>
      <c r="L982" t="n">
        <v>270.94</v>
      </c>
      <c r="M982" t="n">
        <v>1696.94</v>
      </c>
      <c r="N982" t="inlineStr">
        <is>
          <t>RON</t>
        </is>
      </c>
      <c r="O982" t="inlineStr">
        <is>
          <t>Sibiu</t>
        </is>
      </c>
      <c r="P982" s="12" t="n">
        <v>46357</v>
      </c>
      <c r="Q982">
        <f>IF(COUNTIF(tbl_Localitati[oras_oficial],[@oras])=0,"ORAS NEALINIAT",IF(XLOOKUP([@oras],tbl_Localitati[oras_oficial],tbl_Localitati[judet],"?")&lt;&gt;[@judet],"JUDET NECORESPUNZATOR",""))</f>
        <v/>
      </c>
      <c r="R982">
        <f>IF(XLOOKUP([@categorie],tbl_RegulriTVA[categorie],tbl_RegulriTVA[cota_legala],-1)&lt;&gt;[@cota_tva],"TVA GRESIT","")</f>
        <v/>
      </c>
      <c r="S982">
        <f>IF([@data_scadentei]&lt;[@data_factura],"SCADENTA INAINTEA FACTURII","")</f>
        <v/>
      </c>
      <c r="T982">
        <f>IF(NETWORKDAYS.INTL([@data_factura],[@data_factura],1,tbl_SarbatoriLegale[data])=0,"ZI NELUCRATOARE","")</f>
        <v/>
      </c>
      <c r="U982">
        <f>IF([@motiv_anomalie]="","OK","DE INVESTIGAT")</f>
        <v/>
      </c>
      <c r="V982">
        <f>TEXTJOIN("; ",TRUE,[@flag_oras],[@flag_tva],[@flag_scadenta],[@flag_zi])</f>
        <v/>
      </c>
    </row>
    <row r="983">
      <c r="A983" t="inlineStr">
        <is>
          <t>F-2025-00982</t>
        </is>
      </c>
      <c r="B983" s="12" t="n">
        <v>46203</v>
      </c>
      <c r="C983" t="inlineStr">
        <is>
          <t>SC METALPLAST INVEST SA</t>
        </is>
      </c>
      <c r="D983" t="inlineStr">
        <is>
          <t>Cluj</t>
        </is>
      </c>
      <c r="E983" t="inlineStr">
        <is>
          <t>PRD-011</t>
        </is>
      </c>
      <c r="F983" t="inlineStr">
        <is>
          <t>Server rack 1U</t>
        </is>
      </c>
      <c r="G983" t="inlineStr">
        <is>
          <t>Hardware IT</t>
        </is>
      </c>
      <c r="H983" t="n">
        <v>20</v>
      </c>
      <c r="I983" t="n">
        <v>44.37</v>
      </c>
      <c r="J983" t="n">
        <v>887.4</v>
      </c>
      <c r="K983" s="13" t="n">
        <v>0.19</v>
      </c>
      <c r="L983" t="n">
        <v>168.61</v>
      </c>
      <c r="M983" t="n">
        <v>1056.01</v>
      </c>
      <c r="N983" t="inlineStr">
        <is>
          <t>RON</t>
        </is>
      </c>
      <c r="O983" t="inlineStr">
        <is>
          <t>Turda</t>
        </is>
      </c>
      <c r="P983" s="12" t="n">
        <v>46233</v>
      </c>
      <c r="Q983">
        <f>IF(COUNTIF(tbl_Localitati[oras_oficial],[@oras])=0,"ORAS NEALINIAT",IF(XLOOKUP([@oras],tbl_Localitati[oras_oficial],tbl_Localitati[judet],"?")&lt;&gt;[@judet],"JUDET NECORESPUNZATOR",""))</f>
        <v/>
      </c>
      <c r="R983">
        <f>IF(XLOOKUP([@categorie],tbl_RegulriTVA[categorie],tbl_RegulriTVA[cota_legala],-1)&lt;&gt;[@cota_tva],"TVA GRESIT","")</f>
        <v/>
      </c>
      <c r="S983">
        <f>IF([@data_scadentei]&lt;[@data_factura],"SCADENTA INAINTEA FACTURII","")</f>
        <v/>
      </c>
      <c r="T983">
        <f>IF(NETWORKDAYS.INTL([@data_factura],[@data_factura],1,tbl_SarbatoriLegale[data])=0,"ZI NELUCRATOARE","")</f>
        <v/>
      </c>
      <c r="U983">
        <f>IF([@motiv_anomalie]="","OK","DE INVESTIGAT")</f>
        <v/>
      </c>
      <c r="V983">
        <f>TEXTJOIN("; ",TRUE,[@flag_oras],[@flag_tva],[@flag_scadenta],[@flag_zi])</f>
        <v/>
      </c>
    </row>
    <row r="984">
      <c r="A984" t="inlineStr">
        <is>
          <t>F-2025-00983</t>
        </is>
      </c>
      <c r="B984" s="12" t="n">
        <v>46092</v>
      </c>
      <c r="C984" t="inlineStr">
        <is>
          <t>SC AROMET TRADING SRL</t>
        </is>
      </c>
      <c r="D984" t="inlineStr">
        <is>
          <t>Alba</t>
        </is>
      </c>
      <c r="E984" t="inlineStr">
        <is>
          <t>PRD-010</t>
        </is>
      </c>
      <c r="F984" t="inlineStr">
        <is>
          <t>Switch gigabit 24p</t>
        </is>
      </c>
      <c r="G984" t="inlineStr">
        <is>
          <t>Hardware IT</t>
        </is>
      </c>
      <c r="H984" t="n">
        <v>50</v>
      </c>
      <c r="I984" t="n">
        <v>367.46</v>
      </c>
      <c r="J984" t="n">
        <v>18373</v>
      </c>
      <c r="K984" s="13" t="n">
        <v>0.19</v>
      </c>
      <c r="L984" t="n">
        <v>3490.87</v>
      </c>
      <c r="M984" t="n">
        <v>21863.87</v>
      </c>
      <c r="N984" t="inlineStr">
        <is>
          <t>RON</t>
        </is>
      </c>
      <c r="O984" t="inlineStr">
        <is>
          <t>Alba Iulia</t>
        </is>
      </c>
      <c r="P984" s="12" t="n">
        <v>46107</v>
      </c>
      <c r="Q984">
        <f>IF(COUNTIF(tbl_Localitati[oras_oficial],[@oras])=0,"ORAS NEALINIAT",IF(XLOOKUP([@oras],tbl_Localitati[oras_oficial],tbl_Localitati[judet],"?")&lt;&gt;[@judet],"JUDET NECORESPUNZATOR",""))</f>
        <v/>
      </c>
      <c r="R984">
        <f>IF(XLOOKUP([@categorie],tbl_RegulriTVA[categorie],tbl_RegulriTVA[cota_legala],-1)&lt;&gt;[@cota_tva],"TVA GRESIT","")</f>
        <v/>
      </c>
      <c r="S984">
        <f>IF([@data_scadentei]&lt;[@data_factura],"SCADENTA INAINTEA FACTURII","")</f>
        <v/>
      </c>
      <c r="T984">
        <f>IF(NETWORKDAYS.INTL([@data_factura],[@data_factura],1,tbl_SarbatoriLegale[data])=0,"ZI NELUCRATOARE","")</f>
        <v/>
      </c>
      <c r="U984">
        <f>IF([@motiv_anomalie]="","OK","DE INVESTIGAT")</f>
        <v/>
      </c>
      <c r="V984">
        <f>TEXTJOIN("; ",TRUE,[@flag_oras],[@flag_tva],[@flag_scadenta],[@flag_zi])</f>
        <v/>
      </c>
    </row>
    <row r="985">
      <c r="A985" t="inlineStr">
        <is>
          <t>F-2025-00984</t>
        </is>
      </c>
      <c r="B985" s="12" t="n">
        <v>46300</v>
      </c>
      <c r="C985" t="inlineStr">
        <is>
          <t>SC DACTECH SOLUTIONS SRL</t>
        </is>
      </c>
      <c r="D985" t="inlineStr">
        <is>
          <t>Argeș</t>
        </is>
      </c>
      <c r="E985" t="inlineStr">
        <is>
          <t>PRD-002</t>
        </is>
      </c>
      <c r="F985" t="inlineStr">
        <is>
          <t>Termometru digital</t>
        </is>
      </c>
      <c r="G985" t="inlineStr">
        <is>
          <t>Produse farmaceutice</t>
        </is>
      </c>
      <c r="H985" t="n">
        <v>3</v>
      </c>
      <c r="I985" t="n">
        <v>1110.74</v>
      </c>
      <c r="J985" t="n">
        <v>3332.22</v>
      </c>
      <c r="K985" s="13" t="n">
        <v>0.09</v>
      </c>
      <c r="L985" t="n">
        <v>299.9</v>
      </c>
      <c r="M985" t="n">
        <v>3632.12</v>
      </c>
      <c r="N985" t="inlineStr">
        <is>
          <t>RON</t>
        </is>
      </c>
      <c r="O985" t="inlineStr">
        <is>
          <t>Pitești</t>
        </is>
      </c>
      <c r="P985" s="12" t="n">
        <v>46360</v>
      </c>
      <c r="Q985">
        <f>IF(COUNTIF(tbl_Localitati[oras_oficial],[@oras])=0,"ORAS NEALINIAT",IF(XLOOKUP([@oras],tbl_Localitati[oras_oficial],tbl_Localitati[judet],"?")&lt;&gt;[@judet],"JUDET NECORESPUNZATOR",""))</f>
        <v/>
      </c>
      <c r="R985">
        <f>IF(XLOOKUP([@categorie],tbl_RegulriTVA[categorie],tbl_RegulriTVA[cota_legala],-1)&lt;&gt;[@cota_tva],"TVA GRESIT","")</f>
        <v/>
      </c>
      <c r="S985">
        <f>IF([@data_scadentei]&lt;[@data_factura],"SCADENTA INAINTEA FACTURII","")</f>
        <v/>
      </c>
      <c r="T985">
        <f>IF(NETWORKDAYS.INTL([@data_factura],[@data_factura],1,tbl_SarbatoriLegale[data])=0,"ZI NELUCRATOARE","")</f>
        <v/>
      </c>
      <c r="U985">
        <f>IF([@motiv_anomalie]="","OK","DE INVESTIGAT")</f>
        <v/>
      </c>
      <c r="V985">
        <f>TEXTJOIN("; ",TRUE,[@flag_oras],[@flag_tva],[@flag_scadenta],[@flag_zi])</f>
        <v/>
      </c>
    </row>
    <row r="986">
      <c r="A986" t="inlineStr">
        <is>
          <t>F-2025-00985</t>
        </is>
      </c>
      <c r="B986" s="12" t="n">
        <v>46148</v>
      </c>
      <c r="C986" t="inlineStr">
        <is>
          <t>SC METALPLAST INVEST SA</t>
        </is>
      </c>
      <c r="D986" t="inlineStr">
        <is>
          <t>Cluj</t>
        </is>
      </c>
      <c r="E986" t="inlineStr">
        <is>
          <t>PRD-004</t>
        </is>
      </c>
      <c r="F986" t="inlineStr">
        <is>
          <t>Server rack 1U</t>
        </is>
      </c>
      <c r="G986" t="inlineStr">
        <is>
          <t>Hardware IT</t>
        </is>
      </c>
      <c r="H986" t="n">
        <v>2</v>
      </c>
      <c r="I986" t="n">
        <v>930.08</v>
      </c>
      <c r="J986" t="n">
        <v>1860.16</v>
      </c>
      <c r="K986" s="13" t="n">
        <v>0.19</v>
      </c>
      <c r="L986" t="n">
        <v>353.43</v>
      </c>
      <c r="M986" t="n">
        <v>2213.59</v>
      </c>
      <c r="N986" t="inlineStr">
        <is>
          <t>USD</t>
        </is>
      </c>
      <c r="O986" t="inlineStr">
        <is>
          <t>Turda</t>
        </is>
      </c>
      <c r="P986" s="12" t="n">
        <v>46178</v>
      </c>
      <c r="Q986">
        <f>IF(COUNTIF(tbl_Localitati[oras_oficial],[@oras])=0,"ORAS NEALINIAT",IF(XLOOKUP([@oras],tbl_Localitati[oras_oficial],tbl_Localitati[judet],"?")&lt;&gt;[@judet],"JUDET NECORESPUNZATOR",""))</f>
        <v/>
      </c>
      <c r="R986">
        <f>IF(XLOOKUP([@categorie],tbl_RegulriTVA[categorie],tbl_RegulriTVA[cota_legala],-1)&lt;&gt;[@cota_tva],"TVA GRESIT","")</f>
        <v/>
      </c>
      <c r="S986">
        <f>IF([@data_scadentei]&lt;[@data_factura],"SCADENTA INAINTEA FACTURII","")</f>
        <v/>
      </c>
      <c r="T986">
        <f>IF(NETWORKDAYS.INTL([@data_factura],[@data_factura],1,tbl_SarbatoriLegale[data])=0,"ZI NELUCRATOARE","")</f>
        <v/>
      </c>
      <c r="U986">
        <f>IF([@motiv_anomalie]="","OK","DE INVESTIGAT")</f>
        <v/>
      </c>
      <c r="V986">
        <f>TEXTJOIN("; ",TRUE,[@flag_oras],[@flag_tva],[@flag_scadenta],[@flag_zi])</f>
        <v/>
      </c>
    </row>
    <row r="987">
      <c r="A987" t="inlineStr">
        <is>
          <t>F-2025-00986</t>
        </is>
      </c>
      <c r="B987" s="12" t="n">
        <v>46147</v>
      </c>
      <c r="C987" t="inlineStr">
        <is>
          <t>SC INTEGROMED SA</t>
        </is>
      </c>
      <c r="D987" t="inlineStr">
        <is>
          <t>Cluj</t>
        </is>
      </c>
      <c r="E987" t="inlineStr">
        <is>
          <t>PRD-004</t>
        </is>
      </c>
      <c r="F987" t="inlineStr">
        <is>
          <t>Trusa prim ajutor</t>
        </is>
      </c>
      <c r="G987" t="inlineStr">
        <is>
          <t>Produse farmaceutice</t>
        </is>
      </c>
      <c r="H987" t="n">
        <v>2</v>
      </c>
      <c r="I987" t="n">
        <v>921.8200000000001</v>
      </c>
      <c r="J987" t="n">
        <v>1843.64</v>
      </c>
      <c r="K987" s="13" t="n">
        <v>0.09</v>
      </c>
      <c r="L987" t="n">
        <v>165.93</v>
      </c>
      <c r="M987" t="n">
        <v>2009.57</v>
      </c>
      <c r="N987" t="inlineStr">
        <is>
          <t>RON</t>
        </is>
      </c>
      <c r="O987" t="inlineStr">
        <is>
          <t>Cluj-Napoca</t>
        </is>
      </c>
      <c r="P987" s="12" t="n">
        <v>46177</v>
      </c>
      <c r="Q987">
        <f>IF(COUNTIF(tbl_Localitati[oras_oficial],[@oras])=0,"ORAS NEALINIAT",IF(XLOOKUP([@oras],tbl_Localitati[oras_oficial],tbl_Localitati[judet],"?")&lt;&gt;[@judet],"JUDET NECORESPUNZATOR",""))</f>
        <v/>
      </c>
      <c r="R987">
        <f>IF(XLOOKUP([@categorie],tbl_RegulriTVA[categorie],tbl_RegulriTVA[cota_legala],-1)&lt;&gt;[@cota_tva],"TVA GRESIT","")</f>
        <v/>
      </c>
      <c r="S987">
        <f>IF([@data_scadentei]&lt;[@data_factura],"SCADENTA INAINTEA FACTURII","")</f>
        <v/>
      </c>
      <c r="T987">
        <f>IF(NETWORKDAYS.INTL([@data_factura],[@data_factura],1,tbl_SarbatoriLegale[data])=0,"ZI NELUCRATOARE","")</f>
        <v/>
      </c>
      <c r="U987">
        <f>IF([@motiv_anomalie]="","OK","DE INVESTIGAT")</f>
        <v/>
      </c>
      <c r="V987">
        <f>TEXTJOIN("; ",TRUE,[@flag_oras],[@flag_tva],[@flag_scadenta],[@flag_zi])</f>
        <v/>
      </c>
    </row>
    <row r="988">
      <c r="A988" t="inlineStr">
        <is>
          <t>F-2025-00987</t>
        </is>
      </c>
      <c r="B988" s="12" t="n">
        <v>46167</v>
      </c>
      <c r="C988" t="inlineStr">
        <is>
          <t>SC SOLARIS ENERGY SRL</t>
        </is>
      </c>
      <c r="D988" t="inlineStr">
        <is>
          <t>Prahova</t>
        </is>
      </c>
      <c r="E988" t="inlineStr">
        <is>
          <t>PRD-002</t>
        </is>
      </c>
      <c r="F988" t="inlineStr">
        <is>
          <t>Consultanta implementare IT</t>
        </is>
      </c>
      <c r="G988" t="inlineStr">
        <is>
          <t>Servicii consultanță</t>
        </is>
      </c>
      <c r="H988" t="n">
        <v>2</v>
      </c>
      <c r="I988" t="n">
        <v>1154.08</v>
      </c>
      <c r="J988" t="n">
        <v>2308.16</v>
      </c>
      <c r="K988" s="13" t="n">
        <v>0.19</v>
      </c>
      <c r="L988" t="n">
        <v>438.55</v>
      </c>
      <c r="M988" t="n">
        <v>2746.71</v>
      </c>
      <c r="N988" t="inlineStr">
        <is>
          <t>RON</t>
        </is>
      </c>
      <c r="O988" t="inlineStr">
        <is>
          <t>Câmpina</t>
        </is>
      </c>
      <c r="P988" s="12" t="n">
        <v>46182</v>
      </c>
      <c r="Q988">
        <f>IF(COUNTIF(tbl_Localitati[oras_oficial],[@oras])=0,"ORAS NEALINIAT",IF(XLOOKUP([@oras],tbl_Localitati[oras_oficial],tbl_Localitati[judet],"?")&lt;&gt;[@judet],"JUDET NECORESPUNZATOR",""))</f>
        <v/>
      </c>
      <c r="R988">
        <f>IF(XLOOKUP([@categorie],tbl_RegulriTVA[categorie],tbl_RegulriTVA[cota_legala],-1)&lt;&gt;[@cota_tva],"TVA GRESIT","")</f>
        <v/>
      </c>
      <c r="S988">
        <f>IF([@data_scadentei]&lt;[@data_factura],"SCADENTA INAINTEA FACTURII","")</f>
        <v/>
      </c>
      <c r="T988">
        <f>IF(NETWORKDAYS.INTL([@data_factura],[@data_factura],1,tbl_SarbatoriLegale[data])=0,"ZI NELUCRATOARE","")</f>
        <v/>
      </c>
      <c r="U988">
        <f>IF([@motiv_anomalie]="","OK","DE INVESTIGAT")</f>
        <v/>
      </c>
      <c r="V988">
        <f>TEXTJOIN("; ",TRUE,[@flag_oras],[@flag_tva],[@flag_scadenta],[@flag_zi])</f>
        <v/>
      </c>
    </row>
    <row r="989">
      <c r="A989" t="inlineStr">
        <is>
          <t>F-2025-00988</t>
        </is>
      </c>
      <c r="B989" s="12" t="n">
        <v>46108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Laptop business 15"</t>
        </is>
      </c>
      <c r="G989" t="inlineStr">
        <is>
          <t>Hardware IT</t>
        </is>
      </c>
      <c r="H989" t="n">
        <v>10</v>
      </c>
      <c r="I989" t="n">
        <v>352.07</v>
      </c>
      <c r="J989" t="n">
        <v>3520.7</v>
      </c>
      <c r="K989" s="13" t="n">
        <v>0.19</v>
      </c>
      <c r="L989" t="n">
        <v>668.9299999999999</v>
      </c>
      <c r="M989" t="n">
        <v>4189.63</v>
      </c>
      <c r="N989" t="inlineStr">
        <is>
          <t>RON</t>
        </is>
      </c>
      <c r="O989" t="inlineStr">
        <is>
          <t>Sibiu</t>
        </is>
      </c>
      <c r="P989" s="12" t="n">
        <v>46153</v>
      </c>
      <c r="Q989">
        <f>IF(COUNTIF(tbl_Localitati[oras_oficial],[@oras])=0,"ORAS NEALINIAT",IF(XLOOKUP([@oras],tbl_Localitati[oras_oficial],tbl_Localitati[judet],"?")&lt;&gt;[@judet],"JUDET NECORESPUNZATOR",""))</f>
        <v/>
      </c>
      <c r="R989">
        <f>IF(XLOOKUP([@categorie],tbl_RegulriTVA[categorie],tbl_RegulriTVA[cota_legala],-1)&lt;&gt;[@cota_tva],"TVA GRESIT","")</f>
        <v/>
      </c>
      <c r="S989">
        <f>IF([@data_scadentei]&lt;[@data_factura],"SCADENTA INAINTEA FACTURII","")</f>
        <v/>
      </c>
      <c r="T989">
        <f>IF(NETWORKDAYS.INTL([@data_factura],[@data_factura],1,tbl_SarbatoriLegale[data])=0,"ZI NELUCRATOARE","")</f>
        <v/>
      </c>
      <c r="U989">
        <f>IF([@motiv_anomalie]="","OK","DE INVESTIGAT")</f>
        <v/>
      </c>
      <c r="V989">
        <f>TEXTJOIN("; ",TRUE,[@flag_oras],[@flag_tva],[@flag_scadenta],[@flag_zi])</f>
        <v/>
      </c>
    </row>
    <row r="990">
      <c r="A990" t="inlineStr">
        <is>
          <t>F-2025-00989</t>
        </is>
      </c>
      <c r="B990" s="12" t="n">
        <v>46052</v>
      </c>
      <c r="C990" t="inlineStr">
        <is>
          <t>SC OMEGA SOFT SRL</t>
        </is>
      </c>
      <c r="D990" t="inlineStr">
        <is>
          <t>Dolj</t>
        </is>
      </c>
      <c r="E990" t="inlineStr">
        <is>
          <t>PRD-001</t>
        </is>
      </c>
      <c r="F990" t="inlineStr">
        <is>
          <t>Videoproiector sala</t>
        </is>
      </c>
      <c r="G990" t="inlineStr">
        <is>
          <t>Echipamente birou</t>
        </is>
      </c>
      <c r="H990" t="n">
        <v>1</v>
      </c>
      <c r="I990" t="n">
        <v>2325.97</v>
      </c>
      <c r="J990" t="n">
        <v>2325.97</v>
      </c>
      <c r="K990" s="13" t="n">
        <v>0.19</v>
      </c>
      <c r="L990" t="n">
        <v>441.93</v>
      </c>
      <c r="M990" t="n">
        <v>2767.9</v>
      </c>
      <c r="N990" t="inlineStr">
        <is>
          <t>RON</t>
        </is>
      </c>
      <c r="O990" t="inlineStr">
        <is>
          <t>Craiova</t>
        </is>
      </c>
      <c r="P990" s="12" t="n">
        <v>46082</v>
      </c>
      <c r="Q990">
        <f>IF(COUNTIF(tbl_Localitati[oras_oficial],[@oras])=0,"ORAS NEALINIAT",IF(XLOOKUP([@oras],tbl_Localitati[oras_oficial],tbl_Localitati[judet],"?")&lt;&gt;[@judet],"JUDET NECORESPUNZATOR",""))</f>
        <v/>
      </c>
      <c r="R990">
        <f>IF(XLOOKUP([@categorie],tbl_RegulriTVA[categorie],tbl_RegulriTVA[cota_legala],-1)&lt;&gt;[@cota_tva],"TVA GRESIT","")</f>
        <v/>
      </c>
      <c r="S990">
        <f>IF([@data_scadentei]&lt;[@data_factura],"SCADENTA INAINTEA FACTURII","")</f>
        <v/>
      </c>
      <c r="T990">
        <f>IF(NETWORKDAYS.INTL([@data_factura],[@data_factura],1,tbl_SarbatoriLegale[data])=0,"ZI NELUCRATOARE","")</f>
        <v/>
      </c>
      <c r="U990">
        <f>IF([@motiv_anomalie]="","OK","DE INVESTIGAT")</f>
        <v/>
      </c>
      <c r="V990">
        <f>TEXTJOIN("; ",TRUE,[@flag_oras],[@flag_tva],[@flag_scadenta],[@flag_zi])</f>
        <v/>
      </c>
    </row>
    <row r="991">
      <c r="A991" t="inlineStr">
        <is>
          <t>F-2025-00990</t>
        </is>
      </c>
      <c r="B991" s="12" t="n">
        <v>46337</v>
      </c>
      <c r="C991" t="inlineStr">
        <is>
          <t>SC RAPID LOGISTIC SA</t>
        </is>
      </c>
      <c r="D991" t="inlineStr">
        <is>
          <t>Prahova</t>
        </is>
      </c>
      <c r="E991" t="inlineStr">
        <is>
          <t>PRD-006</t>
        </is>
      </c>
      <c r="F991" t="inlineStr">
        <is>
          <t>Ghid legislatie GDPR</t>
        </is>
      </c>
      <c r="G991" t="inlineStr">
        <is>
          <t>Cărți și manuale</t>
        </is>
      </c>
      <c r="H991" t="n">
        <v>25</v>
      </c>
      <c r="I991" t="n">
        <v>752.45</v>
      </c>
      <c r="J991" t="n">
        <v>18811.25</v>
      </c>
      <c r="K991" s="13" t="n">
        <v>0.05</v>
      </c>
      <c r="L991" t="n">
        <v>940.5599999999999</v>
      </c>
      <c r="M991" t="n">
        <v>19751.81</v>
      </c>
      <c r="N991" t="inlineStr">
        <is>
          <t>RON</t>
        </is>
      </c>
      <c r="O991" t="inlineStr">
        <is>
          <t>Ploiești</t>
        </is>
      </c>
      <c r="P991" s="12" t="n">
        <v>46367</v>
      </c>
      <c r="Q991">
        <f>IF(COUNTIF(tbl_Localitati[oras_oficial],[@oras])=0,"ORAS NEALINIAT",IF(XLOOKUP([@oras],tbl_Localitati[oras_oficial],tbl_Localitati[judet],"?")&lt;&gt;[@judet],"JUDET NECORESPUNZATOR",""))</f>
        <v/>
      </c>
      <c r="R991">
        <f>IF(XLOOKUP([@categorie],tbl_RegulriTVA[categorie],tbl_RegulriTVA[cota_legala],-1)&lt;&gt;[@cota_tva],"TVA GRESIT","")</f>
        <v/>
      </c>
      <c r="S991">
        <f>IF([@data_scadentei]&lt;[@data_factura],"SCADENTA INAINTEA FACTURII","")</f>
        <v/>
      </c>
      <c r="T991">
        <f>IF(NETWORKDAYS.INTL([@data_factura],[@data_factura],1,tbl_SarbatoriLegale[data])=0,"ZI NELUCRATOARE","")</f>
        <v/>
      </c>
      <c r="U991">
        <f>IF([@motiv_anomalie]="","OK","DE INVESTIGAT")</f>
        <v/>
      </c>
      <c r="V991">
        <f>TEXTJOIN("; ",TRUE,[@flag_oras],[@flag_tva],[@flag_scadenta],[@flag_zi])</f>
        <v/>
      </c>
    </row>
    <row r="992">
      <c r="A992" t="inlineStr">
        <is>
          <t>F-2025-00991</t>
        </is>
      </c>
      <c r="B992" s="12" t="n">
        <v>46232</v>
      </c>
      <c r="C992" t="inlineStr">
        <is>
          <t>SC METALPLAST INVEST SA</t>
        </is>
      </c>
      <c r="D992" t="inlineStr">
        <is>
          <t>Cluj</t>
        </is>
      </c>
      <c r="E992" t="inlineStr">
        <is>
          <t>PRD-009</t>
        </is>
      </c>
      <c r="F992" t="inlineStr">
        <is>
          <t>Laptop business 15"</t>
        </is>
      </c>
      <c r="G992" t="inlineStr">
        <is>
          <t>Hardware IT</t>
        </is>
      </c>
      <c r="H992" t="n">
        <v>5</v>
      </c>
      <c r="I992" t="n">
        <v>29.04</v>
      </c>
      <c r="J992" t="n">
        <v>145.2</v>
      </c>
      <c r="K992" s="13" t="n">
        <v>0.19</v>
      </c>
      <c r="L992" t="n">
        <v>27.59</v>
      </c>
      <c r="M992" t="n">
        <v>172.79</v>
      </c>
      <c r="N992" t="inlineStr">
        <is>
          <t>RON</t>
        </is>
      </c>
      <c r="O992" t="inlineStr">
        <is>
          <t>Turda</t>
        </is>
      </c>
      <c r="P992" s="12" t="n">
        <v>46222</v>
      </c>
      <c r="Q992">
        <f>IF(COUNTIF(tbl_Localitati[oras_oficial],[@oras])=0,"ORAS NEALINIAT",IF(XLOOKUP([@oras],tbl_Localitati[oras_oficial],tbl_Localitati[judet],"?")&lt;&gt;[@judet],"JUDET NECORESPUNZATOR",""))</f>
        <v/>
      </c>
      <c r="R992">
        <f>IF(XLOOKUP([@categorie],tbl_RegulriTVA[categorie],tbl_RegulriTVA[cota_legala],-1)&lt;&gt;[@cota_tva],"TVA GRESIT","")</f>
        <v/>
      </c>
      <c r="S992">
        <f>IF([@data_scadentei]&lt;[@data_factura],"SCADENTA INAINTEA FACTURII","")</f>
        <v/>
      </c>
      <c r="T992">
        <f>IF(NETWORKDAYS.INTL([@data_factura],[@data_factura],1,tbl_SarbatoriLegale[data])=0,"ZI NELUCRATOARE","")</f>
        <v/>
      </c>
      <c r="U992">
        <f>IF([@motiv_anomalie]="","OK","DE INVESTIGAT")</f>
        <v/>
      </c>
      <c r="V992">
        <f>TEXTJOIN("; ",TRUE,[@flag_oras],[@flag_tva],[@flag_scadenta],[@flag_zi])</f>
        <v/>
      </c>
    </row>
    <row r="993">
      <c r="A993" t="inlineStr">
        <is>
          <t>F-2025-00992</t>
        </is>
      </c>
      <c r="B993" s="12" t="n">
        <v>46100</v>
      </c>
      <c r="C993" t="inlineStr">
        <is>
          <t>SC NORDIS DISTRIBUTIE SRL</t>
        </is>
      </c>
      <c r="D993" t="inlineStr">
        <is>
          <t>Constanța</t>
        </is>
      </c>
      <c r="E993" t="inlineStr">
        <is>
          <t>PRD-011</t>
        </is>
      </c>
      <c r="F993" t="inlineStr">
        <is>
          <t>Licenta ERP contabilitate</t>
        </is>
      </c>
      <c r="G993" t="inlineStr">
        <is>
          <t>Licențe software</t>
        </is>
      </c>
      <c r="H993" t="n">
        <v>50</v>
      </c>
      <c r="I993" t="n">
        <v>44.26</v>
      </c>
      <c r="J993" t="n">
        <v>2213</v>
      </c>
      <c r="K993" s="13" t="n">
        <v>0.19</v>
      </c>
      <c r="L993" t="n">
        <v>420.47</v>
      </c>
      <c r="M993" t="n">
        <v>2633.47</v>
      </c>
      <c r="N993" t="inlineStr">
        <is>
          <t>RON</t>
        </is>
      </c>
      <c r="O993" t="inlineStr">
        <is>
          <t>Mangalia</t>
        </is>
      </c>
      <c r="P993" s="12" t="n">
        <v>46130</v>
      </c>
      <c r="Q993">
        <f>IF(COUNTIF(tbl_Localitati[oras_oficial],[@oras])=0,"ORAS NEALINIAT",IF(XLOOKUP([@oras],tbl_Localitati[oras_oficial],tbl_Localitati[judet],"?")&lt;&gt;[@judet],"JUDET NECORESPUNZATOR",""))</f>
        <v/>
      </c>
      <c r="R993">
        <f>IF(XLOOKUP([@categorie],tbl_RegulriTVA[categorie],tbl_RegulriTVA[cota_legala],-1)&lt;&gt;[@cota_tva],"TVA GRESIT","")</f>
        <v/>
      </c>
      <c r="S993">
        <f>IF([@data_scadentei]&lt;[@data_factura],"SCADENTA INAINTEA FACTURII","")</f>
        <v/>
      </c>
      <c r="T993">
        <f>IF(NETWORKDAYS.INTL([@data_factura],[@data_factura],1,tbl_SarbatoriLegale[data])=0,"ZI NELUCRATOARE","")</f>
        <v/>
      </c>
      <c r="U993">
        <f>IF([@motiv_anomalie]="","OK","DE INVESTIGAT")</f>
        <v/>
      </c>
      <c r="V993">
        <f>TEXTJOIN("; ",TRUE,[@flag_oras],[@flag_tva],[@flag_scadenta],[@flag_zi])</f>
        <v/>
      </c>
    </row>
    <row r="994">
      <c r="A994" t="inlineStr">
        <is>
          <t>F-2025-00993</t>
        </is>
      </c>
      <c r="B994" s="12" t="n">
        <v>46258</v>
      </c>
      <c r="C994" t="inlineStr">
        <is>
          <t>SC METALPLAST INVEST SA</t>
        </is>
      </c>
      <c r="D994" t="inlineStr">
        <is>
          <t>Cluj</t>
        </is>
      </c>
      <c r="E994" t="inlineStr">
        <is>
          <t>PRD-002</t>
        </is>
      </c>
      <c r="F994" t="inlineStr">
        <is>
          <t>Termometru digital</t>
        </is>
      </c>
      <c r="G994" t="inlineStr">
        <is>
          <t>Produse farmaceutice</t>
        </is>
      </c>
      <c r="H994" t="n">
        <v>5</v>
      </c>
      <c r="I994" t="n">
        <v>1126.57</v>
      </c>
      <c r="J994" t="n">
        <v>5632.85</v>
      </c>
      <c r="K994" s="13" t="n">
        <v>0.09</v>
      </c>
      <c r="L994" t="n">
        <v>506.96</v>
      </c>
      <c r="M994" t="n">
        <v>6139.81</v>
      </c>
      <c r="N994" t="inlineStr">
        <is>
          <t>RON</t>
        </is>
      </c>
      <c r="O994" t="inlineStr">
        <is>
          <t>Turda</t>
        </is>
      </c>
      <c r="P994" s="12" t="n">
        <v>46288</v>
      </c>
      <c r="Q994">
        <f>IF(COUNTIF(tbl_Localitati[oras_oficial],[@oras])=0,"ORAS NEALINIAT",IF(XLOOKUP([@oras],tbl_Localitati[oras_oficial],tbl_Localitati[judet],"?")&lt;&gt;[@judet],"JUDET NECORESPUNZATOR",""))</f>
        <v/>
      </c>
      <c r="R994">
        <f>IF(XLOOKUP([@categorie],tbl_RegulriTVA[categorie],tbl_RegulriTVA[cota_legala],-1)&lt;&gt;[@cota_tva],"TVA GRESIT","")</f>
        <v/>
      </c>
      <c r="S994">
        <f>IF([@data_scadentei]&lt;[@data_factura],"SCADENTA INAINTEA FACTURII","")</f>
        <v/>
      </c>
      <c r="T994">
        <f>IF(NETWORKDAYS.INTL([@data_factura],[@data_factura],1,tbl_SarbatoriLegale[data])=0,"ZI NELUCRATOARE","")</f>
        <v/>
      </c>
      <c r="U994">
        <f>IF([@motiv_anomalie]="","OK","DE INVESTIGAT")</f>
        <v/>
      </c>
      <c r="V994">
        <f>TEXTJOIN("; ",TRUE,[@flag_oras],[@flag_tva],[@flag_scadenta],[@flag_zi])</f>
        <v/>
      </c>
    </row>
    <row r="995">
      <c r="A995" t="inlineStr">
        <is>
          <t>F-2025-00994</t>
        </is>
      </c>
      <c r="B995" s="12" t="n">
        <v>46246</v>
      </c>
      <c r="C995" t="inlineStr">
        <is>
          <t>SC NORDIS DISTRIBUTIE SRL</t>
        </is>
      </c>
      <c r="D995" t="inlineStr">
        <is>
          <t>Constanța</t>
        </is>
      </c>
      <c r="E995" t="inlineStr">
        <is>
          <t>PRD-010</t>
        </is>
      </c>
      <c r="F995" t="inlineStr">
        <is>
          <t>Licenta antivirus enterprise</t>
        </is>
      </c>
      <c r="G995" t="inlineStr">
        <is>
          <t>Licențe software</t>
        </is>
      </c>
      <c r="H995" t="n">
        <v>50</v>
      </c>
      <c r="I995" t="n">
        <v>360.59</v>
      </c>
      <c r="J995" t="n">
        <v>18029.5</v>
      </c>
      <c r="K995" s="13" t="n">
        <v>0.19</v>
      </c>
      <c r="L995" t="n">
        <v>3425.61</v>
      </c>
      <c r="M995" t="n">
        <v>21455.11</v>
      </c>
      <c r="N995" t="inlineStr">
        <is>
          <t>RON</t>
        </is>
      </c>
      <c r="O995" t="inlineStr">
        <is>
          <t>Mangalia</t>
        </is>
      </c>
      <c r="P995" s="12" t="n">
        <v>46276</v>
      </c>
      <c r="Q995">
        <f>IF(COUNTIF(tbl_Localitati[oras_oficial],[@oras])=0,"ORAS NEALINIAT",IF(XLOOKUP([@oras],tbl_Localitati[oras_oficial],tbl_Localitati[judet],"?")&lt;&gt;[@judet],"JUDET NECORESPUNZATOR",""))</f>
        <v/>
      </c>
      <c r="R995">
        <f>IF(XLOOKUP([@categorie],tbl_RegulriTVA[categorie],tbl_RegulriTVA[cota_legala],-1)&lt;&gt;[@cota_tva],"TVA GRESIT","")</f>
        <v/>
      </c>
      <c r="S995">
        <f>IF([@data_scadentei]&lt;[@data_factura],"SCADENTA INAINTEA FACTURII","")</f>
        <v/>
      </c>
      <c r="T995">
        <f>IF(NETWORKDAYS.INTL([@data_factura],[@data_factura],1,tbl_SarbatoriLegale[data])=0,"ZI NELUCRATOARE","")</f>
        <v/>
      </c>
      <c r="U995">
        <f>IF([@motiv_anomalie]="","OK","DE INVESTIGAT")</f>
        <v/>
      </c>
      <c r="V995">
        <f>TEXTJOIN("; ",TRUE,[@flag_oras],[@flag_tva],[@flag_scadenta],[@flag_zi])</f>
        <v/>
      </c>
    </row>
    <row r="996">
      <c r="A996" t="inlineStr">
        <is>
          <t>F-2025-00995</t>
        </is>
      </c>
      <c r="B996" s="12" t="n">
        <v>46359</v>
      </c>
      <c r="C996" t="inlineStr">
        <is>
          <t>SC METALPLAST INVEST SA</t>
        </is>
      </c>
      <c r="D996" t="inlineStr">
        <is>
          <t>Cluj</t>
        </is>
      </c>
      <c r="E996" t="inlineStr">
        <is>
          <t>PRD-004</t>
        </is>
      </c>
      <c r="F996" t="inlineStr">
        <is>
          <t>Dezinfectant maini 5L</t>
        </is>
      </c>
      <c r="G996" t="inlineStr">
        <is>
          <t>Produse farmaceutice</t>
        </is>
      </c>
      <c r="H996" t="n">
        <v>1</v>
      </c>
      <c r="I996" t="n">
        <v>944.66</v>
      </c>
      <c r="J996" t="n">
        <v>944.66</v>
      </c>
      <c r="K996" s="13" t="n">
        <v>0.09</v>
      </c>
      <c r="L996" t="n">
        <v>85.02</v>
      </c>
      <c r="M996" t="n">
        <v>1029.68</v>
      </c>
      <c r="N996" t="inlineStr">
        <is>
          <t>RON</t>
        </is>
      </c>
      <c r="O996" t="inlineStr">
        <is>
          <t>Turda</t>
        </is>
      </c>
      <c r="P996" s="12" t="n">
        <v>46404</v>
      </c>
      <c r="Q996">
        <f>IF(COUNTIF(tbl_Localitati[oras_oficial],[@oras])=0,"ORAS NEALINIAT",IF(XLOOKUP([@oras],tbl_Localitati[oras_oficial],tbl_Localitati[judet],"?")&lt;&gt;[@judet],"JUDET NECORESPUNZATOR",""))</f>
        <v/>
      </c>
      <c r="R996">
        <f>IF(XLOOKUP([@categorie],tbl_RegulriTVA[categorie],tbl_RegulriTVA[cota_legala],-1)&lt;&gt;[@cota_tva],"TVA GRESIT","")</f>
        <v/>
      </c>
      <c r="S996">
        <f>IF([@data_scadentei]&lt;[@data_factura],"SCADENTA INAINTEA FACTURII","")</f>
        <v/>
      </c>
      <c r="T996">
        <f>IF(NETWORKDAYS.INTL([@data_factura],[@data_factura],1,tbl_SarbatoriLegale[data])=0,"ZI NELUCRATOARE","")</f>
        <v/>
      </c>
      <c r="U996">
        <f>IF([@motiv_anomalie]="","OK","DE INVESTIGAT")</f>
        <v/>
      </c>
      <c r="V996">
        <f>TEXTJOIN("; ",TRUE,[@flag_oras],[@flag_tva],[@flag_scadenta],[@flag_zi])</f>
        <v/>
      </c>
    </row>
    <row r="997">
      <c r="A997" t="inlineStr">
        <is>
          <t>F-2025-00996</t>
        </is>
      </c>
      <c r="B997" s="12" t="n">
        <v>46030</v>
      </c>
      <c r="C997" t="inlineStr">
        <is>
          <t>SC VECTOR CONSULT SRL</t>
        </is>
      </c>
      <c r="D997" t="inlineStr">
        <is>
          <t>Timiș</t>
        </is>
      </c>
      <c r="E997" t="inlineStr">
        <is>
          <t>PRD-004</t>
        </is>
      </c>
      <c r="F997" t="inlineStr">
        <is>
          <t>Laptop business 15"</t>
        </is>
      </c>
      <c r="G997" t="inlineStr">
        <is>
          <t>Hardware IT</t>
        </is>
      </c>
      <c r="H997" t="n">
        <v>1</v>
      </c>
      <c r="I997" t="n">
        <v>860.72</v>
      </c>
      <c r="J997" t="n">
        <v>860.72</v>
      </c>
      <c r="K997" s="13" t="n">
        <v>0.19</v>
      </c>
      <c r="L997" t="n">
        <v>163.54</v>
      </c>
      <c r="M997" t="n">
        <v>1024.26</v>
      </c>
      <c r="N997" t="inlineStr">
        <is>
          <t>RON</t>
        </is>
      </c>
      <c r="O997" t="inlineStr">
        <is>
          <t>Timișoara</t>
        </is>
      </c>
      <c r="P997" s="12" t="n">
        <v>46060</v>
      </c>
      <c r="Q997">
        <f>IF(COUNTIF(tbl_Localitati[oras_oficial],[@oras])=0,"ORAS NEALINIAT",IF(XLOOKUP([@oras],tbl_Localitati[oras_oficial],tbl_Localitati[judet],"?")&lt;&gt;[@judet],"JUDET NECORESPUNZATOR",""))</f>
        <v/>
      </c>
      <c r="R997">
        <f>IF(XLOOKUP([@categorie],tbl_RegulriTVA[categorie],tbl_RegulriTVA[cota_legala],-1)&lt;&gt;[@cota_tva],"TVA GRESIT","")</f>
        <v/>
      </c>
      <c r="S997">
        <f>IF([@data_scadentei]&lt;[@data_factura],"SCADENTA INAINTEA FACTURII","")</f>
        <v/>
      </c>
      <c r="T997">
        <f>IF(NETWORKDAYS.INTL([@data_factura],[@data_factura],1,tbl_SarbatoriLegale[data])=0,"ZI NELUCRATOARE","")</f>
        <v/>
      </c>
      <c r="U997">
        <f>IF([@motiv_anomalie]="","OK","DE INVESTIGAT")</f>
        <v/>
      </c>
      <c r="V997">
        <f>TEXTJOIN("; ",TRUE,[@flag_oras],[@flag_tva],[@flag_scadenta],[@flag_zi])</f>
        <v/>
      </c>
    </row>
    <row r="998">
      <c r="A998" t="inlineStr">
        <is>
          <t>F-2025-00997</t>
        </is>
      </c>
      <c r="B998" s="12" t="n">
        <v>46227</v>
      </c>
      <c r="C998" t="inlineStr">
        <is>
          <t>SC RAPID LOGISTIC SA</t>
        </is>
      </c>
      <c r="D998" t="inlineStr">
        <is>
          <t>Prahova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 IT</t>
        </is>
      </c>
      <c r="H998" t="n">
        <v>1</v>
      </c>
      <c r="I998" t="n">
        <v>2389.66</v>
      </c>
      <c r="J998" t="n">
        <v>2389.66</v>
      </c>
      <c r="K998" s="13" t="n">
        <v>0.19</v>
      </c>
      <c r="L998" t="n">
        <v>454.04</v>
      </c>
      <c r="M998" t="n">
        <v>2843.7</v>
      </c>
      <c r="N998" t="inlineStr">
        <is>
          <t>RON</t>
        </is>
      </c>
      <c r="O998" t="inlineStr">
        <is>
          <t>Ploiești</t>
        </is>
      </c>
      <c r="P998" s="12" t="n">
        <v>46257</v>
      </c>
      <c r="Q998">
        <f>IF(COUNTIF(tbl_Localitati[oras_oficial],[@oras])=0,"ORAS NEALINIAT",IF(XLOOKUP([@oras],tbl_Localitati[oras_oficial],tbl_Localitati[judet],"?")&lt;&gt;[@judet],"JUDET NECORESPUNZATOR",""))</f>
        <v/>
      </c>
      <c r="R998">
        <f>IF(XLOOKUP([@categorie],tbl_RegulriTVA[categorie],tbl_RegulriTVA[cota_legala],-1)&lt;&gt;[@cota_tva],"TVA GRESIT","")</f>
        <v/>
      </c>
      <c r="S998">
        <f>IF([@data_scadentei]&lt;[@data_factura],"SCADENTA INAINTEA FACTURII","")</f>
        <v/>
      </c>
      <c r="T998">
        <f>IF(NETWORKDAYS.INTL([@data_factura],[@data_factura],1,tbl_SarbatoriLegale[data])=0,"ZI NELUCRATOARE","")</f>
        <v/>
      </c>
      <c r="U998">
        <f>IF([@motiv_anomalie]="","OK","DE INVESTIGAT")</f>
        <v/>
      </c>
      <c r="V998">
        <f>TEXTJOIN("; ",TRUE,[@flag_oras],[@flag_tva],[@flag_scadenta],[@flag_zi])</f>
        <v/>
      </c>
    </row>
    <row r="999">
      <c r="A999" t="inlineStr">
        <is>
          <t>F-2025-00998</t>
        </is>
      </c>
      <c r="B999" s="12" t="n">
        <v>46027</v>
      </c>
      <c r="C999" t="inlineStr">
        <is>
          <t>SC OMEGA SOFT SRL</t>
        </is>
      </c>
      <c r="D999" t="inlineStr">
        <is>
          <t>Dolj</t>
        </is>
      </c>
      <c r="E999" t="inlineStr">
        <is>
          <t>PRD-011</t>
        </is>
      </c>
      <c r="F999" t="inlineStr">
        <is>
          <t>Abonament suita cloud</t>
        </is>
      </c>
      <c r="G999" t="inlineStr">
        <is>
          <t>Licențe software</t>
        </is>
      </c>
      <c r="H999" t="n">
        <v>10</v>
      </c>
      <c r="I999" t="n">
        <v>45.9</v>
      </c>
      <c r="J999" t="n">
        <v>459</v>
      </c>
      <c r="K999" s="13" t="n">
        <v>0.19</v>
      </c>
      <c r="L999" t="n">
        <v>87.20999999999999</v>
      </c>
      <c r="M999" t="n">
        <v>546.21</v>
      </c>
      <c r="N999" t="inlineStr">
        <is>
          <t>RON</t>
        </is>
      </c>
      <c r="O999" t="inlineStr">
        <is>
          <t>Craiova</t>
        </is>
      </c>
      <c r="P999" s="12" t="n">
        <v>46087</v>
      </c>
      <c r="Q999">
        <f>IF(COUNTIF(tbl_Localitati[oras_oficial],[@oras])=0,"ORAS NEALINIAT",IF(XLOOKUP([@oras],tbl_Localitati[oras_oficial],tbl_Localitati[judet],"?")&lt;&gt;[@judet],"JUDET NECORESPUNZATOR",""))</f>
        <v/>
      </c>
      <c r="R999">
        <f>IF(XLOOKUP([@categorie],tbl_RegulriTVA[categorie],tbl_RegulriTVA[cota_legala],-1)&lt;&gt;[@cota_tva],"TVA GRESIT","")</f>
        <v/>
      </c>
      <c r="S999">
        <f>IF([@data_scadentei]&lt;[@data_factura],"SCADENTA INAINTEA FACTURII","")</f>
        <v/>
      </c>
      <c r="T999">
        <f>IF(NETWORKDAYS.INTL([@data_factura],[@data_factura],1,tbl_SarbatoriLegale[data])=0,"ZI NELUCRATOARE","")</f>
        <v/>
      </c>
      <c r="U999">
        <f>IF([@motiv_anomalie]="","OK","DE INVESTIGAT")</f>
        <v/>
      </c>
      <c r="V999">
        <f>TEXTJOIN("; ",TRUE,[@flag_oras],[@flag_tva],[@flag_scadenta],[@flag_zi])</f>
        <v/>
      </c>
    </row>
    <row r="1000">
      <c r="A1000" t="inlineStr">
        <is>
          <t>F-2025-00999</t>
        </is>
      </c>
      <c r="B1000" s="12" t="n">
        <v>46295</v>
      </c>
      <c r="C1000" t="inlineStr">
        <is>
          <t>SC INTEGROMED SA</t>
        </is>
      </c>
      <c r="D1000" t="inlineStr">
        <is>
          <t>Cluj</t>
        </is>
      </c>
      <c r="E1000" t="inlineStr">
        <is>
          <t>PRD-006</t>
        </is>
      </c>
      <c r="F1000" t="inlineStr">
        <is>
          <t>Trusa prim ajutor</t>
        </is>
      </c>
      <c r="G1000" t="inlineStr">
        <is>
          <t>Produse farmaceutice</t>
        </is>
      </c>
      <c r="H1000" t="n">
        <v>1</v>
      </c>
      <c r="I1000" t="n">
        <v>720.97</v>
      </c>
      <c r="J1000" t="n">
        <v>720.97</v>
      </c>
      <c r="K1000" s="13" t="n">
        <v>0.09</v>
      </c>
      <c r="L1000" t="n">
        <v>64.89</v>
      </c>
      <c r="M1000" t="n">
        <v>785.86</v>
      </c>
      <c r="N1000" t="inlineStr">
        <is>
          <t>RON</t>
        </is>
      </c>
      <c r="O1000" t="inlineStr">
        <is>
          <t>Cluj-Napoca</t>
        </is>
      </c>
      <c r="P1000" s="12" t="n">
        <v>46325</v>
      </c>
      <c r="Q1000">
        <f>IF(COUNTIF(tbl_Localitati[oras_oficial],[@oras])=0,"ORAS NEALINIAT",IF(XLOOKUP([@oras],tbl_Localitati[oras_oficial],tbl_Localitati[judet],"?")&lt;&gt;[@judet],"JUDET NECORESPUNZATOR",""))</f>
        <v/>
      </c>
      <c r="R1000">
        <f>IF(XLOOKUP([@categorie],tbl_RegulriTVA[categorie],tbl_RegulriTVA[cota_legala],-1)&lt;&gt;[@cota_tva],"TVA GRESIT","")</f>
        <v/>
      </c>
      <c r="S1000">
        <f>IF([@data_scadentei]&lt;[@data_factura],"SCADENTA INAINTEA FACTURII","")</f>
        <v/>
      </c>
      <c r="T1000">
        <f>IF(NETWORKDAYS.INTL([@data_factura],[@data_factura],1,tbl_SarbatoriLegale[data])=0,"ZI NELUCRATOARE","")</f>
        <v/>
      </c>
      <c r="U1000">
        <f>IF([@motiv_anomalie]="","OK","DE INVESTIGAT")</f>
        <v/>
      </c>
      <c r="V1000">
        <f>TEXTJOIN("; ",TRUE,[@flag_oras],[@flag_tva],[@flag_scadenta],[@flag_zi])</f>
        <v/>
      </c>
    </row>
    <row r="1001">
      <c r="A1001" t="inlineStr">
        <is>
          <t>F-2025-01000</t>
        </is>
      </c>
      <c r="B1001" s="12" t="n">
        <v>46224</v>
      </c>
      <c r="C1001" t="inlineStr">
        <is>
          <t>SC AROMET TRADING SRL</t>
        </is>
      </c>
      <c r="D1001" t="inlineStr">
        <is>
          <t>Alba</t>
        </is>
      </c>
      <c r="E1001" t="inlineStr">
        <is>
          <t>PRD-010</t>
        </is>
      </c>
      <c r="F1001" t="inlineStr">
        <is>
          <t>Server rack 1U</t>
        </is>
      </c>
      <c r="G1001" t="inlineStr">
        <is>
          <t>Hardware IT</t>
        </is>
      </c>
      <c r="H1001" t="n">
        <v>10</v>
      </c>
      <c r="I1001" t="n">
        <v>335.31</v>
      </c>
      <c r="J1001" t="n">
        <v>3353.1</v>
      </c>
      <c r="K1001" s="13" t="n">
        <v>0.09</v>
      </c>
      <c r="L1001" t="n">
        <v>301.78</v>
      </c>
      <c r="M1001" t="n">
        <v>3654.88</v>
      </c>
      <c r="N1001" t="inlineStr">
        <is>
          <t>RON</t>
        </is>
      </c>
      <c r="O1001" t="inlineStr">
        <is>
          <t>Alba Iulia</t>
        </is>
      </c>
      <c r="P1001" s="12" t="n">
        <v>46254</v>
      </c>
      <c r="Q1001">
        <f>IF(COUNTIF(tbl_Localitati[oras_oficial],[@oras])=0,"ORAS NEALINIAT",IF(XLOOKUP([@oras],tbl_Localitati[oras_oficial],tbl_Localitati[judet],"?")&lt;&gt;[@judet],"JUDET NECORESPUNZATOR",""))</f>
        <v/>
      </c>
      <c r="R1001">
        <f>IF(XLOOKUP([@categorie],tbl_RegulriTVA[categorie],tbl_RegulriTVA[cota_legala],-1)&lt;&gt;[@cota_tva],"TVA GRESIT","")</f>
        <v/>
      </c>
      <c r="S1001">
        <f>IF([@data_scadentei]&lt;[@data_factura],"SCADENTA INAINTEA FACTURII","")</f>
        <v/>
      </c>
      <c r="T1001">
        <f>IF(NETWORKDAYS.INTL([@data_factura],[@data_factura],1,tbl_SarbatoriLegale[data])=0,"ZI NELUCRATOARE","")</f>
        <v/>
      </c>
      <c r="U1001">
        <f>IF([@motiv_anomalie]="","OK","DE INVESTIGAT")</f>
        <v/>
      </c>
      <c r="V1001">
        <f>TEXTJOIN("; ",TRUE,[@flag_oras],[@flag_tva],[@flag_scadenta],[@flag_zi])</f>
        <v/>
      </c>
    </row>
    <row r="1002">
      <c r="A1002" t="inlineStr">
        <is>
          <t>F-2025-01001</t>
        </is>
      </c>
      <c r="B1002" s="12" t="n">
        <v>46384</v>
      </c>
      <c r="C1002" t="inlineStr">
        <is>
          <t>SC PROVITA MEDICAL SRL</t>
        </is>
      </c>
      <c r="D1002" t="inlineStr">
        <is>
          <t>Mureș</t>
        </is>
      </c>
      <c r="E1002" t="inlineStr">
        <is>
          <t>PRD-002</t>
        </is>
      </c>
      <c r="F1002" t="inlineStr">
        <is>
          <t>Tocator documente</t>
        </is>
      </c>
      <c r="G1002" t="inlineStr">
        <is>
          <t>Echipamente birou</t>
        </is>
      </c>
      <c r="H1002" t="n">
        <v>1</v>
      </c>
      <c r="I1002" t="n">
        <v>1049.53</v>
      </c>
      <c r="J1002" t="n">
        <v>1049.53</v>
      </c>
      <c r="K1002" s="13" t="n">
        <v>0.19</v>
      </c>
      <c r="L1002" t="n">
        <v>199.41</v>
      </c>
      <c r="M1002" t="n">
        <v>1248.94</v>
      </c>
      <c r="N1002" t="inlineStr">
        <is>
          <t>RON</t>
        </is>
      </c>
      <c r="O1002" t="inlineStr">
        <is>
          <t>Târgu Mureș</t>
        </is>
      </c>
      <c r="P1002" s="12" t="n">
        <v>46399</v>
      </c>
      <c r="Q1002">
        <f>IF(COUNTIF(tbl_Localitati[oras_oficial],[@oras])=0,"ORAS NEALINIAT",IF(XLOOKUP([@oras],tbl_Localitati[oras_oficial],tbl_Localitati[judet],"?")&lt;&gt;[@judet],"JUDET NECORESPUNZATOR",""))</f>
        <v/>
      </c>
      <c r="R1002">
        <f>IF(XLOOKUP([@categorie],tbl_RegulriTVA[categorie],tbl_RegulriTVA[cota_legala],-1)&lt;&gt;[@cota_tva],"TVA GRESIT","")</f>
        <v/>
      </c>
      <c r="S1002">
        <f>IF([@data_scadentei]&lt;[@data_factura],"SCADENTA INAINTEA FACTURII","")</f>
        <v/>
      </c>
      <c r="T1002">
        <f>IF(NETWORKDAYS.INTL([@data_factura],[@data_factura],1,tbl_SarbatoriLegale[data])=0,"ZI NELUCRATOARE","")</f>
        <v/>
      </c>
      <c r="U1002">
        <f>IF([@motiv_anomalie]="","OK","DE INVESTIGAT")</f>
        <v/>
      </c>
      <c r="V1002">
        <f>TEXTJOIN("; ",TRUE,[@flag_oras],[@flag_tva],[@flag_scadenta],[@flag_zi])</f>
        <v/>
      </c>
    </row>
    <row r="1003">
      <c r="A1003" t="inlineStr">
        <is>
          <t>F-2025-01002</t>
        </is>
      </c>
      <c r="B1003" s="12" t="n">
        <v>46132</v>
      </c>
      <c r="C1003" t="inlineStr">
        <is>
          <t>SC FARMAVITAL DISTRIBUTIE SA</t>
        </is>
      </c>
      <c r="D1003" t="inlineStr">
        <is>
          <t>Bihor</t>
        </is>
      </c>
      <c r="E1003" t="inlineStr">
        <is>
          <t>PRD-006</t>
        </is>
      </c>
      <c r="F1003" t="inlineStr">
        <is>
          <t>Trusa prim ajutor</t>
        </is>
      </c>
      <c r="G1003" t="inlineStr">
        <is>
          <t>Produse farmaceutice</t>
        </is>
      </c>
      <c r="H1003" t="n">
        <v>50</v>
      </c>
      <c r="I1003" t="n">
        <v>725.42</v>
      </c>
      <c r="J1003" t="n">
        <v>36271</v>
      </c>
      <c r="K1003" s="13" t="n">
        <v>0.09</v>
      </c>
      <c r="L1003" t="n">
        <v>3264.39</v>
      </c>
      <c r="M1003" t="n">
        <v>39535.39</v>
      </c>
      <c r="N1003" t="inlineStr">
        <is>
          <t>RON</t>
        </is>
      </c>
      <c r="O1003" t="inlineStr">
        <is>
          <t>Oradea</t>
        </is>
      </c>
      <c r="P1003" s="12" t="n">
        <v>46147</v>
      </c>
      <c r="Q1003">
        <f>IF(COUNTIF(tbl_Localitati[oras_oficial],[@oras])=0,"ORAS NEALINIAT",IF(XLOOKUP([@oras],tbl_Localitati[oras_oficial],tbl_Localitati[judet],"?")&lt;&gt;[@judet],"JUDET NECORESPUNZATOR",""))</f>
        <v/>
      </c>
      <c r="R1003">
        <f>IF(XLOOKUP([@categorie],tbl_RegulriTVA[categorie],tbl_RegulriTVA[cota_legala],-1)&lt;&gt;[@cota_tva],"TVA GRESIT","")</f>
        <v/>
      </c>
      <c r="S1003">
        <f>IF([@data_scadentei]&lt;[@data_factura],"SCADENTA INAINTEA FACTURII","")</f>
        <v/>
      </c>
      <c r="T1003">
        <f>IF(NETWORKDAYS.INTL([@data_factura],[@data_factura],1,tbl_SarbatoriLegale[data])=0,"ZI NELUCRATOARE","")</f>
        <v/>
      </c>
      <c r="U1003">
        <f>IF([@motiv_anomalie]="","OK","DE INVESTIGAT")</f>
        <v/>
      </c>
      <c r="V1003">
        <f>TEXTJOIN("; ",TRUE,[@flag_oras],[@flag_tva],[@flag_scadenta],[@flag_zi])</f>
        <v/>
      </c>
    </row>
    <row r="1004">
      <c r="A1004" t="inlineStr">
        <is>
          <t>F-2025-01003</t>
        </is>
      </c>
      <c r="B1004" s="12" t="n">
        <v>46358</v>
      </c>
      <c r="C1004" t="inlineStr">
        <is>
          <t>SC SOLARIS ENERGY SRL</t>
        </is>
      </c>
      <c r="D1004" t="inlineStr">
        <is>
          <t>Prahova</t>
        </is>
      </c>
      <c r="E1004" t="inlineStr">
        <is>
          <t>PRD-009</t>
        </is>
      </c>
      <c r="F1004" t="inlineStr">
        <is>
          <t>Server rack 1U</t>
        </is>
      </c>
      <c r="G1004" t="inlineStr">
        <is>
          <t>Hardware IT</t>
        </is>
      </c>
      <c r="H1004" t="n">
        <v>10</v>
      </c>
      <c r="I1004" t="n">
        <v>28.97</v>
      </c>
      <c r="J1004" t="n">
        <v>289.7</v>
      </c>
      <c r="K1004" s="13" t="n">
        <v>0.19</v>
      </c>
      <c r="L1004" t="n">
        <v>55.04</v>
      </c>
      <c r="M1004" t="n">
        <v>344.74</v>
      </c>
      <c r="N1004" t="inlineStr">
        <is>
          <t>RON</t>
        </is>
      </c>
      <c r="O1004" t="inlineStr">
        <is>
          <t>Câmpina</t>
        </is>
      </c>
      <c r="P1004" s="12" t="n">
        <v>46403</v>
      </c>
      <c r="Q1004">
        <f>IF(COUNTIF(tbl_Localitati[oras_oficial],[@oras])=0,"ORAS NEALINIAT",IF(XLOOKUP([@oras],tbl_Localitati[oras_oficial],tbl_Localitati[judet],"?")&lt;&gt;[@judet],"JUDET NECORESPUNZATOR",""))</f>
        <v/>
      </c>
      <c r="R1004">
        <f>IF(XLOOKUP([@categorie],tbl_RegulriTVA[categorie],tbl_RegulriTVA[cota_legala],-1)&lt;&gt;[@cota_tva],"TVA GRESIT","")</f>
        <v/>
      </c>
      <c r="S1004">
        <f>IF([@data_scadentei]&lt;[@data_factura],"SCADENTA INAINTEA FACTURII","")</f>
        <v/>
      </c>
      <c r="T1004">
        <f>IF(NETWORKDAYS.INTL([@data_factura],[@data_factura],1,tbl_SarbatoriLegale[data])=0,"ZI NELUCRATOARE","")</f>
        <v/>
      </c>
      <c r="U1004">
        <f>IF([@motiv_anomalie]="","OK","DE INVESTIGAT")</f>
        <v/>
      </c>
      <c r="V1004">
        <f>TEXTJOIN("; ",TRUE,[@flag_oras],[@flag_tva],[@flag_scadenta],[@flag_zi])</f>
        <v/>
      </c>
    </row>
    <row r="1005">
      <c r="A1005" t="inlineStr">
        <is>
          <t>F-2025-01004</t>
        </is>
      </c>
      <c r="B1005" s="12" t="n">
        <v>46358</v>
      </c>
      <c r="C1005" t="inlineStr">
        <is>
          <t>SC RAPID LOGISTIC SA</t>
        </is>
      </c>
      <c r="D1005" t="inlineStr">
        <is>
          <t>Prahova</t>
        </is>
      </c>
      <c r="E1005" t="inlineStr">
        <is>
          <t>PRD-006</t>
        </is>
      </c>
      <c r="F1005" t="inlineStr">
        <is>
          <t>Termometru digital</t>
        </is>
      </c>
      <c r="G1005" t="inlineStr">
        <is>
          <t>Produse farmaceutice</t>
        </is>
      </c>
      <c r="H1005" t="n">
        <v>1</v>
      </c>
      <c r="I1005" t="n">
        <v>773.46</v>
      </c>
      <c r="J1005" t="n">
        <v>773.46</v>
      </c>
      <c r="K1005" s="13" t="n">
        <v>0.05</v>
      </c>
      <c r="L1005" t="n">
        <v>38.67</v>
      </c>
      <c r="M1005" t="n">
        <v>812.13</v>
      </c>
      <c r="N1005" t="inlineStr">
        <is>
          <t>RON</t>
        </is>
      </c>
      <c r="O1005" t="inlineStr">
        <is>
          <t>Ploiești</t>
        </is>
      </c>
      <c r="P1005" s="12" t="n">
        <v>46388</v>
      </c>
      <c r="Q1005">
        <f>IF(COUNTIF(tbl_Localitati[oras_oficial],[@oras])=0,"ORAS NEALINIAT",IF(XLOOKUP([@oras],tbl_Localitati[oras_oficial],tbl_Localitati[judet],"?")&lt;&gt;[@judet],"JUDET NECORESPUNZATOR",""))</f>
        <v/>
      </c>
      <c r="R1005">
        <f>IF(XLOOKUP([@categorie],tbl_RegulriTVA[categorie],tbl_RegulriTVA[cota_legala],-1)&lt;&gt;[@cota_tva],"TVA GRESIT","")</f>
        <v/>
      </c>
      <c r="S1005">
        <f>IF([@data_scadentei]&lt;[@data_factura],"SCADENTA INAINTEA FACTURII","")</f>
        <v/>
      </c>
      <c r="T1005">
        <f>IF(NETWORKDAYS.INTL([@data_factura],[@data_factura],1,tbl_SarbatoriLegale[data])=0,"ZI NELUCRATOARE","")</f>
        <v/>
      </c>
      <c r="U1005">
        <f>IF([@motiv_anomalie]="","OK","DE INVESTIGAT")</f>
        <v/>
      </c>
      <c r="V1005">
        <f>TEXTJOIN("; ",TRUE,[@flag_oras],[@flag_tva],[@flag_scadenta],[@flag_zi])</f>
        <v/>
      </c>
    </row>
    <row r="1006">
      <c r="A1006" t="inlineStr">
        <is>
          <t>F-2025-01005</t>
        </is>
      </c>
      <c r="B1006" s="12" t="n">
        <v>46058</v>
      </c>
      <c r="C1006" t="inlineStr">
        <is>
          <t>SC NORDIS DISTRIBUTIE SRL</t>
        </is>
      </c>
      <c r="D1006" t="inlineStr">
        <is>
          <t>Constanța</t>
        </is>
      </c>
      <c r="E1006" t="inlineStr">
        <is>
          <t>PRD-012</t>
        </is>
      </c>
      <c r="F1006" t="inlineStr">
        <is>
          <t>Manual proceduri interne</t>
        </is>
      </c>
      <c r="G1006" t="inlineStr">
        <is>
          <t>Cărți și manuale</t>
        </is>
      </c>
      <c r="H1006" t="n">
        <v>1</v>
      </c>
      <c r="I1006" t="n">
        <v>172.61</v>
      </c>
      <c r="J1006" t="n">
        <v>172.61</v>
      </c>
      <c r="K1006" s="13" t="n">
        <v>0.05</v>
      </c>
      <c r="L1006" t="n">
        <v>8.630000000000001</v>
      </c>
      <c r="M1006" t="n">
        <v>181.24</v>
      </c>
      <c r="N1006" t="inlineStr">
        <is>
          <t>EUR</t>
        </is>
      </c>
      <c r="O1006" t="inlineStr">
        <is>
          <t>Mangalia</t>
        </is>
      </c>
      <c r="P1006" s="12" t="n">
        <v>46103</v>
      </c>
      <c r="Q1006">
        <f>IF(COUNTIF(tbl_Localitati[oras_oficial],[@oras])=0,"ORAS NEALINIAT",IF(XLOOKUP([@oras],tbl_Localitati[oras_oficial],tbl_Localitati[judet],"?")&lt;&gt;[@judet],"JUDET NECORESPUNZATOR",""))</f>
        <v/>
      </c>
      <c r="R1006">
        <f>IF(XLOOKUP([@categorie],tbl_RegulriTVA[categorie],tbl_RegulriTVA[cota_legala],-1)&lt;&gt;[@cota_tva],"TVA GRESIT","")</f>
        <v/>
      </c>
      <c r="S1006">
        <f>IF([@data_scadentei]&lt;[@data_factura],"SCADENTA INAINTEA FACTURII","")</f>
        <v/>
      </c>
      <c r="T1006">
        <f>IF(NETWORKDAYS.INTL([@data_factura],[@data_factura],1,tbl_SarbatoriLegale[data])=0,"ZI NELUCRATOARE","")</f>
        <v/>
      </c>
      <c r="U1006">
        <f>IF([@motiv_anomalie]="","OK","DE INVESTIGAT")</f>
        <v/>
      </c>
      <c r="V1006">
        <f>TEXTJOIN("; ",TRUE,[@flag_oras],[@flag_tva],[@flag_scadenta],[@flag_zi])</f>
        <v/>
      </c>
    </row>
    <row r="1007">
      <c r="A1007" t="inlineStr">
        <is>
          <t>F-2025-01006</t>
        </is>
      </c>
      <c r="B1007" s="12" t="n">
        <v>46077</v>
      </c>
      <c r="C1007" t="inlineStr">
        <is>
          <t>SC AROMET TRADING SRL</t>
        </is>
      </c>
      <c r="D1007" t="inlineStr">
        <is>
          <t>Alba</t>
        </is>
      </c>
      <c r="E1007" t="inlineStr">
        <is>
          <t>PRD-005</t>
        </is>
      </c>
      <c r="F1007" t="inlineStr">
        <is>
          <t>Telefon IP birou</t>
        </is>
      </c>
      <c r="G1007" t="inlineStr">
        <is>
          <t>Echipamente birou</t>
        </is>
      </c>
      <c r="H1007" t="n">
        <v>10</v>
      </c>
      <c r="I1007" t="n">
        <v>256.73</v>
      </c>
      <c r="J1007" t="n">
        <v>2567.3</v>
      </c>
      <c r="K1007" s="13" t="n">
        <v>0.19</v>
      </c>
      <c r="L1007" t="n">
        <v>487.79</v>
      </c>
      <c r="M1007" t="n">
        <v>3055.09</v>
      </c>
      <c r="N1007" t="inlineStr">
        <is>
          <t>RON</t>
        </is>
      </c>
      <c r="O1007" t="inlineStr">
        <is>
          <t>Alba Iulia</t>
        </is>
      </c>
      <c r="P1007" s="12" t="n">
        <v>46137</v>
      </c>
      <c r="Q1007">
        <f>IF(COUNTIF(tbl_Localitati[oras_oficial],[@oras])=0,"ORAS NEALINIAT",IF(XLOOKUP([@oras],tbl_Localitati[oras_oficial],tbl_Localitati[judet],"?")&lt;&gt;[@judet],"JUDET NECORESPUNZATOR",""))</f>
        <v/>
      </c>
      <c r="R1007">
        <f>IF(XLOOKUP([@categorie],tbl_RegulriTVA[categorie],tbl_RegulriTVA[cota_legala],-1)&lt;&gt;[@cota_tva],"TVA GRESIT","")</f>
        <v/>
      </c>
      <c r="S1007">
        <f>IF([@data_scadentei]&lt;[@data_factura],"SCADENTA INAINTEA FACTURII","")</f>
        <v/>
      </c>
      <c r="T1007">
        <f>IF(NETWORKDAYS.INTL([@data_factura],[@data_factura],1,tbl_SarbatoriLegale[data])=0,"ZI NELUCRATOARE","")</f>
        <v/>
      </c>
      <c r="U1007">
        <f>IF([@motiv_anomalie]="","OK","DE INVESTIGAT")</f>
        <v/>
      </c>
      <c r="V1007">
        <f>TEXTJOIN("; ",TRUE,[@flag_oras],[@flag_tva],[@flag_scadenta],[@flag_zi])</f>
        <v/>
      </c>
    </row>
    <row r="1008">
      <c r="A1008" t="inlineStr">
        <is>
          <t>F-2025-01007</t>
        </is>
      </c>
      <c r="B1008" s="12" t="n">
        <v>46246</v>
      </c>
      <c r="C1008" t="inlineStr">
        <is>
          <t>SC NORDIS DISTRIBUTIE SRL</t>
        </is>
      </c>
      <c r="D1008" t="inlineStr">
        <is>
          <t>Constanța</t>
        </is>
      </c>
      <c r="E1008" t="inlineStr">
        <is>
          <t>PRD-003</t>
        </is>
      </c>
      <c r="F1008" t="inlineStr">
        <is>
          <t>Laptop business 15"</t>
        </is>
      </c>
      <c r="G1008" t="inlineStr">
        <is>
          <t>Hardware IT</t>
        </is>
      </c>
      <c r="H1008" t="n">
        <v>1</v>
      </c>
      <c r="I1008" t="n">
        <v>4019.57</v>
      </c>
      <c r="J1008" t="n">
        <v>4019.57</v>
      </c>
      <c r="K1008" s="13" t="n">
        <v>0.19</v>
      </c>
      <c r="L1008" t="n">
        <v>763.72</v>
      </c>
      <c r="M1008" t="n">
        <v>4783.29</v>
      </c>
      <c r="N1008" t="inlineStr">
        <is>
          <t>RON</t>
        </is>
      </c>
      <c r="O1008" t="inlineStr">
        <is>
          <t>Mangalia</t>
        </is>
      </c>
      <c r="P1008" s="12" t="n">
        <v>46291</v>
      </c>
      <c r="Q1008">
        <f>IF(COUNTIF(tbl_Localitati[oras_oficial],[@oras])=0,"ORAS NEALINIAT",IF(XLOOKUP([@oras],tbl_Localitati[oras_oficial],tbl_Localitati[judet],"?")&lt;&gt;[@judet],"JUDET NECORESPUNZATOR",""))</f>
        <v/>
      </c>
      <c r="R1008">
        <f>IF(XLOOKUP([@categorie],tbl_RegulriTVA[categorie],tbl_RegulriTVA[cota_legala],-1)&lt;&gt;[@cota_tva],"TVA GRESIT","")</f>
        <v/>
      </c>
      <c r="S1008">
        <f>IF([@data_scadentei]&lt;[@data_factura],"SCADENTA INAINTEA FACTURII","")</f>
        <v/>
      </c>
      <c r="T1008">
        <f>IF(NETWORKDAYS.INTL([@data_factura],[@data_factura],1,tbl_SarbatoriLegale[data])=0,"ZI NELUCRATOARE","")</f>
        <v/>
      </c>
      <c r="U1008">
        <f>IF([@motiv_anomalie]="","OK","DE INVESTIGAT")</f>
        <v/>
      </c>
      <c r="V1008">
        <f>TEXTJOIN("; ",TRUE,[@flag_oras],[@flag_tva],[@flag_scadenta],[@flag_zi])</f>
        <v/>
      </c>
    </row>
    <row r="1009">
      <c r="A1009" t="inlineStr">
        <is>
          <t>F-2025-01008</t>
        </is>
      </c>
      <c r="B1009" s="12" t="n">
        <v>46272</v>
      </c>
      <c r="C1009" t="inlineStr">
        <is>
          <t>SC OMEGA SOFT SRL</t>
        </is>
      </c>
      <c r="D1009" t="inlineStr">
        <is>
          <t>Dolj</t>
        </is>
      </c>
      <c r="E1009" t="inlineStr">
        <is>
          <t>PRD-002</t>
        </is>
      </c>
      <c r="F1009" t="inlineStr">
        <is>
          <t>Tocator documente</t>
        </is>
      </c>
      <c r="G1009" t="inlineStr">
        <is>
          <t>Echipamente birou</t>
        </is>
      </c>
      <c r="H1009" t="n">
        <v>2</v>
      </c>
      <c r="I1009" t="n">
        <v>1045.56</v>
      </c>
      <c r="J1009" t="n">
        <v>2091.12</v>
      </c>
      <c r="K1009" s="13" t="n">
        <v>0.19</v>
      </c>
      <c r="L1009" t="n">
        <v>397.31</v>
      </c>
      <c r="M1009" t="n">
        <v>2488.43</v>
      </c>
      <c r="N1009" t="inlineStr">
        <is>
          <t>RON</t>
        </is>
      </c>
      <c r="O1009" t="inlineStr">
        <is>
          <t>Craiova</t>
        </is>
      </c>
      <c r="P1009" s="12" t="n">
        <v>46302</v>
      </c>
      <c r="Q1009">
        <f>IF(COUNTIF(tbl_Localitati[oras_oficial],[@oras])=0,"ORAS NEALINIAT",IF(XLOOKUP([@oras],tbl_Localitati[oras_oficial],tbl_Localitati[judet],"?")&lt;&gt;[@judet],"JUDET NECORESPUNZATOR",""))</f>
        <v/>
      </c>
      <c r="R1009">
        <f>IF(XLOOKUP([@categorie],tbl_RegulriTVA[categorie],tbl_RegulriTVA[cota_legala],-1)&lt;&gt;[@cota_tva],"TVA GRESIT","")</f>
        <v/>
      </c>
      <c r="S1009">
        <f>IF([@data_scadentei]&lt;[@data_factura],"SCADENTA INAINTEA FACTURII","")</f>
        <v/>
      </c>
      <c r="T1009">
        <f>IF(NETWORKDAYS.INTL([@data_factura],[@data_factura],1,tbl_SarbatoriLegale[data])=0,"ZI NELUCRATOARE","")</f>
        <v/>
      </c>
      <c r="U1009">
        <f>IF([@motiv_anomalie]="","OK","DE INVESTIGAT")</f>
        <v/>
      </c>
      <c r="V1009">
        <f>TEXTJOIN("; ",TRUE,[@flag_oras],[@flag_tva],[@flag_scadenta],[@flag_zi])</f>
        <v/>
      </c>
    </row>
    <row r="1010">
      <c r="A1010" t="inlineStr">
        <is>
          <t>F-2025-01009</t>
        </is>
      </c>
      <c r="B1010" s="12" t="n">
        <v>46121</v>
      </c>
      <c r="C1010" t="inlineStr">
        <is>
          <t>SC ELECTROBUILD SRL</t>
        </is>
      </c>
      <c r="D1010" t="inlineStr">
        <is>
          <t>Bacău</t>
        </is>
      </c>
      <c r="E1010" t="inlineStr">
        <is>
          <t>PRD-001</t>
        </is>
      </c>
      <c r="F1010" t="inlineStr">
        <is>
          <t>Abonament suita cloud</t>
        </is>
      </c>
      <c r="G1010" t="inlineStr">
        <is>
          <t>Licențe software</t>
        </is>
      </c>
      <c r="H1010" t="n">
        <v>1</v>
      </c>
      <c r="I1010" t="n">
        <v>2433.35</v>
      </c>
      <c r="J1010" t="n">
        <v>2433.35</v>
      </c>
      <c r="K1010" s="13" t="n">
        <v>0.19</v>
      </c>
      <c r="L1010" t="n">
        <v>462.34</v>
      </c>
      <c r="M1010" t="n">
        <v>2895.69</v>
      </c>
      <c r="N1010" t="inlineStr">
        <is>
          <t>RON</t>
        </is>
      </c>
      <c r="O1010" t="inlineStr">
        <is>
          <t>Bacău</t>
        </is>
      </c>
      <c r="P1010" s="12" t="n">
        <v>46151</v>
      </c>
      <c r="Q1010">
        <f>IF(COUNTIF(tbl_Localitati[oras_oficial],[@oras])=0,"ORAS NEALINIAT",IF(XLOOKUP([@oras],tbl_Localitati[oras_oficial],tbl_Localitati[judet],"?")&lt;&gt;[@judet],"JUDET NECORESPUNZATOR",""))</f>
        <v/>
      </c>
      <c r="R1010">
        <f>IF(XLOOKUP([@categorie],tbl_RegulriTVA[categorie],tbl_RegulriTVA[cota_legala],-1)&lt;&gt;[@cota_tva],"TVA GRESIT","")</f>
        <v/>
      </c>
      <c r="S1010">
        <f>IF([@data_scadentei]&lt;[@data_factura],"SCADENTA INAINTEA FACTURII","")</f>
        <v/>
      </c>
      <c r="T1010">
        <f>IF(NETWORKDAYS.INTL([@data_factura],[@data_factura],1,tbl_SarbatoriLegale[data])=0,"ZI NELUCRATOARE","")</f>
        <v/>
      </c>
      <c r="U1010">
        <f>IF([@motiv_anomalie]="","OK","DE INVESTIGAT")</f>
        <v/>
      </c>
      <c r="V1010">
        <f>TEXTJOIN("; ",TRUE,[@flag_oras],[@flag_tva],[@flag_scadenta],[@flag_zi])</f>
        <v/>
      </c>
    </row>
    <row r="1011">
      <c r="A1011" t="inlineStr">
        <is>
          <t>F-2025-01010</t>
        </is>
      </c>
      <c r="B1011" s="12" t="n">
        <v>46331</v>
      </c>
      <c r="C1011" t="inlineStr">
        <is>
          <t>SC PROVITA MEDICAL SRL</t>
        </is>
      </c>
      <c r="D1011" t="inlineStr">
        <is>
          <t>Mureș</t>
        </is>
      </c>
      <c r="E1011" t="inlineStr">
        <is>
          <t>PRD-009</t>
        </is>
      </c>
      <c r="F1011" t="inlineStr">
        <is>
          <t>Masti protectie cutie</t>
        </is>
      </c>
      <c r="G1011" t="inlineStr">
        <is>
          <t>Produse farmaceutice</t>
        </is>
      </c>
      <c r="H1011" t="n">
        <v>5</v>
      </c>
      <c r="I1011" t="n">
        <v>27.02</v>
      </c>
      <c r="J1011" t="n">
        <v>135.1</v>
      </c>
      <c r="K1011" s="13" t="n">
        <v>0.09</v>
      </c>
      <c r="L1011" t="n">
        <v>12.16</v>
      </c>
      <c r="M1011" t="n">
        <v>147.26</v>
      </c>
      <c r="N1011" t="inlineStr">
        <is>
          <t>RON</t>
        </is>
      </c>
      <c r="O1011" t="inlineStr">
        <is>
          <t>Târgu Mureș</t>
        </is>
      </c>
      <c r="P1011" s="12" t="n">
        <v>46391</v>
      </c>
      <c r="Q1011">
        <f>IF(COUNTIF(tbl_Localitati[oras_oficial],[@oras])=0,"ORAS NEALINIAT",IF(XLOOKUP([@oras],tbl_Localitati[oras_oficial],tbl_Localitati[judet],"?")&lt;&gt;[@judet],"JUDET NECORESPUNZATOR",""))</f>
        <v/>
      </c>
      <c r="R1011">
        <f>IF(XLOOKUP([@categorie],tbl_RegulriTVA[categorie],tbl_RegulriTVA[cota_legala],-1)&lt;&gt;[@cota_tva],"TVA GRESIT","")</f>
        <v/>
      </c>
      <c r="S1011">
        <f>IF([@data_scadentei]&lt;[@data_factura],"SCADENTA INAINTEA FACTURII","")</f>
        <v/>
      </c>
      <c r="T1011">
        <f>IF(NETWORKDAYS.INTL([@data_factura],[@data_factura],1,tbl_SarbatoriLegale[data])=0,"ZI NELUCRATOARE","")</f>
        <v/>
      </c>
      <c r="U1011">
        <f>IF([@motiv_anomalie]="","OK","DE INVESTIGAT")</f>
        <v/>
      </c>
      <c r="V1011">
        <f>TEXTJOIN("; ",TRUE,[@flag_oras],[@flag_tva],[@flag_scadenta],[@flag_zi])</f>
        <v/>
      </c>
    </row>
    <row r="1012">
      <c r="A1012" t="inlineStr">
        <is>
          <t>F-2025-01011</t>
        </is>
      </c>
      <c r="B1012" s="12" t="n">
        <v>46196</v>
      </c>
      <c r="C1012" t="inlineStr">
        <is>
          <t>SC INTEGROMED SA</t>
        </is>
      </c>
      <c r="D1012" t="inlineStr">
        <is>
          <t>Cluj</t>
        </is>
      </c>
      <c r="E1012" t="inlineStr">
        <is>
          <t>PRD-001</t>
        </is>
      </c>
      <c r="F1012" t="inlineStr">
        <is>
          <t>Licenta antivirus enterprise</t>
        </is>
      </c>
      <c r="G1012" t="inlineStr">
        <is>
          <t>Licențe software</t>
        </is>
      </c>
      <c r="H1012" t="n">
        <v>3</v>
      </c>
      <c r="I1012" t="n">
        <v>2390.44</v>
      </c>
      <c r="J1012" t="n">
        <v>7171.32</v>
      </c>
      <c r="K1012" s="13" t="n">
        <v>0.19</v>
      </c>
      <c r="L1012" t="n">
        <v>1362.55</v>
      </c>
      <c r="M1012" t="n">
        <v>8533.870000000001</v>
      </c>
      <c r="N1012" t="inlineStr">
        <is>
          <t>RON</t>
        </is>
      </c>
      <c r="O1012" t="inlineStr">
        <is>
          <t>Cluj-Napoca</t>
        </is>
      </c>
      <c r="P1012" s="12" t="n">
        <v>46226</v>
      </c>
      <c r="Q1012">
        <f>IF(COUNTIF(tbl_Localitati[oras_oficial],[@oras])=0,"ORAS NEALINIAT",IF(XLOOKUP([@oras],tbl_Localitati[oras_oficial],tbl_Localitati[judet],"?")&lt;&gt;[@judet],"JUDET NECORESPUNZATOR",""))</f>
        <v/>
      </c>
      <c r="R1012">
        <f>IF(XLOOKUP([@categorie],tbl_RegulriTVA[categorie],tbl_RegulriTVA[cota_legala],-1)&lt;&gt;[@cota_tva],"TVA GRESIT","")</f>
        <v/>
      </c>
      <c r="S1012">
        <f>IF([@data_scadentei]&lt;[@data_factura],"SCADENTA INAINTEA FACTURII","")</f>
        <v/>
      </c>
      <c r="T1012">
        <f>IF(NETWORKDAYS.INTL([@data_factura],[@data_factura],1,tbl_SarbatoriLegale[data])=0,"ZI NELUCRATOARE","")</f>
        <v/>
      </c>
      <c r="U1012">
        <f>IF([@motiv_anomalie]="","OK","DE INVESTIGAT")</f>
        <v/>
      </c>
      <c r="V1012">
        <f>TEXTJOIN("; ",TRUE,[@flag_oras],[@flag_tva],[@flag_scadenta],[@flag_zi])</f>
        <v/>
      </c>
    </row>
    <row r="1013">
      <c r="A1013" t="inlineStr">
        <is>
          <t>F-2025-01012</t>
        </is>
      </c>
      <c r="B1013" s="12" t="n">
        <v>46374</v>
      </c>
      <c r="C1013" t="inlineStr">
        <is>
          <t>SC AROMET TRADING SRL</t>
        </is>
      </c>
      <c r="D1013" t="inlineStr">
        <is>
          <t>Alba</t>
        </is>
      </c>
      <c r="E1013" t="inlineStr">
        <is>
          <t>PRD-005</t>
        </is>
      </c>
      <c r="F1013" t="inlineStr">
        <is>
          <t>Statie de lucru desktop</t>
        </is>
      </c>
      <c r="G1013" t="inlineStr">
        <is>
          <t>Hardware IT</t>
        </is>
      </c>
      <c r="H1013" t="n">
        <v>1</v>
      </c>
      <c r="I1013" t="n">
        <v>237.73</v>
      </c>
      <c r="J1013" t="n">
        <v>237.73</v>
      </c>
      <c r="K1013" s="13" t="n">
        <v>0.19</v>
      </c>
      <c r="L1013" t="n">
        <v>45.17</v>
      </c>
      <c r="M1013" t="n">
        <v>282.9</v>
      </c>
      <c r="N1013" t="inlineStr">
        <is>
          <t>RON</t>
        </is>
      </c>
      <c r="O1013" t="inlineStr">
        <is>
          <t>Alba Iulia</t>
        </is>
      </c>
      <c r="P1013" s="12" t="n">
        <v>46404</v>
      </c>
      <c r="Q1013">
        <f>IF(COUNTIF(tbl_Localitati[oras_oficial],[@oras])=0,"ORAS NEALINIAT",IF(XLOOKUP([@oras],tbl_Localitati[oras_oficial],tbl_Localitati[judet],"?")&lt;&gt;[@judet],"JUDET NECORESPUNZATOR",""))</f>
        <v/>
      </c>
      <c r="R1013">
        <f>IF(XLOOKUP([@categorie],tbl_RegulriTVA[categorie],tbl_RegulriTVA[cota_legala],-1)&lt;&gt;[@cota_tva],"TVA GRESIT","")</f>
        <v/>
      </c>
      <c r="S1013">
        <f>IF([@data_scadentei]&lt;[@data_factura],"SCADENTA INAINTEA FACTURII","")</f>
        <v/>
      </c>
      <c r="T1013">
        <f>IF(NETWORKDAYS.INTL([@data_factura],[@data_factura],1,tbl_SarbatoriLegale[data])=0,"ZI NELUCRATOARE","")</f>
        <v/>
      </c>
      <c r="U1013">
        <f>IF([@motiv_anomalie]="","OK","DE INVESTIGAT")</f>
        <v/>
      </c>
      <c r="V1013">
        <f>TEXTJOIN("; ",TRUE,[@flag_oras],[@flag_tva],[@flag_scadenta],[@flag_zi])</f>
        <v/>
      </c>
    </row>
    <row r="1014">
      <c r="A1014" t="inlineStr">
        <is>
          <t>F-2025-01013</t>
        </is>
      </c>
      <c r="B1014" s="12" t="n">
        <v>46310</v>
      </c>
      <c r="C1014" t="inlineStr">
        <is>
          <t>SC DACTECH SOLUTIONS SRL</t>
        </is>
      </c>
      <c r="D1014" t="inlineStr">
        <is>
          <t>Argeș</t>
        </is>
      </c>
      <c r="E1014" t="inlineStr">
        <is>
          <t>PRD-009</t>
        </is>
      </c>
      <c r="F1014" t="inlineStr">
        <is>
          <t>Manual proceduri interne</t>
        </is>
      </c>
      <c r="G1014" t="inlineStr">
        <is>
          <t>Cărți și manuale</t>
        </is>
      </c>
      <c r="H1014" t="n">
        <v>10</v>
      </c>
      <c r="I1014" t="n">
        <v>29.04</v>
      </c>
      <c r="J1014" t="n">
        <v>290.4</v>
      </c>
      <c r="K1014" s="13" t="n">
        <v>0.05</v>
      </c>
      <c r="L1014" t="n">
        <v>14.52</v>
      </c>
      <c r="M1014" t="n">
        <v>304.92</v>
      </c>
      <c r="N1014" t="inlineStr">
        <is>
          <t>RON</t>
        </is>
      </c>
      <c r="O1014" t="inlineStr">
        <is>
          <t>Pitești</t>
        </is>
      </c>
      <c r="P1014" s="12" t="n">
        <v>46355</v>
      </c>
      <c r="Q1014">
        <f>IF(COUNTIF(tbl_Localitati[oras_oficial],[@oras])=0,"ORAS NEALINIAT",IF(XLOOKUP([@oras],tbl_Localitati[oras_oficial],tbl_Localitati[judet],"?")&lt;&gt;[@judet],"JUDET NECORESPUNZATOR",""))</f>
        <v/>
      </c>
      <c r="R1014">
        <f>IF(XLOOKUP([@categorie],tbl_RegulriTVA[categorie],tbl_RegulriTVA[cota_legala],-1)&lt;&gt;[@cota_tva],"TVA GRESIT","")</f>
        <v/>
      </c>
      <c r="S1014">
        <f>IF([@data_scadentei]&lt;[@data_factura],"SCADENTA INAINTEA FACTURII","")</f>
        <v/>
      </c>
      <c r="T1014">
        <f>IF(NETWORKDAYS.INTL([@data_factura],[@data_factura],1,tbl_SarbatoriLegale[data])=0,"ZI NELUCRATOARE","")</f>
        <v/>
      </c>
      <c r="U1014">
        <f>IF([@motiv_anomalie]="","OK","DE INVESTIGAT")</f>
        <v/>
      </c>
      <c r="V1014">
        <f>TEXTJOIN("; ",TRUE,[@flag_oras],[@flag_tva],[@flag_scadenta],[@flag_zi])</f>
        <v/>
      </c>
    </row>
    <row r="1015">
      <c r="A1015" t="inlineStr">
        <is>
          <t>F-2025-01014</t>
        </is>
      </c>
      <c r="B1015" s="12" t="n">
        <v>46066</v>
      </c>
      <c r="C1015" t="inlineStr">
        <is>
          <t>SC NORDIS DISTRIBUTIE SRL</t>
        </is>
      </c>
      <c r="D1015" t="inlineStr">
        <is>
          <t>Constanța</t>
        </is>
      </c>
      <c r="E1015" t="inlineStr">
        <is>
          <t>PRD-005</t>
        </is>
      </c>
      <c r="F1015" t="inlineStr">
        <is>
          <t>Server rack 1U</t>
        </is>
      </c>
      <c r="G1015" t="inlineStr">
        <is>
          <t>Hardware IT</t>
        </is>
      </c>
      <c r="H1015" t="n">
        <v>2</v>
      </c>
      <c r="I1015" t="n">
        <v>253.01</v>
      </c>
      <c r="J1015" t="n">
        <v>506.02</v>
      </c>
      <c r="K1015" s="13" t="n">
        <v>0.19</v>
      </c>
      <c r="L1015" t="n">
        <v>96.14</v>
      </c>
      <c r="M1015" t="n">
        <v>602.16</v>
      </c>
      <c r="N1015" t="inlineStr">
        <is>
          <t>RON</t>
        </is>
      </c>
      <c r="O1015" t="inlineStr">
        <is>
          <t>Mangalia</t>
        </is>
      </c>
      <c r="P1015" s="12" t="n">
        <v>46096</v>
      </c>
      <c r="Q1015">
        <f>IF(COUNTIF(tbl_Localitati[oras_oficial],[@oras])=0,"ORAS NEALINIAT",IF(XLOOKUP([@oras],tbl_Localitati[oras_oficial],tbl_Localitati[judet],"?")&lt;&gt;[@judet],"JUDET NECORESPUNZATOR",""))</f>
        <v/>
      </c>
      <c r="R1015">
        <f>IF(XLOOKUP([@categorie],tbl_RegulriTVA[categorie],tbl_RegulriTVA[cota_legala],-1)&lt;&gt;[@cota_tva],"TVA GRESIT","")</f>
        <v/>
      </c>
      <c r="S1015">
        <f>IF([@data_scadentei]&lt;[@data_factura],"SCADENTA INAINTEA FACTURII","")</f>
        <v/>
      </c>
      <c r="T1015">
        <f>IF(NETWORKDAYS.INTL([@data_factura],[@data_factura],1,tbl_SarbatoriLegale[data])=0,"ZI NELUCRATOARE","")</f>
        <v/>
      </c>
      <c r="U1015">
        <f>IF([@motiv_anomalie]="","OK","DE INVESTIGAT")</f>
        <v/>
      </c>
      <c r="V1015">
        <f>TEXTJOIN("; ",TRUE,[@flag_oras],[@flag_tva],[@flag_scadenta],[@flag_zi])</f>
        <v/>
      </c>
    </row>
    <row r="1016">
      <c r="A1016" t="inlineStr">
        <is>
          <t>F-2025-01015</t>
        </is>
      </c>
      <c r="B1016" s="12" t="n">
        <v>46146</v>
      </c>
      <c r="C1016" t="inlineStr">
        <is>
          <t>SC AROMET TRADING SRL</t>
        </is>
      </c>
      <c r="D1016" t="inlineStr">
        <is>
          <t>Alba</t>
        </is>
      </c>
      <c r="E1016" t="inlineStr">
        <is>
          <t>PRD-003</t>
        </is>
      </c>
      <c r="F1016" t="inlineStr">
        <is>
          <t>Multifunctionala laser</t>
        </is>
      </c>
      <c r="G1016" t="inlineStr">
        <is>
          <t>Echipamente birou</t>
        </is>
      </c>
      <c r="H1016" t="n">
        <v>2</v>
      </c>
      <c r="I1016" t="n">
        <v>4140.82</v>
      </c>
      <c r="J1016" t="n">
        <v>8281.639999999999</v>
      </c>
      <c r="K1016" s="13" t="n">
        <v>0.19</v>
      </c>
      <c r="L1016" t="n">
        <v>1573.51</v>
      </c>
      <c r="M1016" t="n">
        <v>9855.15</v>
      </c>
      <c r="N1016" t="inlineStr">
        <is>
          <t>RON</t>
        </is>
      </c>
      <c r="O1016" t="inlineStr">
        <is>
          <t>Alba Iulia</t>
        </is>
      </c>
      <c r="P1016" s="12" t="n">
        <v>46176</v>
      </c>
      <c r="Q1016">
        <f>IF(COUNTIF(tbl_Localitati[oras_oficial],[@oras])=0,"ORAS NEALINIAT",IF(XLOOKUP([@oras],tbl_Localitati[oras_oficial],tbl_Localitati[judet],"?")&lt;&gt;[@judet],"JUDET NECORESPUNZATOR",""))</f>
        <v/>
      </c>
      <c r="R1016">
        <f>IF(XLOOKUP([@categorie],tbl_RegulriTVA[categorie],tbl_RegulriTVA[cota_legala],-1)&lt;&gt;[@cota_tva],"TVA GRESIT","")</f>
        <v/>
      </c>
      <c r="S1016">
        <f>IF([@data_scadentei]&lt;[@data_factura],"SCADENTA INAINTEA FACTURII","")</f>
        <v/>
      </c>
      <c r="T1016">
        <f>IF(NETWORKDAYS.INTL([@data_factura],[@data_factura],1,tbl_SarbatoriLegale[data])=0,"ZI NELUCRATOARE","")</f>
        <v/>
      </c>
      <c r="U1016">
        <f>IF([@motiv_anomalie]="","OK","DE INVESTIGAT")</f>
        <v/>
      </c>
      <c r="V1016">
        <f>TEXTJOIN("; ",TRUE,[@flag_oras],[@flag_tva],[@flag_scadenta],[@flag_zi])</f>
        <v/>
      </c>
    </row>
    <row r="1017">
      <c r="A1017" t="inlineStr">
        <is>
          <t>F-2025-01016</t>
        </is>
      </c>
      <c r="B1017" s="12" t="n">
        <v>46161</v>
      </c>
      <c r="C1017" t="inlineStr">
        <is>
          <t>SC FARMAVITAL DISTRIBUTIE SA</t>
        </is>
      </c>
      <c r="D1017" t="inlineStr">
        <is>
          <t>Bihor</t>
        </is>
      </c>
      <c r="E1017" t="inlineStr">
        <is>
          <t>PRD-005</t>
        </is>
      </c>
      <c r="F1017" t="inlineStr">
        <is>
          <t>Training utilizatori</t>
        </is>
      </c>
      <c r="G1017" t="inlineStr">
        <is>
          <t>Servicii consultanță</t>
        </is>
      </c>
      <c r="H1017" t="n">
        <v>5</v>
      </c>
      <c r="I1017" t="n">
        <v>252.62</v>
      </c>
      <c r="J1017" t="n">
        <v>1263.1</v>
      </c>
      <c r="K1017" s="13" t="n">
        <v>0.19</v>
      </c>
      <c r="L1017" t="n">
        <v>239.99</v>
      </c>
      <c r="M1017" t="n">
        <v>1503.09</v>
      </c>
      <c r="N1017" t="inlineStr">
        <is>
          <t>RON</t>
        </is>
      </c>
      <c r="O1017" t="inlineStr">
        <is>
          <t>Oradea</t>
        </is>
      </c>
      <c r="P1017" s="12" t="n">
        <v>46191</v>
      </c>
      <c r="Q1017">
        <f>IF(COUNTIF(tbl_Localitati[oras_oficial],[@oras])=0,"ORAS NEALINIAT",IF(XLOOKUP([@oras],tbl_Localitati[oras_oficial],tbl_Localitati[judet],"?")&lt;&gt;[@judet],"JUDET NECORESPUNZATOR",""))</f>
        <v/>
      </c>
      <c r="R1017">
        <f>IF(XLOOKUP([@categorie],tbl_RegulriTVA[categorie],tbl_RegulriTVA[cota_legala],-1)&lt;&gt;[@cota_tva],"TVA GRESIT","")</f>
        <v/>
      </c>
      <c r="S1017">
        <f>IF([@data_scadentei]&lt;[@data_factura],"SCADENTA INAINTEA FACTURII","")</f>
        <v/>
      </c>
      <c r="T1017">
        <f>IF(NETWORKDAYS.INTL([@data_factura],[@data_factura],1,tbl_SarbatoriLegale[data])=0,"ZI NELUCRATOARE","")</f>
        <v/>
      </c>
      <c r="U1017">
        <f>IF([@motiv_anomalie]="","OK","DE INVESTIGAT")</f>
        <v/>
      </c>
      <c r="V1017">
        <f>TEXTJOIN("; ",TRUE,[@flag_oras],[@flag_tva],[@flag_scadenta],[@flag_zi])</f>
        <v/>
      </c>
    </row>
    <row r="1018">
      <c r="A1018" t="inlineStr">
        <is>
          <t>F-2025-01017</t>
        </is>
      </c>
      <c r="B1018" s="12" t="n">
        <v>46199</v>
      </c>
      <c r="C1018" t="inlineStr">
        <is>
          <t>SC FARMAVITAL DISTRIBUTIE SA</t>
        </is>
      </c>
      <c r="D1018" t="inlineStr">
        <is>
          <t>Bihor</t>
        </is>
      </c>
      <c r="E1018" t="inlineStr">
        <is>
          <t>PRD-005</t>
        </is>
      </c>
      <c r="F1018" t="inlineStr">
        <is>
          <t>Licenta Office 365 anuala</t>
        </is>
      </c>
      <c r="G1018" t="inlineStr">
        <is>
          <t>Licențe software</t>
        </is>
      </c>
      <c r="H1018" t="n">
        <v>1</v>
      </c>
      <c r="I1018" t="n">
        <v>254.42</v>
      </c>
      <c r="J1018" t="n">
        <v>254.42</v>
      </c>
      <c r="K1018" s="13" t="n">
        <v>0.19</v>
      </c>
      <c r="L1018" t="n">
        <v>48.34</v>
      </c>
      <c r="M1018" t="n">
        <v>302.76</v>
      </c>
      <c r="N1018" t="inlineStr">
        <is>
          <t>RON</t>
        </is>
      </c>
      <c r="O1018" t="inlineStr">
        <is>
          <t>Oradea</t>
        </is>
      </c>
      <c r="P1018" s="12" t="n">
        <v>46229</v>
      </c>
      <c r="Q1018">
        <f>IF(COUNTIF(tbl_Localitati[oras_oficial],[@oras])=0,"ORAS NEALINIAT",IF(XLOOKUP([@oras],tbl_Localitati[oras_oficial],tbl_Localitati[judet],"?")&lt;&gt;[@judet],"JUDET NECORESPUNZATOR",""))</f>
        <v/>
      </c>
      <c r="R1018">
        <f>IF(XLOOKUP([@categorie],tbl_RegulriTVA[categorie],tbl_RegulriTVA[cota_legala],-1)&lt;&gt;[@cota_tva],"TVA GRESIT","")</f>
        <v/>
      </c>
      <c r="S1018">
        <f>IF([@data_scadentei]&lt;[@data_factura],"SCADENTA INAINTEA FACTURII","")</f>
        <v/>
      </c>
      <c r="T1018">
        <f>IF(NETWORKDAYS.INTL([@data_factura],[@data_factura],1,tbl_SarbatoriLegale[data])=0,"ZI NELUCRATOARE","")</f>
        <v/>
      </c>
      <c r="U1018">
        <f>IF([@motiv_anomalie]="","OK","DE INVESTIGAT")</f>
        <v/>
      </c>
      <c r="V1018">
        <f>TEXTJOIN("; ",TRUE,[@flag_oras],[@flag_tva],[@flag_scadenta],[@flag_zi])</f>
        <v/>
      </c>
    </row>
    <row r="1019">
      <c r="A1019" t="inlineStr">
        <is>
          <t>F-2025-01018</t>
        </is>
      </c>
      <c r="B1019" s="12" t="n">
        <v>46085</v>
      </c>
      <c r="C1019" t="inlineStr">
        <is>
          <t>SC ELECTROBUILD SRL</t>
        </is>
      </c>
      <c r="D1019" t="inlineStr">
        <is>
          <t>Bacău</t>
        </is>
      </c>
      <c r="E1019" t="inlineStr">
        <is>
          <t>PRD-010</t>
        </is>
      </c>
      <c r="F1019" t="inlineStr">
        <is>
          <t>Monitor 27" 4K</t>
        </is>
      </c>
      <c r="G1019" t="inlineStr">
        <is>
          <t>Hardware IT</t>
        </is>
      </c>
      <c r="H1019" t="n">
        <v>20</v>
      </c>
      <c r="I1019" t="n">
        <v>355.11</v>
      </c>
      <c r="J1019" t="n">
        <v>7102.2</v>
      </c>
      <c r="K1019" s="13" t="n">
        <v>0.19</v>
      </c>
      <c r="L1019" t="n">
        <v>1349.42</v>
      </c>
      <c r="M1019" t="n">
        <v>8451.620000000001</v>
      </c>
      <c r="N1019" t="inlineStr">
        <is>
          <t>RON</t>
        </is>
      </c>
      <c r="O1019" t="inlineStr">
        <is>
          <t>Bacău</t>
        </is>
      </c>
      <c r="P1019" s="12" t="n">
        <v>46145</v>
      </c>
      <c r="Q1019">
        <f>IF(COUNTIF(tbl_Localitati[oras_oficial],[@oras])=0,"ORAS NEALINIAT",IF(XLOOKUP([@oras],tbl_Localitati[oras_oficial],tbl_Localitati[judet],"?")&lt;&gt;[@judet],"JUDET NECORESPUNZATOR",""))</f>
        <v/>
      </c>
      <c r="R1019">
        <f>IF(XLOOKUP([@categorie],tbl_RegulriTVA[categorie],tbl_RegulriTVA[cota_legala],-1)&lt;&gt;[@cota_tva],"TVA GRESIT","")</f>
        <v/>
      </c>
      <c r="S1019">
        <f>IF([@data_scadentei]&lt;[@data_factura],"SCADENTA INAINTEA FACTURII","")</f>
        <v/>
      </c>
      <c r="T1019">
        <f>IF(NETWORKDAYS.INTL([@data_factura],[@data_factura],1,tbl_SarbatoriLegale[data])=0,"ZI NELUCRATOARE","")</f>
        <v/>
      </c>
      <c r="U1019">
        <f>IF([@motiv_anomalie]="","OK","DE INVESTIGAT")</f>
        <v/>
      </c>
      <c r="V1019">
        <f>TEXTJOIN("; ",TRUE,[@flag_oras],[@flag_tva],[@flag_scadenta],[@flag_zi])</f>
        <v/>
      </c>
    </row>
    <row r="1020">
      <c r="A1020" t="inlineStr">
        <is>
          <t>F-2025-01019</t>
        </is>
      </c>
      <c r="B1020" s="12" t="n">
        <v>46283</v>
      </c>
      <c r="C1020" t="inlineStr">
        <is>
          <t>SC NORDIS DISTRIBUTIE SRL</t>
        </is>
      </c>
      <c r="D1020" t="inlineStr">
        <is>
          <t>Constanța</t>
        </is>
      </c>
      <c r="E1020" t="inlineStr">
        <is>
          <t>PRD-011</t>
        </is>
      </c>
      <c r="F1020" t="inlineStr">
        <is>
          <t>Trusa prim ajutor</t>
        </is>
      </c>
      <c r="G1020" t="inlineStr">
        <is>
          <t>Produse farmaceutice</t>
        </is>
      </c>
      <c r="H1020" t="n">
        <v>10</v>
      </c>
      <c r="I1020" t="n">
        <v>43.56</v>
      </c>
      <c r="J1020" t="n">
        <v>435.6</v>
      </c>
      <c r="K1020" s="13" t="n">
        <v>0.09</v>
      </c>
      <c r="L1020" t="n">
        <v>39.2</v>
      </c>
      <c r="M1020" t="n">
        <v>474.8</v>
      </c>
      <c r="N1020" t="inlineStr">
        <is>
          <t>RON</t>
        </is>
      </c>
      <c r="O1020" t="inlineStr">
        <is>
          <t>Mangalia</t>
        </is>
      </c>
      <c r="P1020" s="12" t="n">
        <v>46328</v>
      </c>
      <c r="Q1020">
        <f>IF(COUNTIF(tbl_Localitati[oras_oficial],[@oras])=0,"ORAS NEALINIAT",IF(XLOOKUP([@oras],tbl_Localitati[oras_oficial],tbl_Localitati[judet],"?")&lt;&gt;[@judet],"JUDET NECORESPUNZATOR",""))</f>
        <v/>
      </c>
      <c r="R1020">
        <f>IF(XLOOKUP([@categorie],tbl_RegulriTVA[categorie],tbl_RegulriTVA[cota_legala],-1)&lt;&gt;[@cota_tva],"TVA GRESIT","")</f>
        <v/>
      </c>
      <c r="S1020">
        <f>IF([@data_scadentei]&lt;[@data_factura],"SCADENTA INAINTEA FACTURII","")</f>
        <v/>
      </c>
      <c r="T1020">
        <f>IF(NETWORKDAYS.INTL([@data_factura],[@data_factura],1,tbl_SarbatoriLegale[data])=0,"ZI NELUCRATOARE","")</f>
        <v/>
      </c>
      <c r="U1020">
        <f>IF([@motiv_anomalie]="","OK","DE INVESTIGAT")</f>
        <v/>
      </c>
      <c r="V1020">
        <f>TEXTJOIN("; ",TRUE,[@flag_oras],[@flag_tva],[@flag_scadenta],[@flag_zi])</f>
        <v/>
      </c>
    </row>
    <row r="1021">
      <c r="A1021" t="inlineStr">
        <is>
          <t>F-2025-01020</t>
        </is>
      </c>
      <c r="B1021" s="12" t="n">
        <v>46332</v>
      </c>
      <c r="C1021" t="inlineStr">
        <is>
          <t>SC UNIFOOD DISTRIBUTION SA</t>
        </is>
      </c>
      <c r="D1021" t="inlineStr">
        <is>
          <t>Sibiu</t>
        </is>
      </c>
      <c r="E1021" t="inlineStr">
        <is>
          <t>PRD-003</t>
        </is>
      </c>
      <c r="F1021" t="inlineStr">
        <is>
          <t>Statie de lucru desktop</t>
        </is>
      </c>
      <c r="G1021" t="inlineStr">
        <is>
          <t>Hardware IT</t>
        </is>
      </c>
      <c r="H1021" t="n">
        <v>1</v>
      </c>
      <c r="I1021" t="n">
        <v>4166.43</v>
      </c>
      <c r="J1021" t="n">
        <v>4166.43</v>
      </c>
      <c r="K1021" s="13" t="n">
        <v>0.19</v>
      </c>
      <c r="L1021" t="n">
        <v>791.62</v>
      </c>
      <c r="M1021" t="n">
        <v>4958.05</v>
      </c>
      <c r="N1021" t="inlineStr">
        <is>
          <t>RON</t>
        </is>
      </c>
      <c r="O1021" t="inlineStr">
        <is>
          <t>Mediaș</t>
        </is>
      </c>
      <c r="P1021" s="12" t="n">
        <v>46362</v>
      </c>
      <c r="Q1021">
        <f>IF(COUNTIF(tbl_Localitati[oras_oficial],[@oras])=0,"ORAS NEALINIAT",IF(XLOOKUP([@oras],tbl_Localitati[oras_oficial],tbl_Localitati[judet],"?")&lt;&gt;[@judet],"JUDET NECORESPUNZATOR",""))</f>
        <v/>
      </c>
      <c r="R1021">
        <f>IF(XLOOKUP([@categorie],tbl_RegulriTVA[categorie],tbl_RegulriTVA[cota_legala],-1)&lt;&gt;[@cota_tva],"TVA GRESIT","")</f>
        <v/>
      </c>
      <c r="S1021">
        <f>IF([@data_scadentei]&lt;[@data_factura],"SCADENTA INAINTEA FACTURII","")</f>
        <v/>
      </c>
      <c r="T1021">
        <f>IF(NETWORKDAYS.INTL([@data_factura],[@data_factura],1,tbl_SarbatoriLegale[data])=0,"ZI NELUCRATOARE","")</f>
        <v/>
      </c>
      <c r="U1021">
        <f>IF([@motiv_anomalie]="","OK","DE INVESTIGAT")</f>
        <v/>
      </c>
      <c r="V1021">
        <f>TEXTJOIN("; ",TRUE,[@flag_oras],[@flag_tva],[@flag_scadenta],[@flag_zi])</f>
        <v/>
      </c>
    </row>
    <row r="1022">
      <c r="A1022" t="inlineStr">
        <is>
          <t>F-2025-01021</t>
        </is>
      </c>
      <c r="B1022" s="12" t="n">
        <v>46289</v>
      </c>
      <c r="C1022" t="inlineStr">
        <is>
          <t>SC DACTECH SOLUTIONS SRL</t>
        </is>
      </c>
      <c r="D1022" t="inlineStr">
        <is>
          <t>Argeș</t>
        </is>
      </c>
      <c r="E1022" t="inlineStr">
        <is>
          <t>PRD-009</t>
        </is>
      </c>
      <c r="F1022" t="inlineStr">
        <is>
          <t>Monitor 27" 4K</t>
        </is>
      </c>
      <c r="G1022" t="inlineStr">
        <is>
          <t>Hardware IT</t>
        </is>
      </c>
      <c r="H1022" t="n">
        <v>20</v>
      </c>
      <c r="I1022" t="n">
        <v>26.75</v>
      </c>
      <c r="J1022" t="n">
        <v>535</v>
      </c>
      <c r="K1022" s="13" t="n">
        <v>0.19</v>
      </c>
      <c r="L1022" t="n">
        <v>101.65</v>
      </c>
      <c r="M1022" t="n">
        <v>636.65</v>
      </c>
      <c r="N1022" t="inlineStr">
        <is>
          <t>EUR</t>
        </is>
      </c>
      <c r="O1022" t="inlineStr">
        <is>
          <t>Pitești</t>
        </is>
      </c>
      <c r="P1022" s="12" t="n">
        <v>46319</v>
      </c>
      <c r="Q1022">
        <f>IF(COUNTIF(tbl_Localitati[oras_oficial],[@oras])=0,"ORAS NEALINIAT",IF(XLOOKUP([@oras],tbl_Localitati[oras_oficial],tbl_Localitati[judet],"?")&lt;&gt;[@judet],"JUDET NECORESPUNZATOR",""))</f>
        <v/>
      </c>
      <c r="R1022">
        <f>IF(XLOOKUP([@categorie],tbl_RegulriTVA[categorie],tbl_RegulriTVA[cota_legala],-1)&lt;&gt;[@cota_tva],"TVA GRESIT","")</f>
        <v/>
      </c>
      <c r="S1022">
        <f>IF([@data_scadentei]&lt;[@data_factura],"SCADENTA INAINTEA FACTURII","")</f>
        <v/>
      </c>
      <c r="T1022">
        <f>IF(NETWORKDAYS.INTL([@data_factura],[@data_factura],1,tbl_SarbatoriLegale[data])=0,"ZI NELUCRATOARE","")</f>
        <v/>
      </c>
      <c r="U1022">
        <f>IF([@motiv_anomalie]="","OK","DE INVESTIGAT")</f>
        <v/>
      </c>
      <c r="V1022">
        <f>TEXTJOIN("; ",TRUE,[@flag_oras],[@flag_tva],[@flag_scadenta],[@flag_zi])</f>
        <v/>
      </c>
    </row>
    <row r="1023">
      <c r="A1023" t="inlineStr">
        <is>
          <t>F-2025-01022</t>
        </is>
      </c>
      <c r="B1023" s="12" t="n">
        <v>46218</v>
      </c>
      <c r="C1023" t="inlineStr">
        <is>
          <t>SC AROMET TRADING SRL</t>
        </is>
      </c>
      <c r="D1023" t="inlineStr">
        <is>
          <t>Alba</t>
        </is>
      </c>
      <c r="E1023" t="inlineStr">
        <is>
          <t>PRD-003</t>
        </is>
      </c>
      <c r="F1023" t="inlineStr">
        <is>
          <t>Videoproiector sala</t>
        </is>
      </c>
      <c r="G1023" t="inlineStr">
        <is>
          <t>Echipamente birou</t>
        </is>
      </c>
      <c r="H1023" t="n">
        <v>1</v>
      </c>
      <c r="I1023" t="n">
        <v>4241.53</v>
      </c>
      <c r="J1023" t="n">
        <v>4241.53</v>
      </c>
      <c r="K1023" s="13" t="n">
        <v>0.19</v>
      </c>
      <c r="L1023" t="n">
        <v>805.89</v>
      </c>
      <c r="M1023" t="n">
        <v>5047.42</v>
      </c>
      <c r="N1023" t="inlineStr">
        <is>
          <t>RON</t>
        </is>
      </c>
      <c r="O1023" t="inlineStr">
        <is>
          <t>Alba Iulia</t>
        </is>
      </c>
      <c r="P1023" s="12" t="n">
        <v>46233</v>
      </c>
      <c r="Q1023">
        <f>IF(COUNTIF(tbl_Localitati[oras_oficial],[@oras])=0,"ORAS NEALINIAT",IF(XLOOKUP([@oras],tbl_Localitati[oras_oficial],tbl_Localitati[judet],"?")&lt;&gt;[@judet],"JUDET NECORESPUNZATOR",""))</f>
        <v/>
      </c>
      <c r="R1023">
        <f>IF(XLOOKUP([@categorie],tbl_RegulriTVA[categorie],tbl_RegulriTVA[cota_legala],-1)&lt;&gt;[@cota_tva],"TVA GRESIT","")</f>
        <v/>
      </c>
      <c r="S1023">
        <f>IF([@data_scadentei]&lt;[@data_factura],"SCADENTA INAINTEA FACTURII","")</f>
        <v/>
      </c>
      <c r="T1023">
        <f>IF(NETWORKDAYS.INTL([@data_factura],[@data_factura],1,tbl_SarbatoriLegale[data])=0,"ZI NELUCRATOARE","")</f>
        <v/>
      </c>
      <c r="U1023">
        <f>IF([@motiv_anomalie]="","OK","DE INVESTIGAT")</f>
        <v/>
      </c>
      <c r="V1023">
        <f>TEXTJOIN("; ",TRUE,[@flag_oras],[@flag_tva],[@flag_scadenta],[@flag_zi])</f>
        <v/>
      </c>
    </row>
    <row r="1024">
      <c r="A1024" t="inlineStr">
        <is>
          <t>F-2025-01023</t>
        </is>
      </c>
      <c r="B1024" s="12" t="n">
        <v>46328</v>
      </c>
      <c r="C1024" t="inlineStr">
        <is>
          <t>SC METALPLAST INVEST SA</t>
        </is>
      </c>
      <c r="D1024" t="inlineStr">
        <is>
          <t>Cluj</t>
        </is>
      </c>
      <c r="E1024" t="inlineStr">
        <is>
          <t>PRD-012</t>
        </is>
      </c>
      <c r="F1024" t="inlineStr">
        <is>
          <t>Licenta Office 365 anuala</t>
        </is>
      </c>
      <c r="G1024" t="inlineStr">
        <is>
          <t>Licențe software</t>
        </is>
      </c>
      <c r="H1024" t="n">
        <v>2</v>
      </c>
      <c r="I1024" t="n">
        <v>176.19</v>
      </c>
      <c r="J1024" t="n">
        <v>352.38</v>
      </c>
      <c r="K1024" s="13" t="n">
        <v>0.19</v>
      </c>
      <c r="L1024" t="n">
        <v>66.95</v>
      </c>
      <c r="M1024" t="n">
        <v>419.33</v>
      </c>
      <c r="N1024" t="inlineStr">
        <is>
          <t>RON</t>
        </is>
      </c>
      <c r="O1024" t="inlineStr">
        <is>
          <t>Turda</t>
        </is>
      </c>
      <c r="P1024" s="12" t="n">
        <v>46358</v>
      </c>
      <c r="Q1024">
        <f>IF(COUNTIF(tbl_Localitati[oras_oficial],[@oras])=0,"ORAS NEALINIAT",IF(XLOOKUP([@oras],tbl_Localitati[oras_oficial],tbl_Localitati[judet],"?")&lt;&gt;[@judet],"JUDET NECORESPUNZATOR",""))</f>
        <v/>
      </c>
      <c r="R1024">
        <f>IF(XLOOKUP([@categorie],tbl_RegulriTVA[categorie],tbl_RegulriTVA[cota_legala],-1)&lt;&gt;[@cota_tva],"TVA GRESIT","")</f>
        <v/>
      </c>
      <c r="S1024">
        <f>IF([@data_scadentei]&lt;[@data_factura],"SCADENTA INAINTEA FACTURII","")</f>
        <v/>
      </c>
      <c r="T1024">
        <f>IF(NETWORKDAYS.INTL([@data_factura],[@data_factura],1,tbl_SarbatoriLegale[data])=0,"ZI NELUCRATOARE","")</f>
        <v/>
      </c>
      <c r="U1024">
        <f>IF([@motiv_anomalie]="","OK","DE INVESTIGAT")</f>
        <v/>
      </c>
      <c r="V1024">
        <f>TEXTJOIN("; ",TRUE,[@flag_oras],[@flag_tva],[@flag_scadenta],[@flag_zi])</f>
        <v/>
      </c>
    </row>
    <row r="1025">
      <c r="A1025" t="inlineStr">
        <is>
          <t>F-2025-01024</t>
        </is>
      </c>
      <c r="B1025" s="12" t="n">
        <v>46339</v>
      </c>
      <c r="C1025" t="inlineStr">
        <is>
          <t>SC AROMET TRADING SRL</t>
        </is>
      </c>
      <c r="D1025" t="inlineStr">
        <is>
          <t>Alba</t>
        </is>
      </c>
      <c r="E1025" t="inlineStr">
        <is>
          <t>PRD-011</t>
        </is>
      </c>
      <c r="F1025" t="inlineStr">
        <is>
          <t>Tocator documente</t>
        </is>
      </c>
      <c r="G1025" t="inlineStr">
        <is>
          <t>Echipamente birou</t>
        </is>
      </c>
      <c r="H1025" t="n">
        <v>20</v>
      </c>
      <c r="I1025" t="n">
        <v>43.02</v>
      </c>
      <c r="J1025" t="n">
        <v>860.4</v>
      </c>
      <c r="K1025" s="13" t="n">
        <v>0.19</v>
      </c>
      <c r="L1025" t="n">
        <v>163.48</v>
      </c>
      <c r="M1025" t="n">
        <v>1023.88</v>
      </c>
      <c r="N1025" t="inlineStr">
        <is>
          <t>RON</t>
        </is>
      </c>
      <c r="O1025" t="inlineStr">
        <is>
          <t>Alba Iulia</t>
        </is>
      </c>
      <c r="P1025" s="12" t="n">
        <v>46369</v>
      </c>
      <c r="Q1025">
        <f>IF(COUNTIF(tbl_Localitati[oras_oficial],[@oras])=0,"ORAS NEALINIAT",IF(XLOOKUP([@oras],tbl_Localitati[oras_oficial],tbl_Localitati[judet],"?")&lt;&gt;[@judet],"JUDET NECORESPUNZATOR",""))</f>
        <v/>
      </c>
      <c r="R1025">
        <f>IF(XLOOKUP([@categorie],tbl_RegulriTVA[categorie],tbl_RegulriTVA[cota_legala],-1)&lt;&gt;[@cota_tva],"TVA GRESIT","")</f>
        <v/>
      </c>
      <c r="S1025">
        <f>IF([@data_scadentei]&lt;[@data_factura],"SCADENTA INAINTEA FACTURII","")</f>
        <v/>
      </c>
      <c r="T1025">
        <f>IF(NETWORKDAYS.INTL([@data_factura],[@data_factura],1,tbl_SarbatoriLegale[data])=0,"ZI NELUCRATOARE","")</f>
        <v/>
      </c>
      <c r="U1025">
        <f>IF([@motiv_anomalie]="","OK","DE INVESTIGAT")</f>
        <v/>
      </c>
      <c r="V1025">
        <f>TEXTJOIN("; ",TRUE,[@flag_oras],[@flag_tva],[@flag_scadenta],[@flag_zi])</f>
        <v/>
      </c>
    </row>
    <row r="1026">
      <c r="A1026" t="inlineStr">
        <is>
          <t>F-2025-01025</t>
        </is>
      </c>
      <c r="B1026" s="12" t="n">
        <v>46199</v>
      </c>
      <c r="C1026" t="inlineStr">
        <is>
          <t>SC DACTECH SOLUTIONS SRL</t>
        </is>
      </c>
      <c r="D1026" t="inlineStr">
        <is>
          <t>Argeș</t>
        </is>
      </c>
      <c r="E1026" t="inlineStr">
        <is>
          <t>PRD-005</t>
        </is>
      </c>
      <c r="F1026" t="inlineStr">
        <is>
          <t>Statie de lucru desktop</t>
        </is>
      </c>
      <c r="G1026" t="inlineStr">
        <is>
          <t>Hardware IT</t>
        </is>
      </c>
      <c r="H1026" t="n">
        <v>1</v>
      </c>
      <c r="I1026" t="n">
        <v>240.99</v>
      </c>
      <c r="J1026" t="n">
        <v>240.99</v>
      </c>
      <c r="K1026" s="13" t="n">
        <v>0.19</v>
      </c>
      <c r="L1026" t="n">
        <v>45.79</v>
      </c>
      <c r="M1026" t="n">
        <v>286.78</v>
      </c>
      <c r="N1026" t="inlineStr">
        <is>
          <t>RON</t>
        </is>
      </c>
      <c r="O1026" t="inlineStr">
        <is>
          <t>Pitești</t>
        </is>
      </c>
      <c r="P1026" s="12" t="n">
        <v>46214</v>
      </c>
      <c r="Q1026">
        <f>IF(COUNTIF(tbl_Localitati[oras_oficial],[@oras])=0,"ORAS NEALINIAT",IF(XLOOKUP([@oras],tbl_Localitati[oras_oficial],tbl_Localitati[judet],"?")&lt;&gt;[@judet],"JUDET NECORESPUNZATOR",""))</f>
        <v/>
      </c>
      <c r="R1026">
        <f>IF(XLOOKUP([@categorie],tbl_RegulriTVA[categorie],tbl_RegulriTVA[cota_legala],-1)&lt;&gt;[@cota_tva],"TVA GRESIT","")</f>
        <v/>
      </c>
      <c r="S1026">
        <f>IF([@data_scadentei]&lt;[@data_factura],"SCADENTA INAINTEA FACTURII","")</f>
        <v/>
      </c>
      <c r="T1026">
        <f>IF(NETWORKDAYS.INTL([@data_factura],[@data_factura],1,tbl_SarbatoriLegale[data])=0,"ZI NELUCRATOARE","")</f>
        <v/>
      </c>
      <c r="U1026">
        <f>IF([@motiv_anomalie]="","OK","DE INVESTIGAT")</f>
        <v/>
      </c>
      <c r="V1026">
        <f>TEXTJOIN("; ",TRUE,[@flag_oras],[@flag_tva],[@flag_scadenta],[@flag_zi])</f>
        <v/>
      </c>
    </row>
    <row r="1027">
      <c r="A1027" t="inlineStr">
        <is>
          <t>F-2025-01026</t>
        </is>
      </c>
      <c r="B1027" s="12" t="n">
        <v>46034</v>
      </c>
      <c r="C1027" t="inlineStr">
        <is>
          <t>SC OMEGA SOFT SRL</t>
        </is>
      </c>
      <c r="D1027" t="inlineStr">
        <is>
          <t>Dolj</t>
        </is>
      </c>
      <c r="E1027" t="inlineStr">
        <is>
          <t>PRD-010</t>
        </is>
      </c>
      <c r="F1027" t="inlineStr">
        <is>
          <t>Statie de lucru desktop</t>
        </is>
      </c>
      <c r="G1027" t="inlineStr">
        <is>
          <t>Hardware IT</t>
        </is>
      </c>
      <c r="H1027" t="n">
        <v>50</v>
      </c>
      <c r="I1027" t="n">
        <v>336.91</v>
      </c>
      <c r="J1027" t="n">
        <v>16845.5</v>
      </c>
      <c r="K1027" s="13" t="n">
        <v>0.19</v>
      </c>
      <c r="L1027" t="n">
        <v>3200.64</v>
      </c>
      <c r="M1027" t="n">
        <v>20046.14</v>
      </c>
      <c r="N1027" t="inlineStr">
        <is>
          <t>RON</t>
        </is>
      </c>
      <c r="O1027" t="inlineStr">
        <is>
          <t>Craiova</t>
        </is>
      </c>
      <c r="P1027" s="12" t="n">
        <v>46049</v>
      </c>
      <c r="Q1027">
        <f>IF(COUNTIF(tbl_Localitati[oras_oficial],[@oras])=0,"ORAS NEALINIAT",IF(XLOOKUP([@oras],tbl_Localitati[oras_oficial],tbl_Localitati[judet],"?")&lt;&gt;[@judet],"JUDET NECORESPUNZATOR",""))</f>
        <v/>
      </c>
      <c r="R1027">
        <f>IF(XLOOKUP([@categorie],tbl_RegulriTVA[categorie],tbl_RegulriTVA[cota_legala],-1)&lt;&gt;[@cota_tva],"TVA GRESIT","")</f>
        <v/>
      </c>
      <c r="S1027">
        <f>IF([@data_scadentei]&lt;[@data_factura],"SCADENTA INAINTEA FACTURII","")</f>
        <v/>
      </c>
      <c r="T1027">
        <f>IF(NETWORKDAYS.INTL([@data_factura],[@data_factura],1,tbl_SarbatoriLegale[data])=0,"ZI NELUCRATOARE","")</f>
        <v/>
      </c>
      <c r="U1027">
        <f>IF([@motiv_anomalie]="","OK","DE INVESTIGAT")</f>
        <v/>
      </c>
      <c r="V1027">
        <f>TEXTJOIN("; ",TRUE,[@flag_oras],[@flag_tva],[@flag_scadenta],[@flag_zi])</f>
        <v/>
      </c>
    </row>
    <row r="1028">
      <c r="A1028" t="inlineStr">
        <is>
          <t>F-2025-01027</t>
        </is>
      </c>
      <c r="B1028" s="12" t="n">
        <v>46099</v>
      </c>
      <c r="C1028" t="inlineStr">
        <is>
          <t>SC AROMET TRADING SRL</t>
        </is>
      </c>
      <c r="D1028" t="inlineStr">
        <is>
          <t>Alba</t>
        </is>
      </c>
      <c r="E1028" t="inlineStr">
        <is>
          <t>PRD-001</t>
        </is>
      </c>
      <c r="F1028" t="inlineStr">
        <is>
          <t>Monitor 27" 4K</t>
        </is>
      </c>
      <c r="G1028" t="inlineStr">
        <is>
          <t>Hardware IT</t>
        </is>
      </c>
      <c r="H1028" t="n">
        <v>2</v>
      </c>
      <c r="I1028" t="n">
        <v>2364.38</v>
      </c>
      <c r="J1028" t="n">
        <v>4728.76</v>
      </c>
      <c r="K1028" s="13" t="n">
        <v>0.19</v>
      </c>
      <c r="L1028" t="n">
        <v>898.46</v>
      </c>
      <c r="M1028" t="n">
        <v>5627.22</v>
      </c>
      <c r="N1028" t="inlineStr">
        <is>
          <t>RON</t>
        </is>
      </c>
      <c r="O1028" t="inlineStr">
        <is>
          <t>Alba Iulia</t>
        </is>
      </c>
      <c r="P1028" s="12" t="n">
        <v>46129</v>
      </c>
      <c r="Q1028">
        <f>IF(COUNTIF(tbl_Localitati[oras_oficial],[@oras])=0,"ORAS NEALINIAT",IF(XLOOKUP([@oras],tbl_Localitati[oras_oficial],tbl_Localitati[judet],"?")&lt;&gt;[@judet],"JUDET NECORESPUNZATOR",""))</f>
        <v/>
      </c>
      <c r="R1028">
        <f>IF(XLOOKUP([@categorie],tbl_RegulriTVA[categorie],tbl_RegulriTVA[cota_legala],-1)&lt;&gt;[@cota_tva],"TVA GRESIT","")</f>
        <v/>
      </c>
      <c r="S1028">
        <f>IF([@data_scadentei]&lt;[@data_factura],"SCADENTA INAINTEA FACTURII","")</f>
        <v/>
      </c>
      <c r="T1028">
        <f>IF(NETWORKDAYS.INTL([@data_factura],[@data_factura],1,tbl_SarbatoriLegale[data])=0,"ZI NELUCRATOARE","")</f>
        <v/>
      </c>
      <c r="U1028">
        <f>IF([@motiv_anomalie]="","OK","DE INVESTIGAT")</f>
        <v/>
      </c>
      <c r="V1028">
        <f>TEXTJOIN("; ",TRUE,[@flag_oras],[@flag_tva],[@flag_scadenta],[@flag_zi])</f>
        <v/>
      </c>
    </row>
    <row r="1029">
      <c r="A1029" t="inlineStr">
        <is>
          <t>F-2025-01028</t>
        </is>
      </c>
      <c r="B1029" s="12" t="n">
        <v>46260</v>
      </c>
      <c r="C1029" t="inlineStr">
        <is>
          <t>SC DACTECH SOLUTIONS SRL</t>
        </is>
      </c>
      <c r="D1029" t="inlineStr">
        <is>
          <t>Argeș</t>
        </is>
      </c>
      <c r="E1029" t="inlineStr">
        <is>
          <t>PRD-010</t>
        </is>
      </c>
      <c r="F1029" t="inlineStr">
        <is>
          <t>Trusa prim ajutor</t>
        </is>
      </c>
      <c r="G1029" t="inlineStr">
        <is>
          <t>Produse farmaceutice</t>
        </is>
      </c>
      <c r="H1029" t="n">
        <v>50</v>
      </c>
      <c r="I1029" t="n">
        <v>361.57</v>
      </c>
      <c r="J1029" t="n">
        <v>18078.5</v>
      </c>
      <c r="K1029" s="13" t="n">
        <v>0.09</v>
      </c>
      <c r="L1029" t="n">
        <v>1627.06</v>
      </c>
      <c r="M1029" t="n">
        <v>19705.56</v>
      </c>
      <c r="N1029" t="inlineStr">
        <is>
          <t>RON</t>
        </is>
      </c>
      <c r="O1029" t="inlineStr">
        <is>
          <t>Pitești</t>
        </is>
      </c>
      <c r="P1029" s="12" t="n">
        <v>46320</v>
      </c>
      <c r="Q1029">
        <f>IF(COUNTIF(tbl_Localitati[oras_oficial],[@oras])=0,"ORAS NEALINIAT",IF(XLOOKUP([@oras],tbl_Localitati[oras_oficial],tbl_Localitati[judet],"?")&lt;&gt;[@judet],"JUDET NECORESPUNZATOR",""))</f>
        <v/>
      </c>
      <c r="R1029">
        <f>IF(XLOOKUP([@categorie],tbl_RegulriTVA[categorie],tbl_RegulriTVA[cota_legala],-1)&lt;&gt;[@cota_tva],"TVA GRESIT","")</f>
        <v/>
      </c>
      <c r="S1029">
        <f>IF([@data_scadentei]&lt;[@data_factura],"SCADENTA INAINTEA FACTURII","")</f>
        <v/>
      </c>
      <c r="T1029">
        <f>IF(NETWORKDAYS.INTL([@data_factura],[@data_factura],1,tbl_SarbatoriLegale[data])=0,"ZI NELUCRATOARE","")</f>
        <v/>
      </c>
      <c r="U1029">
        <f>IF([@motiv_anomalie]="","OK","DE INVESTIGAT")</f>
        <v/>
      </c>
      <c r="V1029">
        <f>TEXTJOIN("; ",TRUE,[@flag_oras],[@flag_tva],[@flag_scadenta],[@flag_zi])</f>
        <v/>
      </c>
    </row>
    <row r="1030">
      <c r="A1030" t="inlineStr">
        <is>
          <t>F-2025-01029</t>
        </is>
      </c>
      <c r="B1030" s="12" t="n">
        <v>46245</v>
      </c>
      <c r="C1030" t="inlineStr">
        <is>
          <t>SC INTEGROMED SA</t>
        </is>
      </c>
      <c r="D1030" t="inlineStr">
        <is>
          <t>Cluj</t>
        </is>
      </c>
      <c r="E1030" t="inlineStr">
        <is>
          <t>PRD-003</t>
        </is>
      </c>
      <c r="F1030" t="inlineStr">
        <is>
          <t>Consultanta implementare IT</t>
        </is>
      </c>
      <c r="G1030" t="inlineStr">
        <is>
          <t>Servicii consultanță</t>
        </is>
      </c>
      <c r="H1030" t="n">
        <v>1</v>
      </c>
      <c r="I1030" t="n">
        <v>4235.97</v>
      </c>
      <c r="J1030" t="n">
        <v>4235.97</v>
      </c>
      <c r="K1030" s="13" t="n">
        <v>0.19</v>
      </c>
      <c r="L1030" t="n">
        <v>804.83</v>
      </c>
      <c r="M1030" t="n">
        <v>5040.8</v>
      </c>
      <c r="N1030" t="inlineStr">
        <is>
          <t>RON</t>
        </is>
      </c>
      <c r="O1030" t="inlineStr">
        <is>
          <t>Cluj-Napoca</t>
        </is>
      </c>
      <c r="P1030" s="12" t="n">
        <v>46275</v>
      </c>
      <c r="Q1030">
        <f>IF(COUNTIF(tbl_Localitati[oras_oficial],[@oras])=0,"ORAS NEALINIAT",IF(XLOOKUP([@oras],tbl_Localitati[oras_oficial],tbl_Localitati[judet],"?")&lt;&gt;[@judet],"JUDET NECORESPUNZATOR",""))</f>
        <v/>
      </c>
      <c r="R1030">
        <f>IF(XLOOKUP([@categorie],tbl_RegulriTVA[categorie],tbl_RegulriTVA[cota_legala],-1)&lt;&gt;[@cota_tva],"TVA GRESIT","")</f>
        <v/>
      </c>
      <c r="S1030">
        <f>IF([@data_scadentei]&lt;[@data_factura],"SCADENTA INAINTEA FACTURII","")</f>
        <v/>
      </c>
      <c r="T1030">
        <f>IF(NETWORKDAYS.INTL([@data_factura],[@data_factura],1,tbl_SarbatoriLegale[data])=0,"ZI NELUCRATOARE","")</f>
        <v/>
      </c>
      <c r="U1030">
        <f>IF([@motiv_anomalie]="","OK","DE INVESTIGAT")</f>
        <v/>
      </c>
      <c r="V1030">
        <f>TEXTJOIN("; ",TRUE,[@flag_oras],[@flag_tva],[@flag_scadenta],[@flag_zi])</f>
        <v/>
      </c>
    </row>
    <row r="1031">
      <c r="A1031" t="inlineStr">
        <is>
          <t>F-2025-01030</t>
        </is>
      </c>
      <c r="B1031" s="12" t="n">
        <v>46051</v>
      </c>
      <c r="C1031" t="inlineStr">
        <is>
          <t>SC DACTECH SOLUTIONS SRL</t>
        </is>
      </c>
      <c r="D1031" t="inlineStr">
        <is>
          <t>Argeș</t>
        </is>
      </c>
      <c r="E1031" t="inlineStr">
        <is>
          <t>PRD-008</t>
        </is>
      </c>
      <c r="F1031" t="inlineStr">
        <is>
          <t>Server rack 1U</t>
        </is>
      </c>
      <c r="G1031" t="inlineStr">
        <is>
          <t>Hardware IT</t>
        </is>
      </c>
      <c r="H1031" t="n">
        <v>5</v>
      </c>
      <c r="I1031" t="n">
        <v>466.87</v>
      </c>
      <c r="J1031" t="n">
        <v>2334.35</v>
      </c>
      <c r="K1031" s="13" t="n">
        <v>0.19</v>
      </c>
      <c r="L1031" t="n">
        <v>443.53</v>
      </c>
      <c r="M1031" t="n">
        <v>2777.88</v>
      </c>
      <c r="N1031" t="inlineStr">
        <is>
          <t>RON</t>
        </is>
      </c>
      <c r="O1031" t="inlineStr">
        <is>
          <t>Pitești</t>
        </is>
      </c>
      <c r="P1031" s="12" t="n">
        <v>46081</v>
      </c>
      <c r="Q1031">
        <f>IF(COUNTIF(tbl_Localitati[oras_oficial],[@oras])=0,"ORAS NEALINIAT",IF(XLOOKUP([@oras],tbl_Localitati[oras_oficial],tbl_Localitati[judet],"?")&lt;&gt;[@judet],"JUDET NECORESPUNZATOR",""))</f>
        <v/>
      </c>
      <c r="R1031">
        <f>IF(XLOOKUP([@categorie],tbl_RegulriTVA[categorie],tbl_RegulriTVA[cota_legala],-1)&lt;&gt;[@cota_tva],"TVA GRESIT","")</f>
        <v/>
      </c>
      <c r="S1031">
        <f>IF([@data_scadentei]&lt;[@data_factura],"SCADENTA INAINTEA FACTURII","")</f>
        <v/>
      </c>
      <c r="T1031">
        <f>IF(NETWORKDAYS.INTL([@data_factura],[@data_factura],1,tbl_SarbatoriLegale[data])=0,"ZI NELUCRATOARE","")</f>
        <v/>
      </c>
      <c r="U1031">
        <f>IF([@motiv_anomalie]="","OK","DE INVESTIGAT")</f>
        <v/>
      </c>
      <c r="V1031">
        <f>TEXTJOIN("; ",TRUE,[@flag_oras],[@flag_tva],[@flag_scadenta],[@flag_zi])</f>
        <v/>
      </c>
    </row>
    <row r="1032">
      <c r="A1032" t="inlineStr">
        <is>
          <t>F-2025-01031</t>
        </is>
      </c>
      <c r="B1032" s="12" t="n">
        <v>46062</v>
      </c>
      <c r="C1032" t="inlineStr">
        <is>
          <t>SC INTEGROMED SA</t>
        </is>
      </c>
      <c r="D1032" t="inlineStr">
        <is>
          <t>Cluj</t>
        </is>
      </c>
      <c r="E1032" t="inlineStr">
        <is>
          <t>PRD-007</t>
        </is>
      </c>
      <c r="F1032" t="inlineStr">
        <is>
          <t>Laptop business 15"</t>
        </is>
      </c>
      <c r="G1032" t="inlineStr">
        <is>
          <t>Hardware IT</t>
        </is>
      </c>
      <c r="H1032" t="n">
        <v>1</v>
      </c>
      <c r="I1032" t="n">
        <v>187.96</v>
      </c>
      <c r="J1032" t="n">
        <v>187.96</v>
      </c>
      <c r="K1032" s="13" t="n">
        <v>0.19</v>
      </c>
      <c r="L1032" t="n">
        <v>35.71</v>
      </c>
      <c r="M1032" t="n">
        <v>223.67</v>
      </c>
      <c r="N1032" t="inlineStr">
        <is>
          <t>RON</t>
        </is>
      </c>
      <c r="O1032" t="inlineStr">
        <is>
          <t>Cluj-Napoca</t>
        </is>
      </c>
      <c r="P1032" s="12" t="n">
        <v>46092</v>
      </c>
      <c r="Q1032">
        <f>IF(COUNTIF(tbl_Localitati[oras_oficial],[@oras])=0,"ORAS NEALINIAT",IF(XLOOKUP([@oras],tbl_Localitati[oras_oficial],tbl_Localitati[judet],"?")&lt;&gt;[@judet],"JUDET NECORESPUNZATOR",""))</f>
        <v/>
      </c>
      <c r="R1032">
        <f>IF(XLOOKUP([@categorie],tbl_RegulriTVA[categorie],tbl_RegulriTVA[cota_legala],-1)&lt;&gt;[@cota_tva],"TVA GRESIT","")</f>
        <v/>
      </c>
      <c r="S1032">
        <f>IF([@data_scadentei]&lt;[@data_factura],"SCADENTA INAINTEA FACTURII","")</f>
        <v/>
      </c>
      <c r="T1032">
        <f>IF(NETWORKDAYS.INTL([@data_factura],[@data_factura],1,tbl_SarbatoriLegale[data])=0,"ZI NELUCRATOARE","")</f>
        <v/>
      </c>
      <c r="U1032">
        <f>IF([@motiv_anomalie]="","OK","DE INVESTIGAT")</f>
        <v/>
      </c>
      <c r="V1032">
        <f>TEXTJOIN("; ",TRUE,[@flag_oras],[@flag_tva],[@flag_scadenta],[@flag_zi])</f>
        <v/>
      </c>
    </row>
    <row r="1033">
      <c r="A1033" t="inlineStr">
        <is>
          <t>F-2025-01032</t>
        </is>
      </c>
      <c r="B1033" s="12" t="n">
        <v>46374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Laptop business 15"</t>
        </is>
      </c>
      <c r="G1033" t="inlineStr">
        <is>
          <t>Hardware IT</t>
        </is>
      </c>
      <c r="H1033" t="n">
        <v>5</v>
      </c>
      <c r="I1033" t="n">
        <v>778.91</v>
      </c>
      <c r="J1033" t="n">
        <v>3894.55</v>
      </c>
      <c r="K1033" s="13" t="n">
        <v>0.19</v>
      </c>
      <c r="L1033" t="n">
        <v>739.96</v>
      </c>
      <c r="M1033" t="n">
        <v>4634.51</v>
      </c>
      <c r="N1033" t="inlineStr">
        <is>
          <t>RON</t>
        </is>
      </c>
      <c r="O1033" t="inlineStr">
        <is>
          <t>Sibiu</t>
        </is>
      </c>
      <c r="P1033" s="12" t="n">
        <v>46404</v>
      </c>
      <c r="Q1033">
        <f>IF(COUNTIF(tbl_Localitati[oras_oficial],[@oras])=0,"ORAS NEALINIAT",IF(XLOOKUP([@oras],tbl_Localitati[oras_oficial],tbl_Localitati[judet],"?")&lt;&gt;[@judet],"JUDET NECORESPUNZATOR",""))</f>
        <v/>
      </c>
      <c r="R1033">
        <f>IF(XLOOKUP([@categorie],tbl_RegulriTVA[categorie],tbl_RegulriTVA[cota_legala],-1)&lt;&gt;[@cota_tva],"TVA GRESIT","")</f>
        <v/>
      </c>
      <c r="S1033">
        <f>IF([@data_scadentei]&lt;[@data_factura],"SCADENTA INAINTEA FACTURII","")</f>
        <v/>
      </c>
      <c r="T1033">
        <f>IF(NETWORKDAYS.INTL([@data_factura],[@data_factura],1,tbl_SarbatoriLegale[data])=0,"ZI NELUCRATOARE","")</f>
        <v/>
      </c>
      <c r="U1033">
        <f>IF([@motiv_anomalie]="","OK","DE INVESTIGAT")</f>
        <v/>
      </c>
      <c r="V1033">
        <f>TEXTJOIN("; ",TRUE,[@flag_oras],[@flag_tva],[@flag_scadenta],[@flag_zi])</f>
        <v/>
      </c>
    </row>
    <row r="1034">
      <c r="A1034" t="inlineStr">
        <is>
          <t>F-2025-01033</t>
        </is>
      </c>
      <c r="B1034" s="12" t="n">
        <v>46367</v>
      </c>
      <c r="C1034" t="inlineStr">
        <is>
          <t>SC AROMET TRADING SRL</t>
        </is>
      </c>
      <c r="D1034" t="inlineStr">
        <is>
          <t>Alba</t>
        </is>
      </c>
      <c r="E1034" t="inlineStr">
        <is>
          <t>PRD-002</t>
        </is>
      </c>
      <c r="F1034" t="inlineStr">
        <is>
          <t>Server rack 1U</t>
        </is>
      </c>
      <c r="G1034" t="inlineStr">
        <is>
          <t>Hardware IT</t>
        </is>
      </c>
      <c r="H1034" t="n">
        <v>3</v>
      </c>
      <c r="I1034" t="n">
        <v>1151.03</v>
      </c>
      <c r="J1034" t="n">
        <v>3453.09</v>
      </c>
      <c r="K1034" s="13" t="n">
        <v>0.19</v>
      </c>
      <c r="L1034" t="n">
        <v>656.09</v>
      </c>
      <c r="M1034" t="n">
        <v>4109.18</v>
      </c>
      <c r="N1034" t="inlineStr">
        <is>
          <t>RON</t>
        </is>
      </c>
      <c r="O1034" t="inlineStr">
        <is>
          <t>Alba Iulia</t>
        </is>
      </c>
      <c r="P1034" s="12" t="n">
        <v>46412</v>
      </c>
      <c r="Q1034">
        <f>IF(COUNTIF(tbl_Localitati[oras_oficial],[@oras])=0,"ORAS NEALINIAT",IF(XLOOKUP([@oras],tbl_Localitati[oras_oficial],tbl_Localitati[judet],"?")&lt;&gt;[@judet],"JUDET NECORESPUNZATOR",""))</f>
        <v/>
      </c>
      <c r="R1034">
        <f>IF(XLOOKUP([@categorie],tbl_RegulriTVA[categorie],tbl_RegulriTVA[cota_legala],-1)&lt;&gt;[@cota_tva],"TVA GRESIT","")</f>
        <v/>
      </c>
      <c r="S1034">
        <f>IF([@data_scadentei]&lt;[@data_factura],"SCADENTA INAINTEA FACTURII","")</f>
        <v/>
      </c>
      <c r="T1034">
        <f>IF(NETWORKDAYS.INTL([@data_factura],[@data_factura],1,tbl_SarbatoriLegale[data])=0,"ZI NELUCRATOARE","")</f>
        <v/>
      </c>
      <c r="U1034">
        <f>IF([@motiv_anomalie]="","OK","DE INVESTIGAT")</f>
        <v/>
      </c>
      <c r="V1034">
        <f>TEXTJOIN("; ",TRUE,[@flag_oras],[@flag_tva],[@flag_scadenta],[@flag_zi])</f>
        <v/>
      </c>
    </row>
    <row r="1035">
      <c r="A1035" t="inlineStr">
        <is>
          <t>F-2025-01034</t>
        </is>
      </c>
      <c r="B1035" s="12" t="n">
        <v>46176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Trusa prim ajutor</t>
        </is>
      </c>
      <c r="G1035" t="inlineStr">
        <is>
          <t>Produse farmaceutice</t>
        </is>
      </c>
      <c r="H1035" t="n">
        <v>1</v>
      </c>
      <c r="I1035" t="n">
        <v>2431.18</v>
      </c>
      <c r="J1035" t="n">
        <v>2431.18</v>
      </c>
      <c r="K1035" s="13" t="n">
        <v>0.09</v>
      </c>
      <c r="L1035" t="n">
        <v>218.81</v>
      </c>
      <c r="M1035" t="n">
        <v>2649.99</v>
      </c>
      <c r="N1035" t="inlineStr">
        <is>
          <t>RON</t>
        </is>
      </c>
      <c r="O1035" t="inlineStr">
        <is>
          <t>Sibiu</t>
        </is>
      </c>
      <c r="P1035" s="12" t="n">
        <v>46206</v>
      </c>
      <c r="Q1035">
        <f>IF(COUNTIF(tbl_Localitati[oras_oficial],[@oras])=0,"ORAS NEALINIAT",IF(XLOOKUP([@oras],tbl_Localitati[oras_oficial],tbl_Localitati[judet],"?")&lt;&gt;[@judet],"JUDET NECORESPUNZATOR",""))</f>
        <v/>
      </c>
      <c r="R1035">
        <f>IF(XLOOKUP([@categorie],tbl_RegulriTVA[categorie],tbl_RegulriTVA[cota_legala],-1)&lt;&gt;[@cota_tva],"TVA GRESIT","")</f>
        <v/>
      </c>
      <c r="S1035">
        <f>IF([@data_scadentei]&lt;[@data_factura],"SCADENTA INAINTEA FACTURII","")</f>
        <v/>
      </c>
      <c r="T1035">
        <f>IF(NETWORKDAYS.INTL([@data_factura],[@data_factura],1,tbl_SarbatoriLegale[data])=0,"ZI NELUCRATOARE","")</f>
        <v/>
      </c>
      <c r="U1035">
        <f>IF([@motiv_anomalie]="","OK","DE INVESTIGAT")</f>
        <v/>
      </c>
      <c r="V1035">
        <f>TEXTJOIN("; ",TRUE,[@flag_oras],[@flag_tva],[@flag_scadenta],[@flag_zi])</f>
        <v/>
      </c>
    </row>
    <row r="1036">
      <c r="A1036" t="inlineStr">
        <is>
          <t>F-2025-01035</t>
        </is>
      </c>
      <c r="B1036" s="12" t="n">
        <v>46279</v>
      </c>
      <c r="C1036" t="inlineStr">
        <is>
          <t>SC NORDIS DISTRIBUTIE SRL</t>
        </is>
      </c>
      <c r="D1036" t="inlineStr">
        <is>
          <t>Constanța</t>
        </is>
      </c>
      <c r="E1036" t="inlineStr">
        <is>
          <t>PRD-009</t>
        </is>
      </c>
      <c r="F1036" t="inlineStr">
        <is>
          <t>Tocator documente</t>
        </is>
      </c>
      <c r="G1036" t="inlineStr">
        <is>
          <t>Echipamente birou</t>
        </is>
      </c>
      <c r="H1036" t="n">
        <v>5</v>
      </c>
      <c r="I1036" t="n">
        <v>27.21</v>
      </c>
      <c r="J1036" t="n">
        <v>136.05</v>
      </c>
      <c r="K1036" s="13" t="n">
        <v>0.19</v>
      </c>
      <c r="L1036" t="n">
        <v>25.85</v>
      </c>
      <c r="M1036" t="n">
        <v>161.9</v>
      </c>
      <c r="N1036" t="inlineStr">
        <is>
          <t>RON</t>
        </is>
      </c>
      <c r="O1036" t="inlineStr">
        <is>
          <t>Mangalia</t>
        </is>
      </c>
      <c r="P1036" s="12" t="n">
        <v>46309</v>
      </c>
      <c r="Q1036">
        <f>IF(COUNTIF(tbl_Localitati[oras_oficial],[@oras])=0,"ORAS NEALINIAT",IF(XLOOKUP([@oras],tbl_Localitati[oras_oficial],tbl_Localitati[judet],"?")&lt;&gt;[@judet],"JUDET NECORESPUNZATOR",""))</f>
        <v/>
      </c>
      <c r="R1036">
        <f>IF(XLOOKUP([@categorie],tbl_RegulriTVA[categorie],tbl_RegulriTVA[cota_legala],-1)&lt;&gt;[@cota_tva],"TVA GRESIT","")</f>
        <v/>
      </c>
      <c r="S1036">
        <f>IF([@data_scadentei]&lt;[@data_factura],"SCADENTA INAINTEA FACTURII","")</f>
        <v/>
      </c>
      <c r="T1036">
        <f>IF(NETWORKDAYS.INTL([@data_factura],[@data_factura],1,tbl_SarbatoriLegale[data])=0,"ZI NELUCRATOARE","")</f>
        <v/>
      </c>
      <c r="U1036">
        <f>IF([@motiv_anomalie]="","OK","DE INVESTIGAT")</f>
        <v/>
      </c>
      <c r="V1036">
        <f>TEXTJOIN("; ",TRUE,[@flag_oras],[@flag_tva],[@flag_scadenta],[@flag_zi])</f>
        <v/>
      </c>
    </row>
    <row r="1037">
      <c r="A1037" t="inlineStr">
        <is>
          <t>F-2025-01036</t>
        </is>
      </c>
      <c r="B1037" s="12" t="n">
        <v>46105</v>
      </c>
      <c r="C1037" t="inlineStr">
        <is>
          <t>SC AROMET TRADING SRL</t>
        </is>
      </c>
      <c r="D1037" t="inlineStr">
        <is>
          <t>Alba</t>
        </is>
      </c>
      <c r="E1037" t="inlineStr">
        <is>
          <t>PRD-005</t>
        </is>
      </c>
      <c r="F1037" t="inlineStr">
        <is>
          <t>Licenta ERP contabilitate</t>
        </is>
      </c>
      <c r="G1037" t="inlineStr">
        <is>
          <t>Licențe software</t>
        </is>
      </c>
      <c r="H1037" t="n">
        <v>2</v>
      </c>
      <c r="I1037" t="n">
        <v>260.32</v>
      </c>
      <c r="J1037" t="n">
        <v>520.64</v>
      </c>
      <c r="K1037" s="13" t="n">
        <v>0.19</v>
      </c>
      <c r="L1037" t="n">
        <v>98.92</v>
      </c>
      <c r="M1037" t="n">
        <v>619.5599999999999</v>
      </c>
      <c r="N1037" t="inlineStr">
        <is>
          <t>EUR</t>
        </is>
      </c>
      <c r="O1037" t="inlineStr">
        <is>
          <t>Alba Iulia</t>
        </is>
      </c>
      <c r="P1037" s="12" t="n">
        <v>46135</v>
      </c>
      <c r="Q1037">
        <f>IF(COUNTIF(tbl_Localitati[oras_oficial],[@oras])=0,"ORAS NEALINIAT",IF(XLOOKUP([@oras],tbl_Localitati[oras_oficial],tbl_Localitati[judet],"?")&lt;&gt;[@judet],"JUDET NECORESPUNZATOR",""))</f>
        <v/>
      </c>
      <c r="R1037">
        <f>IF(XLOOKUP([@categorie],tbl_RegulriTVA[categorie],tbl_RegulriTVA[cota_legala],-1)&lt;&gt;[@cota_tva],"TVA GRESIT","")</f>
        <v/>
      </c>
      <c r="S1037">
        <f>IF([@data_scadentei]&lt;[@data_factura],"SCADENTA INAINTEA FACTURII","")</f>
        <v/>
      </c>
      <c r="T1037">
        <f>IF(NETWORKDAYS.INTL([@data_factura],[@data_factura],1,tbl_SarbatoriLegale[data])=0,"ZI NELUCRATOARE","")</f>
        <v/>
      </c>
      <c r="U1037">
        <f>IF([@motiv_anomalie]="","OK","DE INVESTIGAT")</f>
        <v/>
      </c>
      <c r="V1037">
        <f>TEXTJOIN("; ",TRUE,[@flag_oras],[@flag_tva],[@flag_scadenta],[@flag_zi])</f>
        <v/>
      </c>
    </row>
    <row r="1038">
      <c r="A1038" t="inlineStr">
        <is>
          <t>F-2025-01037</t>
        </is>
      </c>
      <c r="B1038" s="12" t="n">
        <v>46195</v>
      </c>
      <c r="C1038" t="inlineStr">
        <is>
          <t>SC AROMET TRADING SRL</t>
        </is>
      </c>
      <c r="D1038" t="inlineStr">
        <is>
          <t>Alba</t>
        </is>
      </c>
      <c r="E1038" t="inlineStr">
        <is>
          <t>PRD-011</t>
        </is>
      </c>
      <c r="F1038" t="inlineStr">
        <is>
          <t>Licenta Office 365 anuala</t>
        </is>
      </c>
      <c r="G1038" t="inlineStr">
        <is>
          <t>Licențe software</t>
        </is>
      </c>
      <c r="H1038" t="n">
        <v>50</v>
      </c>
      <c r="I1038" t="n">
        <v>43.61</v>
      </c>
      <c r="J1038" t="n">
        <v>2180.5</v>
      </c>
      <c r="K1038" s="13" t="n">
        <v>0.19</v>
      </c>
      <c r="L1038" t="n">
        <v>414.3</v>
      </c>
      <c r="M1038" t="n">
        <v>2594.8</v>
      </c>
      <c r="N1038" t="inlineStr">
        <is>
          <t>RON</t>
        </is>
      </c>
      <c r="O1038" t="inlineStr">
        <is>
          <t>Alba Iulia</t>
        </is>
      </c>
      <c r="P1038" s="12" t="n">
        <v>46225</v>
      </c>
      <c r="Q1038">
        <f>IF(COUNTIF(tbl_Localitati[oras_oficial],[@oras])=0,"ORAS NEALINIAT",IF(XLOOKUP([@oras],tbl_Localitati[oras_oficial],tbl_Localitati[judet],"?")&lt;&gt;[@judet],"JUDET NECORESPUNZATOR",""))</f>
        <v/>
      </c>
      <c r="R1038">
        <f>IF(XLOOKUP([@categorie],tbl_RegulriTVA[categorie],tbl_RegulriTVA[cota_legala],-1)&lt;&gt;[@cota_tva],"TVA GRESIT","")</f>
        <v/>
      </c>
      <c r="S1038">
        <f>IF([@data_scadentei]&lt;[@data_factura],"SCADENTA INAINTEA FACTURII","")</f>
        <v/>
      </c>
      <c r="T1038">
        <f>IF(NETWORKDAYS.INTL([@data_factura],[@data_factura],1,tbl_SarbatoriLegale[data])=0,"ZI NELUCRATOARE","")</f>
        <v/>
      </c>
      <c r="U1038">
        <f>IF([@motiv_anomalie]="","OK","DE INVESTIGAT")</f>
        <v/>
      </c>
      <c r="V1038">
        <f>TEXTJOIN("; ",TRUE,[@flag_oras],[@flag_tva],[@flag_scadenta],[@flag_zi])</f>
        <v/>
      </c>
    </row>
    <row r="1039">
      <c r="A1039" t="inlineStr">
        <is>
          <t>F-2025-01038</t>
        </is>
      </c>
      <c r="B1039" s="12" t="n">
        <v>46255</v>
      </c>
      <c r="C1039" t="inlineStr">
        <is>
          <t>SC AROMET TRADING SRL</t>
        </is>
      </c>
      <c r="D1039" t="inlineStr">
        <is>
          <t>Alba</t>
        </is>
      </c>
      <c r="E1039" t="inlineStr">
        <is>
          <t>PRD-003</t>
        </is>
      </c>
      <c r="F1039" t="inlineStr">
        <is>
          <t>Apa plata bax</t>
        </is>
      </c>
      <c r="G1039" t="inlineStr">
        <is>
          <t>Alimente</t>
        </is>
      </c>
      <c r="H1039" t="n">
        <v>10</v>
      </c>
      <c r="I1039" t="n">
        <v>4269.44</v>
      </c>
      <c r="J1039" t="n">
        <v>42694.4</v>
      </c>
      <c r="K1039" s="13" t="n">
        <v>0.09</v>
      </c>
      <c r="L1039" t="n">
        <v>3842.5</v>
      </c>
      <c r="M1039" t="n">
        <v>46536.9</v>
      </c>
      <c r="N1039" t="inlineStr">
        <is>
          <t>RON</t>
        </is>
      </c>
      <c r="O1039" t="inlineStr">
        <is>
          <t>Alba Iulia</t>
        </is>
      </c>
      <c r="P1039" s="12" t="n">
        <v>46300</v>
      </c>
      <c r="Q1039">
        <f>IF(COUNTIF(tbl_Localitati[oras_oficial],[@oras])=0,"ORAS NEALINIAT",IF(XLOOKUP([@oras],tbl_Localitati[oras_oficial],tbl_Localitati[judet],"?")&lt;&gt;[@judet],"JUDET NECORESPUNZATOR",""))</f>
        <v/>
      </c>
      <c r="R1039">
        <f>IF(XLOOKUP([@categorie],tbl_RegulriTVA[categorie],tbl_RegulriTVA[cota_legala],-1)&lt;&gt;[@cota_tva],"TVA GRESIT","")</f>
        <v/>
      </c>
      <c r="S1039">
        <f>IF([@data_scadentei]&lt;[@data_factura],"SCADENTA INAINTEA FACTURII","")</f>
        <v/>
      </c>
      <c r="T1039">
        <f>IF(NETWORKDAYS.INTL([@data_factura],[@data_factura],1,tbl_SarbatoriLegale[data])=0,"ZI NELUCRATOARE","")</f>
        <v/>
      </c>
      <c r="U1039">
        <f>IF([@motiv_anomalie]="","OK","DE INVESTIGAT")</f>
        <v/>
      </c>
      <c r="V1039">
        <f>TEXTJOIN("; ",TRUE,[@flag_oras],[@flag_tva],[@flag_scadenta],[@flag_zi])</f>
        <v/>
      </c>
    </row>
    <row r="1040">
      <c r="A1040" t="inlineStr">
        <is>
          <t>F-2025-01039</t>
        </is>
      </c>
      <c r="B1040" s="12" t="n">
        <v>46136</v>
      </c>
      <c r="C1040" t="inlineStr">
        <is>
          <t>SC AROMET TRADING SRL</t>
        </is>
      </c>
      <c r="D1040" t="inlineStr">
        <is>
          <t>Alba</t>
        </is>
      </c>
      <c r="E1040" t="inlineStr">
        <is>
          <t>PRD-010</t>
        </is>
      </c>
      <c r="F1040" t="inlineStr">
        <is>
          <t>Ceai cutie 100buc</t>
        </is>
      </c>
      <c r="G1040" t="inlineStr">
        <is>
          <t>Alimente</t>
        </is>
      </c>
      <c r="H1040" t="n">
        <v>10</v>
      </c>
      <c r="I1040" t="n">
        <v>361.74</v>
      </c>
      <c r="J1040" t="n">
        <v>3617.4</v>
      </c>
      <c r="K1040" s="13" t="n">
        <v>0.09</v>
      </c>
      <c r="L1040" t="n">
        <v>325.57</v>
      </c>
      <c r="M1040" t="n">
        <v>3942.97</v>
      </c>
      <c r="N1040" t="inlineStr">
        <is>
          <t>RON</t>
        </is>
      </c>
      <c r="O1040" t="inlineStr">
        <is>
          <t>Alba Iulia</t>
        </is>
      </c>
      <c r="P1040" s="12" t="n">
        <v>46166</v>
      </c>
      <c r="Q1040">
        <f>IF(COUNTIF(tbl_Localitati[oras_oficial],[@oras])=0,"ORAS NEALINIAT",IF(XLOOKUP([@oras],tbl_Localitati[oras_oficial],tbl_Localitati[judet],"?")&lt;&gt;[@judet],"JUDET NECORESPUNZATOR",""))</f>
        <v/>
      </c>
      <c r="R1040">
        <f>IF(XLOOKUP([@categorie],tbl_RegulriTVA[categorie],tbl_RegulriTVA[cota_legala],-1)&lt;&gt;[@cota_tva],"TVA GRESIT","")</f>
        <v/>
      </c>
      <c r="S1040">
        <f>IF([@data_scadentei]&lt;[@data_factura],"SCADENTA INAINTEA FACTURII","")</f>
        <v/>
      </c>
      <c r="T1040">
        <f>IF(NETWORKDAYS.INTL([@data_factura],[@data_factura],1,tbl_SarbatoriLegale[data])=0,"ZI NELUCRATOARE","")</f>
        <v/>
      </c>
      <c r="U1040">
        <f>IF([@motiv_anomalie]="","OK","DE INVESTIGAT")</f>
        <v/>
      </c>
      <c r="V1040">
        <f>TEXTJOIN("; ",TRUE,[@flag_oras],[@flag_tva],[@flag_scadenta],[@flag_zi])</f>
        <v/>
      </c>
    </row>
    <row r="1041">
      <c r="A1041" t="inlineStr">
        <is>
          <t>F-2025-01040</t>
        </is>
      </c>
      <c r="B1041" s="12" t="n">
        <v>46205</v>
      </c>
      <c r="C1041" t="inlineStr">
        <is>
          <t>SC UNIFOOD DISTRIBUTION SA</t>
        </is>
      </c>
      <c r="D1041" t="inlineStr">
        <is>
          <t>Sibiu</t>
        </is>
      </c>
      <c r="E1041" t="inlineStr">
        <is>
          <t>PRD-004</t>
        </is>
      </c>
      <c r="F1041" t="inlineStr">
        <is>
          <t>Consultanta implementare IT</t>
        </is>
      </c>
      <c r="G1041" t="inlineStr">
        <is>
          <t>Servicii consultanță</t>
        </is>
      </c>
      <c r="H1041" t="n">
        <v>3</v>
      </c>
      <c r="I1041" t="n">
        <v>928.35</v>
      </c>
      <c r="J1041" t="n">
        <v>2785.05</v>
      </c>
      <c r="K1041" s="13" t="n">
        <v>0.19</v>
      </c>
      <c r="L1041" t="n">
        <v>529.16</v>
      </c>
      <c r="M1041" t="n">
        <v>3314.21</v>
      </c>
      <c r="N1041" t="inlineStr">
        <is>
          <t>RON</t>
        </is>
      </c>
      <c r="O1041" t="inlineStr">
        <is>
          <t>Mediaș</t>
        </is>
      </c>
      <c r="P1041" s="12" t="n">
        <v>46220</v>
      </c>
      <c r="Q1041">
        <f>IF(COUNTIF(tbl_Localitati[oras_oficial],[@oras])=0,"ORAS NEALINIAT",IF(XLOOKUP([@oras],tbl_Localitati[oras_oficial],tbl_Localitati[judet],"?")&lt;&gt;[@judet],"JUDET NECORESPUNZATOR",""))</f>
        <v/>
      </c>
      <c r="R1041">
        <f>IF(XLOOKUP([@categorie],tbl_RegulriTVA[categorie],tbl_RegulriTVA[cota_legala],-1)&lt;&gt;[@cota_tva],"TVA GRESIT","")</f>
        <v/>
      </c>
      <c r="S1041">
        <f>IF([@data_scadentei]&lt;[@data_factura],"SCADENTA INAINTEA FACTURII","")</f>
        <v/>
      </c>
      <c r="T1041">
        <f>IF(NETWORKDAYS.INTL([@data_factura],[@data_factura],1,tbl_SarbatoriLegale[data])=0,"ZI NELUCRATOARE","")</f>
        <v/>
      </c>
      <c r="U1041">
        <f>IF([@motiv_anomalie]="","OK","DE INVESTIGAT")</f>
        <v/>
      </c>
      <c r="V1041">
        <f>TEXTJOIN("; ",TRUE,[@flag_oras],[@flag_tva],[@flag_scadenta],[@flag_zi])</f>
        <v/>
      </c>
    </row>
    <row r="1042">
      <c r="A1042" t="inlineStr">
        <is>
          <t>F-2025-01041</t>
        </is>
      </c>
      <c r="B1042" s="12" t="n">
        <v>46170</v>
      </c>
      <c r="C1042" t="inlineStr">
        <is>
          <t>SC NORDIS DISTRIBUTIE SRL</t>
        </is>
      </c>
      <c r="D1042" t="inlineStr">
        <is>
          <t>Constanța</t>
        </is>
      </c>
      <c r="E1042" t="inlineStr">
        <is>
          <t>PRD-006</t>
        </is>
      </c>
      <c r="F1042" t="inlineStr">
        <is>
          <t>Abonament suita cloud</t>
        </is>
      </c>
      <c r="G1042" t="inlineStr">
        <is>
          <t>Licențe software</t>
        </is>
      </c>
      <c r="H1042" t="n">
        <v>1</v>
      </c>
      <c r="I1042" t="n">
        <v>725.28</v>
      </c>
      <c r="J1042" t="n">
        <v>725.28</v>
      </c>
      <c r="K1042" s="13" t="n">
        <v>0.19</v>
      </c>
      <c r="L1042" t="n">
        <v>137.8</v>
      </c>
      <c r="M1042" t="n">
        <v>863.08</v>
      </c>
      <c r="N1042" t="inlineStr">
        <is>
          <t>RON</t>
        </is>
      </c>
      <c r="O1042" t="inlineStr">
        <is>
          <t>Mangalia</t>
        </is>
      </c>
      <c r="P1042" s="12" t="n">
        <v>46200</v>
      </c>
      <c r="Q1042">
        <f>IF(COUNTIF(tbl_Localitati[oras_oficial],[@oras])=0,"ORAS NEALINIAT",IF(XLOOKUP([@oras],tbl_Localitati[oras_oficial],tbl_Localitati[judet],"?")&lt;&gt;[@judet],"JUDET NECORESPUNZATOR",""))</f>
        <v/>
      </c>
      <c r="R1042">
        <f>IF(XLOOKUP([@categorie],tbl_RegulriTVA[categorie],tbl_RegulriTVA[cota_legala],-1)&lt;&gt;[@cota_tva],"TVA GRESIT","")</f>
        <v/>
      </c>
      <c r="S1042">
        <f>IF([@data_scadentei]&lt;[@data_factura],"SCADENTA INAINTEA FACTURII","")</f>
        <v/>
      </c>
      <c r="T1042">
        <f>IF(NETWORKDAYS.INTL([@data_factura],[@data_factura],1,tbl_SarbatoriLegale[data])=0,"ZI NELUCRATOARE","")</f>
        <v/>
      </c>
      <c r="U1042">
        <f>IF([@motiv_anomalie]="","OK","DE INVESTIGAT")</f>
        <v/>
      </c>
      <c r="V1042">
        <f>TEXTJOIN("; ",TRUE,[@flag_oras],[@flag_tva],[@flag_scadenta],[@flag_zi])</f>
        <v/>
      </c>
    </row>
    <row r="1043">
      <c r="A1043" t="inlineStr">
        <is>
          <t>F-2025-01042</t>
        </is>
      </c>
      <c r="B1043" s="12" t="n">
        <v>46265</v>
      </c>
      <c r="C1043" t="inlineStr">
        <is>
          <t>SC NORDIS DISTRIBUTIE SRL</t>
        </is>
      </c>
      <c r="D1043" t="inlineStr">
        <is>
          <t>Constanța</t>
        </is>
      </c>
      <c r="E1043" t="inlineStr">
        <is>
          <t>PRD-009</t>
        </is>
      </c>
      <c r="F1043" t="inlineStr">
        <is>
          <t>Statie de lucru desktop</t>
        </is>
      </c>
      <c r="G1043" t="inlineStr">
        <is>
          <t>Hardware IT</t>
        </is>
      </c>
      <c r="H1043" t="n">
        <v>5</v>
      </c>
      <c r="I1043" t="n">
        <v>29.2</v>
      </c>
      <c r="J1043" t="n">
        <v>146</v>
      </c>
      <c r="K1043" s="13" t="n">
        <v>0.19</v>
      </c>
      <c r="L1043" t="n">
        <v>27.74</v>
      </c>
      <c r="M1043" t="n">
        <v>173.74</v>
      </c>
      <c r="N1043" t="inlineStr">
        <is>
          <t>RON</t>
        </is>
      </c>
      <c r="O1043" t="inlineStr">
        <is>
          <t>Mangalia</t>
        </is>
      </c>
      <c r="P1043" s="12" t="n">
        <v>46310</v>
      </c>
      <c r="Q1043">
        <f>IF(COUNTIF(tbl_Localitati[oras_oficial],[@oras])=0,"ORAS NEALINIAT",IF(XLOOKUP([@oras],tbl_Localitati[oras_oficial],tbl_Localitati[judet],"?")&lt;&gt;[@judet],"JUDET NECORESPUNZATOR",""))</f>
        <v/>
      </c>
      <c r="R1043">
        <f>IF(XLOOKUP([@categorie],tbl_RegulriTVA[categorie],tbl_RegulriTVA[cota_legala],-1)&lt;&gt;[@cota_tva],"TVA GRESIT","")</f>
        <v/>
      </c>
      <c r="S1043">
        <f>IF([@data_scadentei]&lt;[@data_factura],"SCADENTA INAINTEA FACTURII","")</f>
        <v/>
      </c>
      <c r="T1043">
        <f>IF(NETWORKDAYS.INTL([@data_factura],[@data_factura],1,tbl_SarbatoriLegale[data])=0,"ZI NELUCRATOARE","")</f>
        <v/>
      </c>
      <c r="U1043">
        <f>IF([@motiv_anomalie]="","OK","DE INVESTIGAT")</f>
        <v/>
      </c>
      <c r="V1043">
        <f>TEXTJOIN("; ",TRUE,[@flag_oras],[@flag_tva],[@flag_scadenta],[@flag_zi])</f>
        <v/>
      </c>
    </row>
    <row r="1044">
      <c r="A1044" t="inlineStr">
        <is>
          <t>F-2025-01043</t>
        </is>
      </c>
      <c r="B1044" s="12" t="n">
        <v>46322</v>
      </c>
      <c r="C1044" t="inlineStr">
        <is>
          <t>SC INTEGROMED SA</t>
        </is>
      </c>
      <c r="D1044" t="inlineStr">
        <is>
          <t>Cluj</t>
        </is>
      </c>
      <c r="E1044" t="inlineStr">
        <is>
          <t>PRD-006</t>
        </is>
      </c>
      <c r="F1044" t="inlineStr">
        <is>
          <t>Cafea boabe 1kg</t>
        </is>
      </c>
      <c r="G1044" t="inlineStr">
        <is>
          <t>Alimente</t>
        </is>
      </c>
      <c r="H1044" t="n">
        <v>25</v>
      </c>
      <c r="I1044" t="n">
        <v>721.3</v>
      </c>
      <c r="J1044" t="n">
        <v>18032.5</v>
      </c>
      <c r="K1044" s="13" t="n">
        <v>0.09</v>
      </c>
      <c r="L1044" t="n">
        <v>1622.92</v>
      </c>
      <c r="M1044" t="n">
        <v>19655.42</v>
      </c>
      <c r="N1044" t="inlineStr">
        <is>
          <t>RON</t>
        </is>
      </c>
      <c r="O1044" t="inlineStr">
        <is>
          <t>Cluj-Napoca</t>
        </is>
      </c>
      <c r="P1044" s="12" t="n">
        <v>46367</v>
      </c>
      <c r="Q1044">
        <f>IF(COUNTIF(tbl_Localitati[oras_oficial],[@oras])=0,"ORAS NEALINIAT",IF(XLOOKUP([@oras],tbl_Localitati[oras_oficial],tbl_Localitati[judet],"?")&lt;&gt;[@judet],"JUDET NECORESPUNZATOR",""))</f>
        <v/>
      </c>
      <c r="R1044">
        <f>IF(XLOOKUP([@categorie],tbl_RegulriTVA[categorie],tbl_RegulriTVA[cota_legala],-1)&lt;&gt;[@cota_tva],"TVA GRESIT","")</f>
        <v/>
      </c>
      <c r="S1044">
        <f>IF([@data_scadentei]&lt;[@data_factura],"SCADENTA INAINTEA FACTURII","")</f>
        <v/>
      </c>
      <c r="T1044">
        <f>IF(NETWORKDAYS.INTL([@data_factura],[@data_factura],1,tbl_SarbatoriLegale[data])=0,"ZI NELUCRATOARE","")</f>
        <v/>
      </c>
      <c r="U1044">
        <f>IF([@motiv_anomalie]="","OK","DE INVESTIGAT")</f>
        <v/>
      </c>
      <c r="V1044">
        <f>TEXTJOIN("; ",TRUE,[@flag_oras],[@flag_tva],[@flag_scadenta],[@flag_zi])</f>
        <v/>
      </c>
    </row>
    <row r="1045">
      <c r="A1045" t="inlineStr">
        <is>
          <t>F-2025-01044</t>
        </is>
      </c>
      <c r="B1045" s="12" t="n">
        <v>46315</v>
      </c>
      <c r="C1045" t="inlineStr">
        <is>
          <t>SC PROVITA MEDICAL SRL</t>
        </is>
      </c>
      <c r="D1045" t="inlineStr">
        <is>
          <t>Mureș</t>
        </is>
      </c>
      <c r="E1045" t="inlineStr">
        <is>
          <t>PRD-004</t>
        </is>
      </c>
      <c r="F1045" t="inlineStr">
        <is>
          <t>Videoproiector sala</t>
        </is>
      </c>
      <c r="G1045" t="inlineStr">
        <is>
          <t>Echipamente birou</t>
        </is>
      </c>
      <c r="H1045" t="n">
        <v>1</v>
      </c>
      <c r="I1045" t="n">
        <v>893.5</v>
      </c>
      <c r="J1045" t="n">
        <v>893.5</v>
      </c>
      <c r="K1045" s="13" t="n">
        <v>0.19</v>
      </c>
      <c r="L1045" t="n">
        <v>169.77</v>
      </c>
      <c r="M1045" t="n">
        <v>1063.27</v>
      </c>
      <c r="N1045" t="inlineStr">
        <is>
          <t>RON</t>
        </is>
      </c>
      <c r="O1045" t="inlineStr">
        <is>
          <t>Târgu Mureș</t>
        </is>
      </c>
      <c r="P1045" s="12" t="n">
        <v>46375</v>
      </c>
      <c r="Q1045">
        <f>IF(COUNTIF(tbl_Localitati[oras_oficial],[@oras])=0,"ORAS NEALINIAT",IF(XLOOKUP([@oras],tbl_Localitati[oras_oficial],tbl_Localitati[judet],"?")&lt;&gt;[@judet],"JUDET NECORESPUNZATOR",""))</f>
        <v/>
      </c>
      <c r="R1045">
        <f>IF(XLOOKUP([@categorie],tbl_RegulriTVA[categorie],tbl_RegulriTVA[cota_legala],-1)&lt;&gt;[@cota_tva],"TVA GRESIT","")</f>
        <v/>
      </c>
      <c r="S1045">
        <f>IF([@data_scadentei]&lt;[@data_factura],"SCADENTA INAINTEA FACTURII","")</f>
        <v/>
      </c>
      <c r="T1045">
        <f>IF(NETWORKDAYS.INTL([@data_factura],[@data_factura],1,tbl_SarbatoriLegale[data])=0,"ZI NELUCRATOARE","")</f>
        <v/>
      </c>
      <c r="U1045">
        <f>IF([@motiv_anomalie]="","OK","DE INVESTIGAT")</f>
        <v/>
      </c>
      <c r="V1045">
        <f>TEXTJOIN("; ",TRUE,[@flag_oras],[@flag_tva],[@flag_scadenta],[@flag_zi])</f>
        <v/>
      </c>
    </row>
    <row r="1046">
      <c r="A1046" t="inlineStr">
        <is>
          <t>F-2025-01045</t>
        </is>
      </c>
      <c r="B1046" s="12" t="n">
        <v>46230</v>
      </c>
      <c r="C1046" t="inlineStr">
        <is>
          <t>SC VECTOR CONSULT SRL</t>
        </is>
      </c>
      <c r="D1046" t="inlineStr">
        <is>
          <t>Timiș</t>
        </is>
      </c>
      <c r="E1046" t="inlineStr">
        <is>
          <t>PRD-001</t>
        </is>
      </c>
      <c r="F1046" t="inlineStr">
        <is>
          <t>Videoproiector sala</t>
        </is>
      </c>
      <c r="G1046" t="inlineStr">
        <is>
          <t>Echipamente birou</t>
        </is>
      </c>
      <c r="H1046" t="n">
        <v>2</v>
      </c>
      <c r="I1046" t="n">
        <v>2451.21</v>
      </c>
      <c r="J1046" t="n">
        <v>4902.42</v>
      </c>
      <c r="K1046" s="13" t="n">
        <v>0.19</v>
      </c>
      <c r="L1046" t="n">
        <v>931.46</v>
      </c>
      <c r="M1046" t="n">
        <v>5833.88</v>
      </c>
      <c r="N1046" t="inlineStr">
        <is>
          <t>RON</t>
        </is>
      </c>
      <c r="O1046" t="inlineStr">
        <is>
          <t>Timișoara</t>
        </is>
      </c>
      <c r="P1046" s="12" t="n">
        <v>46260</v>
      </c>
      <c r="Q1046">
        <f>IF(COUNTIF(tbl_Localitati[oras_oficial],[@oras])=0,"ORAS NEALINIAT",IF(XLOOKUP([@oras],tbl_Localitati[oras_oficial],tbl_Localitati[judet],"?")&lt;&gt;[@judet],"JUDET NECORESPUNZATOR",""))</f>
        <v/>
      </c>
      <c r="R1046">
        <f>IF(XLOOKUP([@categorie],tbl_RegulriTVA[categorie],tbl_RegulriTVA[cota_legala],-1)&lt;&gt;[@cota_tva],"TVA GRESIT","")</f>
        <v/>
      </c>
      <c r="S1046">
        <f>IF([@data_scadentei]&lt;[@data_factura],"SCADENTA INAINTEA FACTURII","")</f>
        <v/>
      </c>
      <c r="T1046">
        <f>IF(NETWORKDAYS.INTL([@data_factura],[@data_factura],1,tbl_SarbatoriLegale[data])=0,"ZI NELUCRATOARE","")</f>
        <v/>
      </c>
      <c r="U1046">
        <f>IF([@motiv_anomalie]="","OK","DE INVESTIGAT")</f>
        <v/>
      </c>
      <c r="V1046">
        <f>TEXTJOIN("; ",TRUE,[@flag_oras],[@flag_tva],[@flag_scadenta],[@flag_zi])</f>
        <v/>
      </c>
    </row>
    <row r="1047">
      <c r="A1047" t="inlineStr">
        <is>
          <t>F-2025-01046</t>
        </is>
      </c>
      <c r="B1047" s="12" t="n">
        <v>46213</v>
      </c>
      <c r="C1047" t="inlineStr">
        <is>
          <t>SC SOLARIS ENERGY SRL</t>
        </is>
      </c>
      <c r="D1047" t="inlineStr">
        <is>
          <t>Prahova</t>
        </is>
      </c>
      <c r="E1047" t="inlineStr">
        <is>
          <t>PRD-006</t>
        </is>
      </c>
      <c r="F1047" t="inlineStr">
        <is>
          <t>Training utilizatori</t>
        </is>
      </c>
      <c r="G1047" t="inlineStr">
        <is>
          <t>Servicii consultanță</t>
        </is>
      </c>
      <c r="H1047" t="n">
        <v>5</v>
      </c>
      <c r="I1047" t="n">
        <v>746.24</v>
      </c>
      <c r="J1047" t="n">
        <v>3731.2</v>
      </c>
      <c r="K1047" s="13" t="n">
        <v>0.19</v>
      </c>
      <c r="L1047" t="n">
        <v>708.9299999999999</v>
      </c>
      <c r="M1047" t="n">
        <v>4440.13</v>
      </c>
      <c r="N1047" t="inlineStr">
        <is>
          <t>RON</t>
        </is>
      </c>
      <c r="O1047" t="inlineStr">
        <is>
          <t>Câmpina</t>
        </is>
      </c>
      <c r="P1047" s="12" t="n">
        <v>46243</v>
      </c>
      <c r="Q1047">
        <f>IF(COUNTIF(tbl_Localitati[oras_oficial],[@oras])=0,"ORAS NEALINIAT",IF(XLOOKUP([@oras],tbl_Localitati[oras_oficial],tbl_Localitati[judet],"?")&lt;&gt;[@judet],"JUDET NECORESPUNZATOR",""))</f>
        <v/>
      </c>
      <c r="R1047">
        <f>IF(XLOOKUP([@categorie],tbl_RegulriTVA[categorie],tbl_RegulriTVA[cota_legala],-1)&lt;&gt;[@cota_tva],"TVA GRESIT","")</f>
        <v/>
      </c>
      <c r="S1047">
        <f>IF([@data_scadentei]&lt;[@data_factura],"SCADENTA INAINTEA FACTURII","")</f>
        <v/>
      </c>
      <c r="T1047">
        <f>IF(NETWORKDAYS.INTL([@data_factura],[@data_factura],1,tbl_SarbatoriLegale[data])=0,"ZI NELUCRATOARE","")</f>
        <v/>
      </c>
      <c r="U1047">
        <f>IF([@motiv_anomalie]="","OK","DE INVESTIGAT")</f>
        <v/>
      </c>
      <c r="V1047">
        <f>TEXTJOIN("; ",TRUE,[@flag_oras],[@flag_tva],[@flag_scadenta],[@flag_zi])</f>
        <v/>
      </c>
    </row>
    <row r="1048">
      <c r="A1048" t="inlineStr">
        <is>
          <t>F-2025-01047</t>
        </is>
      </c>
      <c r="B1048" s="12" t="n">
        <v>46093</v>
      </c>
      <c r="C1048" t="inlineStr">
        <is>
          <t>SC INTEGROMED SA</t>
        </is>
      </c>
      <c r="D1048" t="inlineStr">
        <is>
          <t>Cluj</t>
        </is>
      </c>
      <c r="E1048" t="inlineStr">
        <is>
          <t>PRD-004</t>
        </is>
      </c>
      <c r="F1048" t="inlineStr">
        <is>
          <t>Licenta ERP contabilitate</t>
        </is>
      </c>
      <c r="G1048" t="inlineStr">
        <is>
          <t>Licențe software</t>
        </is>
      </c>
      <c r="H1048" t="n">
        <v>1</v>
      </c>
      <c r="I1048" t="n">
        <v>873.39</v>
      </c>
      <c r="J1048" t="n">
        <v>873.39</v>
      </c>
      <c r="K1048" s="13" t="n">
        <v>0.05</v>
      </c>
      <c r="L1048" t="n">
        <v>43.67</v>
      </c>
      <c r="M1048" t="n">
        <v>917.0599999999999</v>
      </c>
      <c r="N1048" t="inlineStr">
        <is>
          <t>RON</t>
        </is>
      </c>
      <c r="O1048" t="inlineStr">
        <is>
          <t>Cluj-Napoca</t>
        </is>
      </c>
      <c r="P1048" s="12" t="n">
        <v>46108</v>
      </c>
      <c r="Q1048">
        <f>IF(COUNTIF(tbl_Localitati[oras_oficial],[@oras])=0,"ORAS NEALINIAT",IF(XLOOKUP([@oras],tbl_Localitati[oras_oficial],tbl_Localitati[judet],"?")&lt;&gt;[@judet],"JUDET NECORESPUNZATOR",""))</f>
        <v/>
      </c>
      <c r="R1048">
        <f>IF(XLOOKUP([@categorie],tbl_RegulriTVA[categorie],tbl_RegulriTVA[cota_legala],-1)&lt;&gt;[@cota_tva],"TVA GRESIT","")</f>
        <v/>
      </c>
      <c r="S1048">
        <f>IF([@data_scadentei]&lt;[@data_factura],"SCADENTA INAINTEA FACTURII","")</f>
        <v/>
      </c>
      <c r="T1048">
        <f>IF(NETWORKDAYS.INTL([@data_factura],[@data_factura],1,tbl_SarbatoriLegale[data])=0,"ZI NELUCRATOARE","")</f>
        <v/>
      </c>
      <c r="U1048">
        <f>IF([@motiv_anomalie]="","OK","DE INVESTIGAT")</f>
        <v/>
      </c>
      <c r="V1048">
        <f>TEXTJOIN("; ",TRUE,[@flag_oras],[@flag_tva],[@flag_scadenta],[@flag_zi])</f>
        <v/>
      </c>
    </row>
    <row r="1049">
      <c r="A1049" t="inlineStr">
        <is>
          <t>F-2025-01048</t>
        </is>
      </c>
      <c r="B1049" s="12" t="n">
        <v>46107</v>
      </c>
      <c r="C1049" t="inlineStr">
        <is>
          <t>SC METALPLAST INVEST SA</t>
        </is>
      </c>
      <c r="D1049" t="inlineStr">
        <is>
          <t>Cluj</t>
        </is>
      </c>
      <c r="E1049" t="inlineStr">
        <is>
          <t>PRD-002</t>
        </is>
      </c>
      <c r="F1049" t="inlineStr">
        <is>
          <t>Suport tehnic anual</t>
        </is>
      </c>
      <c r="G1049" t="inlineStr">
        <is>
          <t>Servicii consultanță</t>
        </is>
      </c>
      <c r="H1049" t="n">
        <v>1</v>
      </c>
      <c r="I1049" t="n">
        <v>1078.64</v>
      </c>
      <c r="J1049" t="n">
        <v>1078.64</v>
      </c>
      <c r="K1049" s="13" t="n">
        <v>0.19</v>
      </c>
      <c r="L1049" t="n">
        <v>204.94</v>
      </c>
      <c r="M1049" t="n">
        <v>1283.58</v>
      </c>
      <c r="N1049" t="inlineStr">
        <is>
          <t>RON</t>
        </is>
      </c>
      <c r="O1049" t="inlineStr">
        <is>
          <t>Turda</t>
        </is>
      </c>
      <c r="P1049" s="12" t="n">
        <v>46122</v>
      </c>
      <c r="Q1049">
        <f>IF(COUNTIF(tbl_Localitati[oras_oficial],[@oras])=0,"ORAS NEALINIAT",IF(XLOOKUP([@oras],tbl_Localitati[oras_oficial],tbl_Localitati[judet],"?")&lt;&gt;[@judet],"JUDET NECORESPUNZATOR",""))</f>
        <v/>
      </c>
      <c r="R1049">
        <f>IF(XLOOKUP([@categorie],tbl_RegulriTVA[categorie],tbl_RegulriTVA[cota_legala],-1)&lt;&gt;[@cota_tva],"TVA GRESIT","")</f>
        <v/>
      </c>
      <c r="S1049">
        <f>IF([@data_scadentei]&lt;[@data_factura],"SCADENTA INAINTEA FACTURII","")</f>
        <v/>
      </c>
      <c r="T1049">
        <f>IF(NETWORKDAYS.INTL([@data_factura],[@data_factura],1,tbl_SarbatoriLegale[data])=0,"ZI NELUCRATOARE","")</f>
        <v/>
      </c>
      <c r="U1049">
        <f>IF([@motiv_anomalie]="","OK","DE INVESTIGAT")</f>
        <v/>
      </c>
      <c r="V1049">
        <f>TEXTJOIN("; ",TRUE,[@flag_oras],[@flag_tva],[@flag_scadenta],[@flag_zi])</f>
        <v/>
      </c>
    </row>
    <row r="1050">
      <c r="A1050" t="inlineStr">
        <is>
          <t>F-2025-01049</t>
        </is>
      </c>
      <c r="B1050" s="12" t="n">
        <v>46324</v>
      </c>
      <c r="C1050" t="inlineStr">
        <is>
          <t>SC DACTECH SOLUTIONS SRL</t>
        </is>
      </c>
      <c r="D1050" t="inlineStr">
        <is>
          <t>Argeș</t>
        </is>
      </c>
      <c r="E1050" t="inlineStr">
        <is>
          <t>PRD-002</t>
        </is>
      </c>
      <c r="F1050" t="inlineStr">
        <is>
          <t>Switch gigabit 24p</t>
        </is>
      </c>
      <c r="G1050" t="inlineStr">
        <is>
          <t>Hardware IT</t>
        </is>
      </c>
      <c r="H1050" t="n">
        <v>3</v>
      </c>
      <c r="I1050" t="n">
        <v>1121.89</v>
      </c>
      <c r="J1050" t="n">
        <v>3365.67</v>
      </c>
      <c r="K1050" s="13" t="n">
        <v>0.19</v>
      </c>
      <c r="L1050" t="n">
        <v>639.48</v>
      </c>
      <c r="M1050" t="n">
        <v>4005.15</v>
      </c>
      <c r="N1050" t="inlineStr">
        <is>
          <t>RON</t>
        </is>
      </c>
      <c r="O1050" t="inlineStr">
        <is>
          <t>Pitești</t>
        </is>
      </c>
      <c r="P1050" s="12" t="n">
        <v>46354</v>
      </c>
      <c r="Q1050">
        <f>IF(COUNTIF(tbl_Localitati[oras_oficial],[@oras])=0,"ORAS NEALINIAT",IF(XLOOKUP([@oras],tbl_Localitati[oras_oficial],tbl_Localitati[judet],"?")&lt;&gt;[@judet],"JUDET NECORESPUNZATOR",""))</f>
        <v/>
      </c>
      <c r="R1050">
        <f>IF(XLOOKUP([@categorie],tbl_RegulriTVA[categorie],tbl_RegulriTVA[cota_legala],-1)&lt;&gt;[@cota_tva],"TVA GRESIT","")</f>
        <v/>
      </c>
      <c r="S1050">
        <f>IF([@data_scadentei]&lt;[@data_factura],"SCADENTA INAINTEA FACTURII","")</f>
        <v/>
      </c>
      <c r="T1050">
        <f>IF(NETWORKDAYS.INTL([@data_factura],[@data_factura],1,tbl_SarbatoriLegale[data])=0,"ZI NELUCRATOARE","")</f>
        <v/>
      </c>
      <c r="U1050">
        <f>IF([@motiv_anomalie]="","OK","DE INVESTIGAT")</f>
        <v/>
      </c>
      <c r="V1050">
        <f>TEXTJOIN("; ",TRUE,[@flag_oras],[@flag_tva],[@flag_scadenta],[@flag_zi])</f>
        <v/>
      </c>
    </row>
    <row r="1051">
      <c r="A1051" t="inlineStr">
        <is>
          <t>F-2025-01050</t>
        </is>
      </c>
      <c r="B1051" s="12" t="n">
        <v>46309</v>
      </c>
      <c r="C1051" t="inlineStr">
        <is>
          <t>SC UNIFOOD DISTRIBUTION SA</t>
        </is>
      </c>
      <c r="D1051" t="inlineStr">
        <is>
          <t>Sibiu</t>
        </is>
      </c>
      <c r="E1051" t="inlineStr">
        <is>
          <t>PRD-010</t>
        </is>
      </c>
      <c r="F1051" t="inlineStr">
        <is>
          <t>Licenta antivirus enterprise</t>
        </is>
      </c>
      <c r="G1051" t="inlineStr">
        <is>
          <t>Licențe software</t>
        </is>
      </c>
      <c r="H1051" t="n">
        <v>50</v>
      </c>
      <c r="I1051" t="n">
        <v>357.58</v>
      </c>
      <c r="J1051" t="n">
        <v>17879</v>
      </c>
      <c r="K1051" s="13" t="n">
        <v>0.19</v>
      </c>
      <c r="L1051" t="n">
        <v>3397.01</v>
      </c>
      <c r="M1051" t="n">
        <v>21276.01</v>
      </c>
      <c r="N1051" t="inlineStr">
        <is>
          <t>RON</t>
        </is>
      </c>
      <c r="O1051" t="inlineStr">
        <is>
          <t>Mediaș</t>
        </is>
      </c>
      <c r="P1051" s="12" t="n">
        <v>46354</v>
      </c>
      <c r="Q1051">
        <f>IF(COUNTIF(tbl_Localitati[oras_oficial],[@oras])=0,"ORAS NEALINIAT",IF(XLOOKUP([@oras],tbl_Localitati[oras_oficial],tbl_Localitati[judet],"?")&lt;&gt;[@judet],"JUDET NECORESPUNZATOR",""))</f>
        <v/>
      </c>
      <c r="R1051">
        <f>IF(XLOOKUP([@categorie],tbl_RegulriTVA[categorie],tbl_RegulriTVA[cota_legala],-1)&lt;&gt;[@cota_tva],"TVA GRESIT","")</f>
        <v/>
      </c>
      <c r="S1051">
        <f>IF([@data_scadentei]&lt;[@data_factura],"SCADENTA INAINTEA FACTURII","")</f>
        <v/>
      </c>
      <c r="T1051">
        <f>IF(NETWORKDAYS.INTL([@data_factura],[@data_factura],1,tbl_SarbatoriLegale[data])=0,"ZI NELUCRATOARE","")</f>
        <v/>
      </c>
      <c r="U1051">
        <f>IF([@motiv_anomalie]="","OK","DE INVESTIGAT")</f>
        <v/>
      </c>
      <c r="V1051">
        <f>TEXTJOIN("; ",TRUE,[@flag_oras],[@flag_tva],[@flag_scadenta],[@flag_zi])</f>
        <v/>
      </c>
    </row>
    <row r="1052">
      <c r="A1052" t="inlineStr">
        <is>
          <t>F-2025-01051</t>
        </is>
      </c>
      <c r="B1052" s="12" t="n">
        <v>46064</v>
      </c>
      <c r="C1052" t="inlineStr">
        <is>
          <t>SC DACTECH SOLUTIONS SRL</t>
        </is>
      </c>
      <c r="D1052" t="inlineStr">
        <is>
          <t>Argeș</t>
        </is>
      </c>
      <c r="E1052" t="inlineStr">
        <is>
          <t>PRD-002</t>
        </is>
      </c>
      <c r="F1052" t="inlineStr">
        <is>
          <t>Statie de lucru desktop</t>
        </is>
      </c>
      <c r="G1052" t="inlineStr">
        <is>
          <t>Hardware IT</t>
        </is>
      </c>
      <c r="H1052" t="n">
        <v>1</v>
      </c>
      <c r="I1052" t="n">
        <v>1070.53</v>
      </c>
      <c r="J1052" t="n">
        <v>1070.53</v>
      </c>
      <c r="K1052" s="13" t="n">
        <v>0.19</v>
      </c>
      <c r="L1052" t="n">
        <v>203.4</v>
      </c>
      <c r="M1052" t="n">
        <v>1273.93</v>
      </c>
      <c r="N1052" t="inlineStr">
        <is>
          <t>RON</t>
        </is>
      </c>
      <c r="O1052" t="inlineStr">
        <is>
          <t>Pitești</t>
        </is>
      </c>
      <c r="P1052" s="12" t="n">
        <v>46094</v>
      </c>
      <c r="Q1052">
        <f>IF(COUNTIF(tbl_Localitati[oras_oficial],[@oras])=0,"ORAS NEALINIAT",IF(XLOOKUP([@oras],tbl_Localitati[oras_oficial],tbl_Localitati[judet],"?")&lt;&gt;[@judet],"JUDET NECORESPUNZATOR",""))</f>
        <v/>
      </c>
      <c r="R1052">
        <f>IF(XLOOKUP([@categorie],tbl_RegulriTVA[categorie],tbl_RegulriTVA[cota_legala],-1)&lt;&gt;[@cota_tva],"TVA GRESIT","")</f>
        <v/>
      </c>
      <c r="S1052">
        <f>IF([@data_scadentei]&lt;[@data_factura],"SCADENTA INAINTEA FACTURII","")</f>
        <v/>
      </c>
      <c r="T1052">
        <f>IF(NETWORKDAYS.INTL([@data_factura],[@data_factura],1,tbl_SarbatoriLegale[data])=0,"ZI NELUCRATOARE","")</f>
        <v/>
      </c>
      <c r="U1052">
        <f>IF([@motiv_anomalie]="","OK","DE INVESTIGAT")</f>
        <v/>
      </c>
      <c r="V1052">
        <f>TEXTJOIN("; ",TRUE,[@flag_oras],[@flag_tva],[@flag_scadenta],[@flag_zi])</f>
        <v/>
      </c>
    </row>
    <row r="1053">
      <c r="A1053" t="inlineStr">
        <is>
          <t>F-2025-01052</t>
        </is>
      </c>
      <c r="B1053" s="12" t="n">
        <v>46225</v>
      </c>
      <c r="C1053" t="inlineStr">
        <is>
          <t>SC OMEGA SOFT SRL</t>
        </is>
      </c>
      <c r="D1053" t="inlineStr">
        <is>
          <t>Dolj</t>
        </is>
      </c>
      <c r="E1053" t="inlineStr">
        <is>
          <t>PRD-001</t>
        </is>
      </c>
      <c r="F1053" t="inlineStr">
        <is>
          <t>Licenta Office 365 anuala</t>
        </is>
      </c>
      <c r="G1053" t="inlineStr">
        <is>
          <t>Licențe software</t>
        </is>
      </c>
      <c r="H1053" t="n">
        <v>2</v>
      </c>
      <c r="I1053" t="n">
        <v>2518.5</v>
      </c>
      <c r="J1053" t="n">
        <v>5037</v>
      </c>
      <c r="K1053" s="13" t="n">
        <v>0.19</v>
      </c>
      <c r="L1053" t="n">
        <v>957.03</v>
      </c>
      <c r="M1053" t="n">
        <v>5994.03</v>
      </c>
      <c r="N1053" t="inlineStr">
        <is>
          <t>RON</t>
        </is>
      </c>
      <c r="O1053" t="inlineStr">
        <is>
          <t>Craiova</t>
        </is>
      </c>
      <c r="P1053" s="12" t="n">
        <v>46285</v>
      </c>
      <c r="Q1053">
        <f>IF(COUNTIF(tbl_Localitati[oras_oficial],[@oras])=0,"ORAS NEALINIAT",IF(XLOOKUP([@oras],tbl_Localitati[oras_oficial],tbl_Localitati[judet],"?")&lt;&gt;[@judet],"JUDET NECORESPUNZATOR",""))</f>
        <v/>
      </c>
      <c r="R1053">
        <f>IF(XLOOKUP([@categorie],tbl_RegulriTVA[categorie],tbl_RegulriTVA[cota_legala],-1)&lt;&gt;[@cota_tva],"TVA GRESIT","")</f>
        <v/>
      </c>
      <c r="S1053">
        <f>IF([@data_scadentei]&lt;[@data_factura],"SCADENTA INAINTEA FACTURII","")</f>
        <v/>
      </c>
      <c r="T1053">
        <f>IF(NETWORKDAYS.INTL([@data_factura],[@data_factura],1,tbl_SarbatoriLegale[data])=0,"ZI NELUCRATOARE","")</f>
        <v/>
      </c>
      <c r="U1053">
        <f>IF([@motiv_anomalie]="","OK","DE INVESTIGAT")</f>
        <v/>
      </c>
      <c r="V1053">
        <f>TEXTJOIN("; ",TRUE,[@flag_oras],[@flag_tva],[@flag_scadenta],[@flag_zi])</f>
        <v/>
      </c>
    </row>
    <row r="1054">
      <c r="A1054" t="inlineStr">
        <is>
          <t>F-2025-01053</t>
        </is>
      </c>
      <c r="B1054" s="12" t="n">
        <v>46377</v>
      </c>
      <c r="C1054" t="inlineStr">
        <is>
          <t>SC RAPID LOGISTIC SA</t>
        </is>
      </c>
      <c r="D1054" t="inlineStr">
        <is>
          <t>Prahova</t>
        </is>
      </c>
      <c r="E1054" t="inlineStr">
        <is>
          <t>PRD-009</t>
        </is>
      </c>
      <c r="F1054" t="inlineStr">
        <is>
          <t>Set carti formare</t>
        </is>
      </c>
      <c r="G1054" t="inlineStr">
        <is>
          <t>Cărți și manuale</t>
        </is>
      </c>
      <c r="H1054" t="n">
        <v>50</v>
      </c>
      <c r="I1054" t="n">
        <v>28</v>
      </c>
      <c r="J1054" t="n">
        <v>1400</v>
      </c>
      <c r="K1054" s="13" t="n">
        <v>0.05</v>
      </c>
      <c r="L1054" t="n">
        <v>70</v>
      </c>
      <c r="M1054" t="n">
        <v>1470</v>
      </c>
      <c r="N1054" t="inlineStr">
        <is>
          <t>RON</t>
        </is>
      </c>
      <c r="O1054" t="inlineStr">
        <is>
          <t>Ploiești</t>
        </is>
      </c>
      <c r="P1054" s="12" t="n">
        <v>46407</v>
      </c>
      <c r="Q1054">
        <f>IF(COUNTIF(tbl_Localitati[oras_oficial],[@oras])=0,"ORAS NEALINIAT",IF(XLOOKUP([@oras],tbl_Localitati[oras_oficial],tbl_Localitati[judet],"?")&lt;&gt;[@judet],"JUDET NECORESPUNZATOR",""))</f>
        <v/>
      </c>
      <c r="R1054">
        <f>IF(XLOOKUP([@categorie],tbl_RegulriTVA[categorie],tbl_RegulriTVA[cota_legala],-1)&lt;&gt;[@cota_tva],"TVA GRESIT","")</f>
        <v/>
      </c>
      <c r="S1054">
        <f>IF([@data_scadentei]&lt;[@data_factura],"SCADENTA INAINTEA FACTURII","")</f>
        <v/>
      </c>
      <c r="T1054">
        <f>IF(NETWORKDAYS.INTL([@data_factura],[@data_factura],1,tbl_SarbatoriLegale[data])=0,"ZI NELUCRATOARE","")</f>
        <v/>
      </c>
      <c r="U1054">
        <f>IF([@motiv_anomalie]="","OK","DE INVESTIGAT")</f>
        <v/>
      </c>
      <c r="V1054">
        <f>TEXTJOIN("; ",TRUE,[@flag_oras],[@flag_tva],[@flag_scadenta],[@flag_zi])</f>
        <v/>
      </c>
    </row>
    <row r="1055">
      <c r="A1055" t="inlineStr">
        <is>
          <t>F-2025-01054</t>
        </is>
      </c>
      <c r="B1055" s="12" t="n">
        <v>46372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antivirus enterprise</t>
        </is>
      </c>
      <c r="G1055" t="inlineStr">
        <is>
          <t>Licențe software</t>
        </is>
      </c>
      <c r="H1055" t="n">
        <v>1</v>
      </c>
      <c r="I1055" t="n">
        <v>738.65</v>
      </c>
      <c r="J1055" t="n">
        <v>738.65</v>
      </c>
      <c r="K1055" s="13" t="n">
        <v>0.19</v>
      </c>
      <c r="L1055" t="n">
        <v>140.34</v>
      </c>
      <c r="M1055" t="n">
        <v>878.99</v>
      </c>
      <c r="N1055" t="inlineStr">
        <is>
          <t>RON</t>
        </is>
      </c>
      <c r="O1055" t="inlineStr">
        <is>
          <t>Sibiu</t>
        </is>
      </c>
      <c r="P1055" s="12" t="n">
        <v>46402</v>
      </c>
      <c r="Q1055">
        <f>IF(COUNTIF(tbl_Localitati[oras_oficial],[@oras])=0,"ORAS NEALINIAT",IF(XLOOKUP([@oras],tbl_Localitati[oras_oficial],tbl_Localitati[judet],"?")&lt;&gt;[@judet],"JUDET NECORESPUNZATOR",""))</f>
        <v/>
      </c>
      <c r="R1055">
        <f>IF(XLOOKUP([@categorie],tbl_RegulriTVA[categorie],tbl_RegulriTVA[cota_legala],-1)&lt;&gt;[@cota_tva],"TVA GRESIT","")</f>
        <v/>
      </c>
      <c r="S1055">
        <f>IF([@data_scadentei]&lt;[@data_factura],"SCADENTA INAINTEA FACTURII","")</f>
        <v/>
      </c>
      <c r="T1055">
        <f>IF(NETWORKDAYS.INTL([@data_factura],[@data_factura],1,tbl_SarbatoriLegale[data])=0,"ZI NELUCRATOARE","")</f>
        <v/>
      </c>
      <c r="U1055">
        <f>IF([@motiv_anomalie]="","OK","DE INVESTIGAT")</f>
        <v/>
      </c>
      <c r="V1055">
        <f>TEXTJOIN("; ",TRUE,[@flag_oras],[@flag_tva],[@flag_scadenta],[@flag_zi])</f>
        <v/>
      </c>
    </row>
    <row r="1056">
      <c r="A1056" t="inlineStr">
        <is>
          <t>F-2025-01055</t>
        </is>
      </c>
      <c r="B1056" s="12" t="n">
        <v>46246</v>
      </c>
      <c r="C1056" t="inlineStr">
        <is>
          <t>SC AROMET TRADING SRL</t>
        </is>
      </c>
      <c r="D1056" t="inlineStr">
        <is>
          <t>Alba</t>
        </is>
      </c>
      <c r="E1056" t="inlineStr">
        <is>
          <t>PRD-011</t>
        </is>
      </c>
      <c r="F1056" t="inlineStr">
        <is>
          <t>Licenta ERP contabilitate</t>
        </is>
      </c>
      <c r="G1056" t="inlineStr">
        <is>
          <t>Licențe software</t>
        </is>
      </c>
      <c r="H1056" t="n">
        <v>10</v>
      </c>
      <c r="I1056" t="n">
        <v>45.44</v>
      </c>
      <c r="J1056" t="n">
        <v>454.4</v>
      </c>
      <c r="K1056" s="13" t="n">
        <v>0.19</v>
      </c>
      <c r="L1056" t="n">
        <v>86.34</v>
      </c>
      <c r="M1056" t="n">
        <v>540.74</v>
      </c>
      <c r="N1056" t="inlineStr">
        <is>
          <t>RON</t>
        </is>
      </c>
      <c r="O1056" t="inlineStr">
        <is>
          <t>Alba Iulia</t>
        </is>
      </c>
      <c r="P1056" s="12" t="n">
        <v>46276</v>
      </c>
      <c r="Q1056">
        <f>IF(COUNTIF(tbl_Localitati[oras_oficial],[@oras])=0,"ORAS NEALINIAT",IF(XLOOKUP([@oras],tbl_Localitati[oras_oficial],tbl_Localitati[judet],"?")&lt;&gt;[@judet],"JUDET NECORESPUNZATOR",""))</f>
        <v/>
      </c>
      <c r="R1056">
        <f>IF(XLOOKUP([@categorie],tbl_RegulriTVA[categorie],tbl_RegulriTVA[cota_legala],-1)&lt;&gt;[@cota_tva],"TVA GRESIT","")</f>
        <v/>
      </c>
      <c r="S1056">
        <f>IF([@data_scadentei]&lt;[@data_factura],"SCADENTA INAINTEA FACTURII","")</f>
        <v/>
      </c>
      <c r="T1056">
        <f>IF(NETWORKDAYS.INTL([@data_factura],[@data_factura],1,tbl_SarbatoriLegale[data])=0,"ZI NELUCRATOARE","")</f>
        <v/>
      </c>
      <c r="U1056">
        <f>IF([@motiv_anomalie]="","OK","DE INVESTIGAT")</f>
        <v/>
      </c>
      <c r="V1056">
        <f>TEXTJOIN("; ",TRUE,[@flag_oras],[@flag_tva],[@flag_scadenta],[@flag_zi])</f>
        <v/>
      </c>
    </row>
    <row r="1057">
      <c r="A1057" t="inlineStr">
        <is>
          <t>F-2025-01056</t>
        </is>
      </c>
      <c r="B1057" s="12" t="n">
        <v>46038</v>
      </c>
      <c r="C1057" t="inlineStr">
        <is>
          <t>SC DACTECH SOLUTIONS SRL</t>
        </is>
      </c>
      <c r="D1057" t="inlineStr">
        <is>
          <t>Argeș</t>
        </is>
      </c>
      <c r="E1057" t="inlineStr">
        <is>
          <t>PRD-002</t>
        </is>
      </c>
      <c r="F1057" t="inlineStr">
        <is>
          <t>Suport tehnic anual</t>
        </is>
      </c>
      <c r="G1057" t="inlineStr">
        <is>
          <t>Servicii consultanță</t>
        </is>
      </c>
      <c r="H1057" t="n">
        <v>1</v>
      </c>
      <c r="I1057" t="n">
        <v>1056.13</v>
      </c>
      <c r="J1057" t="n">
        <v>1056.13</v>
      </c>
      <c r="K1057" s="13" t="n">
        <v>0.19</v>
      </c>
      <c r="L1057" t="n">
        <v>200.66</v>
      </c>
      <c r="M1057" t="n">
        <v>1256.79</v>
      </c>
      <c r="N1057" t="inlineStr">
        <is>
          <t>RON</t>
        </is>
      </c>
      <c r="O1057" t="inlineStr">
        <is>
          <t>Pitești</t>
        </is>
      </c>
      <c r="P1057" s="12" t="n">
        <v>46023</v>
      </c>
      <c r="Q1057">
        <f>IF(COUNTIF(tbl_Localitati[oras_oficial],[@oras])=0,"ORAS NEALINIAT",IF(XLOOKUP([@oras],tbl_Localitati[oras_oficial],tbl_Localitati[judet],"?")&lt;&gt;[@judet],"JUDET NECORESPUNZATOR",""))</f>
        <v/>
      </c>
      <c r="R1057">
        <f>IF(XLOOKUP([@categorie],tbl_RegulriTVA[categorie],tbl_RegulriTVA[cota_legala],-1)&lt;&gt;[@cota_tva],"TVA GRESIT","")</f>
        <v/>
      </c>
      <c r="S1057">
        <f>IF([@data_scadentei]&lt;[@data_factura],"SCADENTA INAINTEA FACTURII","")</f>
        <v/>
      </c>
      <c r="T1057">
        <f>IF(NETWORKDAYS.INTL([@data_factura],[@data_factura],1,tbl_SarbatoriLegale[data])=0,"ZI NELUCRATOARE","")</f>
        <v/>
      </c>
      <c r="U1057">
        <f>IF([@motiv_anomalie]="","OK","DE INVESTIGAT")</f>
        <v/>
      </c>
      <c r="V1057">
        <f>TEXTJOIN("; ",TRUE,[@flag_oras],[@flag_tva],[@flag_scadenta],[@flag_zi])</f>
        <v/>
      </c>
    </row>
    <row r="1058">
      <c r="A1058" t="inlineStr">
        <is>
          <t>F-2025-01057</t>
        </is>
      </c>
      <c r="B1058" s="12" t="n">
        <v>46122</v>
      </c>
      <c r="C1058" t="inlineStr">
        <is>
          <t>SC METALPLAST INVEST SA</t>
        </is>
      </c>
      <c r="D1058" t="inlineStr">
        <is>
          <t>Cluj</t>
        </is>
      </c>
      <c r="E1058" t="inlineStr">
        <is>
          <t>PRD-009</t>
        </is>
      </c>
      <c r="F1058" t="inlineStr">
        <is>
          <t>Audit infrastructura</t>
        </is>
      </c>
      <c r="G1058" t="inlineStr">
        <is>
          <t>Servicii consultanță</t>
        </is>
      </c>
      <c r="H1058" t="n">
        <v>20</v>
      </c>
      <c r="I1058" t="n">
        <v>28.03</v>
      </c>
      <c r="J1058" t="n">
        <v>560.6</v>
      </c>
      <c r="K1058" s="13" t="n">
        <v>0.19</v>
      </c>
      <c r="L1058" t="n">
        <v>106.51</v>
      </c>
      <c r="M1058" t="n">
        <v>667.11</v>
      </c>
      <c r="N1058" t="inlineStr">
        <is>
          <t>RON</t>
        </is>
      </c>
      <c r="O1058" t="inlineStr">
        <is>
          <t>Turda</t>
        </is>
      </c>
      <c r="P1058" s="12" t="n">
        <v>46152</v>
      </c>
      <c r="Q1058">
        <f>IF(COUNTIF(tbl_Localitati[oras_oficial],[@oras])=0,"ORAS NEALINIAT",IF(XLOOKUP([@oras],tbl_Localitati[oras_oficial],tbl_Localitati[judet],"?")&lt;&gt;[@judet],"JUDET NECORESPUNZATOR",""))</f>
        <v/>
      </c>
      <c r="R1058">
        <f>IF(XLOOKUP([@categorie],tbl_RegulriTVA[categorie],tbl_RegulriTVA[cota_legala],-1)&lt;&gt;[@cota_tva],"TVA GRESIT","")</f>
        <v/>
      </c>
      <c r="S1058">
        <f>IF([@data_scadentei]&lt;[@data_factura],"SCADENTA INAINTEA FACTURII","")</f>
        <v/>
      </c>
      <c r="T1058">
        <f>IF(NETWORKDAYS.INTL([@data_factura],[@data_factura],1,tbl_SarbatoriLegale[data])=0,"ZI NELUCRATOARE","")</f>
        <v/>
      </c>
      <c r="U1058">
        <f>IF([@motiv_anomalie]="","OK","DE INVESTIGAT")</f>
        <v/>
      </c>
      <c r="V1058">
        <f>TEXTJOIN("; ",TRUE,[@flag_oras],[@flag_tva],[@flag_scadenta],[@flag_zi])</f>
        <v/>
      </c>
    </row>
    <row r="1059">
      <c r="A1059" t="inlineStr">
        <is>
          <t>F-2025-01058</t>
        </is>
      </c>
      <c r="B1059" s="12" t="n">
        <v>46227</v>
      </c>
      <c r="C1059" t="inlineStr">
        <is>
          <t>SC OMEGA SOFT SRL</t>
        </is>
      </c>
      <c r="D1059" t="inlineStr">
        <is>
          <t>Dolj</t>
        </is>
      </c>
      <c r="E1059" t="inlineStr">
        <is>
          <t>PRD-011</t>
        </is>
      </c>
      <c r="F1059" t="inlineStr">
        <is>
          <t>Tocator documente</t>
        </is>
      </c>
      <c r="G1059" t="inlineStr">
        <is>
          <t>Echipamente birou</t>
        </is>
      </c>
      <c r="H1059" t="n">
        <v>20</v>
      </c>
      <c r="I1059" t="n">
        <v>45.01</v>
      </c>
      <c r="J1059" t="n">
        <v>900.2</v>
      </c>
      <c r="K1059" s="13" t="n">
        <v>0.19</v>
      </c>
      <c r="L1059" t="n">
        <v>171.04</v>
      </c>
      <c r="M1059" t="n">
        <v>1071.24</v>
      </c>
      <c r="N1059" t="inlineStr">
        <is>
          <t>RON</t>
        </is>
      </c>
      <c r="O1059" t="inlineStr">
        <is>
          <t>Craiova</t>
        </is>
      </c>
      <c r="P1059" s="12" t="n">
        <v>46257</v>
      </c>
      <c r="Q1059">
        <f>IF(COUNTIF(tbl_Localitati[oras_oficial],[@oras])=0,"ORAS NEALINIAT",IF(XLOOKUP([@oras],tbl_Localitati[oras_oficial],tbl_Localitati[judet],"?")&lt;&gt;[@judet],"JUDET NECORESPUNZATOR",""))</f>
        <v/>
      </c>
      <c r="R1059">
        <f>IF(XLOOKUP([@categorie],tbl_RegulriTVA[categorie],tbl_RegulriTVA[cota_legala],-1)&lt;&gt;[@cota_tva],"TVA GRESIT","")</f>
        <v/>
      </c>
      <c r="S1059">
        <f>IF([@data_scadentei]&lt;[@data_factura],"SCADENTA INAINTEA FACTURII","")</f>
        <v/>
      </c>
      <c r="T1059">
        <f>IF(NETWORKDAYS.INTL([@data_factura],[@data_factura],1,tbl_SarbatoriLegale[data])=0,"ZI NELUCRATOARE","")</f>
        <v/>
      </c>
      <c r="U1059">
        <f>IF([@motiv_anomalie]="","OK","DE INVESTIGAT")</f>
        <v/>
      </c>
      <c r="V1059">
        <f>TEXTJOIN("; ",TRUE,[@flag_oras],[@flag_tva],[@flag_scadenta],[@flag_zi])</f>
        <v/>
      </c>
    </row>
    <row r="1060">
      <c r="A1060" t="inlineStr">
        <is>
          <t>F-2025-01059</t>
        </is>
      </c>
      <c r="B1060" s="12" t="n">
        <v>46042</v>
      </c>
      <c r="C1060" t="inlineStr">
        <is>
          <t>SC OMEGA SOFT SRL</t>
        </is>
      </c>
      <c r="D1060" t="inlineStr">
        <is>
          <t>Dolj</t>
        </is>
      </c>
      <c r="E1060" t="inlineStr">
        <is>
          <t>PRD-010</t>
        </is>
      </c>
      <c r="F1060" t="inlineStr">
        <is>
          <t>Multifunctionala laser</t>
        </is>
      </c>
      <c r="G1060" t="inlineStr">
        <is>
          <t>Echipamente birou</t>
        </is>
      </c>
      <c r="H1060" t="n">
        <v>50</v>
      </c>
      <c r="I1060" t="n">
        <v>340.77</v>
      </c>
      <c r="J1060" t="n">
        <v>17038.5</v>
      </c>
      <c r="K1060" s="13" t="n">
        <v>0.19</v>
      </c>
      <c r="L1060" t="n">
        <v>3237.32</v>
      </c>
      <c r="M1060" t="n">
        <v>20275.82</v>
      </c>
      <c r="N1060" t="inlineStr">
        <is>
          <t>RON</t>
        </is>
      </c>
      <c r="O1060" t="inlineStr">
        <is>
          <t>Craioba</t>
        </is>
      </c>
      <c r="P1060" s="12" t="n">
        <v>46057</v>
      </c>
      <c r="Q1060">
        <f>IF(COUNTIF(tbl_Localitati[oras_oficial],[@oras])=0,"ORAS NEALINIAT",IF(XLOOKUP([@oras],tbl_Localitati[oras_oficial],tbl_Localitati[judet],"?")&lt;&gt;[@judet],"JUDET NECORESPUNZATOR",""))</f>
        <v/>
      </c>
      <c r="R1060">
        <f>IF(XLOOKUP([@categorie],tbl_RegulriTVA[categorie],tbl_RegulriTVA[cota_legala],-1)&lt;&gt;[@cota_tva],"TVA GRESIT","")</f>
        <v/>
      </c>
      <c r="S1060">
        <f>IF([@data_scadentei]&lt;[@data_factura],"SCADENTA INAINTEA FACTURII","")</f>
        <v/>
      </c>
      <c r="T1060">
        <f>IF(NETWORKDAYS.INTL([@data_factura],[@data_factura],1,tbl_SarbatoriLegale[data])=0,"ZI NELUCRATOARE","")</f>
        <v/>
      </c>
      <c r="U1060">
        <f>IF([@motiv_anomalie]="","OK","DE INVESTIGAT")</f>
        <v/>
      </c>
      <c r="V1060">
        <f>TEXTJOIN("; ",TRUE,[@flag_oras],[@flag_tva],[@flag_scadenta],[@flag_zi])</f>
        <v/>
      </c>
    </row>
    <row r="1061">
      <c r="A1061" t="inlineStr">
        <is>
          <t>F-2025-01060</t>
        </is>
      </c>
      <c r="B1061" s="12" t="n">
        <v>46251</v>
      </c>
      <c r="C1061" t="inlineStr">
        <is>
          <t>SC NORDIS DISTRIBUTIE SRL</t>
        </is>
      </c>
      <c r="D1061" t="inlineStr">
        <is>
          <t>Constanța</t>
        </is>
      </c>
      <c r="E1061" t="inlineStr">
        <is>
          <t>PRD-005</t>
        </is>
      </c>
      <c r="F1061" t="inlineStr">
        <is>
          <t>Laptop business 15"</t>
        </is>
      </c>
      <c r="G1061" t="inlineStr">
        <is>
          <t>Hardware IT</t>
        </is>
      </c>
      <c r="H1061" t="n">
        <v>2</v>
      </c>
      <c r="I1061" t="n">
        <v>248.34</v>
      </c>
      <c r="J1061" t="n">
        <v>496.68</v>
      </c>
      <c r="K1061" s="13" t="n">
        <v>0.19</v>
      </c>
      <c r="L1061" t="n">
        <v>94.37</v>
      </c>
      <c r="M1061" t="n">
        <v>591.05</v>
      </c>
      <c r="N1061" t="inlineStr">
        <is>
          <t>EUR</t>
        </is>
      </c>
      <c r="O1061" t="inlineStr">
        <is>
          <t>Mangalia</t>
        </is>
      </c>
      <c r="P1061" s="12" t="n">
        <v>46281</v>
      </c>
      <c r="Q1061">
        <f>IF(COUNTIF(tbl_Localitati[oras_oficial],[@oras])=0,"ORAS NEALINIAT",IF(XLOOKUP([@oras],tbl_Localitati[oras_oficial],tbl_Localitati[judet],"?")&lt;&gt;[@judet],"JUDET NECORESPUNZATOR",""))</f>
        <v/>
      </c>
      <c r="R1061">
        <f>IF(XLOOKUP([@categorie],tbl_RegulriTVA[categorie],tbl_RegulriTVA[cota_legala],-1)&lt;&gt;[@cota_tva],"TVA GRESIT","")</f>
        <v/>
      </c>
      <c r="S1061">
        <f>IF([@data_scadentei]&lt;[@data_factura],"SCADENTA INAINTEA FACTURII","")</f>
        <v/>
      </c>
      <c r="T1061">
        <f>IF(NETWORKDAYS.INTL([@data_factura],[@data_factura],1,tbl_SarbatoriLegale[data])=0,"ZI NELUCRATOARE","")</f>
        <v/>
      </c>
      <c r="U1061">
        <f>IF([@motiv_anomalie]="","OK","DE INVESTIGAT")</f>
        <v/>
      </c>
      <c r="V1061">
        <f>TEXTJOIN("; ",TRUE,[@flag_oras],[@flag_tva],[@flag_scadenta],[@flag_zi])</f>
        <v/>
      </c>
    </row>
    <row r="1062">
      <c r="A1062" t="inlineStr">
        <is>
          <t>F-2025-01061</t>
        </is>
      </c>
      <c r="B1062" s="12" t="n">
        <v>46205</v>
      </c>
      <c r="C1062" t="inlineStr">
        <is>
          <t>SC AROMET TRADING SRL</t>
        </is>
      </c>
      <c r="D1062" t="inlineStr">
        <is>
          <t>Alba</t>
        </is>
      </c>
      <c r="E1062" t="inlineStr">
        <is>
          <t>PRD-002</t>
        </is>
      </c>
      <c r="F1062" t="inlineStr">
        <is>
          <t>Suport tehnic anual</t>
        </is>
      </c>
      <c r="G1062" t="inlineStr">
        <is>
          <t>Servicii consultanță</t>
        </is>
      </c>
      <c r="H1062" t="n">
        <v>1</v>
      </c>
      <c r="I1062" t="n">
        <v>1098.51</v>
      </c>
      <c r="J1062" t="n">
        <v>1098.51</v>
      </c>
      <c r="K1062" s="13" t="n">
        <v>0.19</v>
      </c>
      <c r="L1062" t="n">
        <v>208.72</v>
      </c>
      <c r="M1062" t="n">
        <v>1307.23</v>
      </c>
      <c r="N1062" t="inlineStr">
        <is>
          <t>RON</t>
        </is>
      </c>
      <c r="O1062" t="inlineStr">
        <is>
          <t>Alba Iulia</t>
        </is>
      </c>
      <c r="P1062" s="12" t="n">
        <v>46220</v>
      </c>
      <c r="Q1062">
        <f>IF(COUNTIF(tbl_Localitati[oras_oficial],[@oras])=0,"ORAS NEALINIAT",IF(XLOOKUP([@oras],tbl_Localitati[oras_oficial],tbl_Localitati[judet],"?")&lt;&gt;[@judet],"JUDET NECORESPUNZATOR",""))</f>
        <v/>
      </c>
      <c r="R1062">
        <f>IF(XLOOKUP([@categorie],tbl_RegulriTVA[categorie],tbl_RegulriTVA[cota_legala],-1)&lt;&gt;[@cota_tva],"TVA GRESIT","")</f>
        <v/>
      </c>
      <c r="S1062">
        <f>IF([@data_scadentei]&lt;[@data_factura],"SCADENTA INAINTEA FACTURII","")</f>
        <v/>
      </c>
      <c r="T1062">
        <f>IF(NETWORKDAYS.INTL([@data_factura],[@data_factura],1,tbl_SarbatoriLegale[data])=0,"ZI NELUCRATOARE","")</f>
        <v/>
      </c>
      <c r="U1062">
        <f>IF([@motiv_anomalie]="","OK","DE INVESTIGAT")</f>
        <v/>
      </c>
      <c r="V1062">
        <f>TEXTJOIN("; ",TRUE,[@flag_oras],[@flag_tva],[@flag_scadenta],[@flag_zi])</f>
        <v/>
      </c>
    </row>
    <row r="1063">
      <c r="A1063" t="inlineStr">
        <is>
          <t>F-2025-01062</t>
        </is>
      </c>
      <c r="B1063" s="12" t="n">
        <v>46100</v>
      </c>
      <c r="C1063" t="inlineStr">
        <is>
          <t>SC AROMET TRADING SRL</t>
        </is>
      </c>
      <c r="D1063" t="inlineStr">
        <is>
          <t>Alba</t>
        </is>
      </c>
      <c r="E1063" t="inlineStr">
        <is>
          <t>PRD-009</t>
        </is>
      </c>
      <c r="F1063" t="inlineStr">
        <is>
          <t>Pachet protocol sedinte</t>
        </is>
      </c>
      <c r="G1063" t="inlineStr">
        <is>
          <t>Alimente</t>
        </is>
      </c>
      <c r="H1063" t="n">
        <v>10</v>
      </c>
      <c r="I1063" t="n">
        <v>28.71</v>
      </c>
      <c r="J1063" t="n">
        <v>287.1</v>
      </c>
      <c r="K1063" s="13" t="n">
        <v>0.09</v>
      </c>
      <c r="L1063" t="n">
        <v>25.84</v>
      </c>
      <c r="M1063" t="n">
        <v>312.94</v>
      </c>
      <c r="N1063" t="inlineStr">
        <is>
          <t>RON</t>
        </is>
      </c>
      <c r="O1063" t="inlineStr">
        <is>
          <t>Alba Iulia</t>
        </is>
      </c>
      <c r="P1063" s="12" t="n">
        <v>46130</v>
      </c>
      <c r="Q1063">
        <f>IF(COUNTIF(tbl_Localitati[oras_oficial],[@oras])=0,"ORAS NEALINIAT",IF(XLOOKUP([@oras],tbl_Localitati[oras_oficial],tbl_Localitati[judet],"?")&lt;&gt;[@judet],"JUDET NECORESPUNZATOR",""))</f>
        <v/>
      </c>
      <c r="R1063">
        <f>IF(XLOOKUP([@categorie],tbl_RegulriTVA[categorie],tbl_RegulriTVA[cota_legala],-1)&lt;&gt;[@cota_tva],"TVA GRESIT","")</f>
        <v/>
      </c>
      <c r="S1063">
        <f>IF([@data_scadentei]&lt;[@data_factura],"SCADENTA INAINTEA FACTURII","")</f>
        <v/>
      </c>
      <c r="T1063">
        <f>IF(NETWORKDAYS.INTL([@data_factura],[@data_factura],1,tbl_SarbatoriLegale[data])=0,"ZI NELUCRATOARE","")</f>
        <v/>
      </c>
      <c r="U1063">
        <f>IF([@motiv_anomalie]="","OK","DE INVESTIGAT")</f>
        <v/>
      </c>
      <c r="V1063">
        <f>TEXTJOIN("; ",TRUE,[@flag_oras],[@flag_tva],[@flag_scadenta],[@flag_zi])</f>
        <v/>
      </c>
    </row>
    <row r="1064">
      <c r="A1064" t="inlineStr">
        <is>
          <t>F-2025-01063</t>
        </is>
      </c>
      <c r="B1064" s="12" t="n">
        <v>46092</v>
      </c>
      <c r="C1064" t="inlineStr">
        <is>
          <t>SC DACTECH SOLUTIONS SRL</t>
        </is>
      </c>
      <c r="D1064" t="inlineStr">
        <is>
          <t>Argeș</t>
        </is>
      </c>
      <c r="E1064" t="inlineStr">
        <is>
          <t>PRD-009</t>
        </is>
      </c>
      <c r="F1064" t="inlineStr">
        <is>
          <t>Trusa prim ajutor</t>
        </is>
      </c>
      <c r="G1064" t="inlineStr">
        <is>
          <t>Produse farmaceutice</t>
        </is>
      </c>
      <c r="H1064" t="n">
        <v>20</v>
      </c>
      <c r="I1064" t="n">
        <v>29.04</v>
      </c>
      <c r="J1064" t="n">
        <v>580.8</v>
      </c>
      <c r="K1064" s="13" t="n">
        <v>0.09</v>
      </c>
      <c r="L1064" t="n">
        <v>52.27</v>
      </c>
      <c r="M1064" t="n">
        <v>633.0700000000001</v>
      </c>
      <c r="N1064" t="inlineStr">
        <is>
          <t>RON</t>
        </is>
      </c>
      <c r="O1064" t="inlineStr">
        <is>
          <t>Pitești</t>
        </is>
      </c>
      <c r="P1064" s="12" t="n">
        <v>46122</v>
      </c>
      <c r="Q1064">
        <f>IF(COUNTIF(tbl_Localitati[oras_oficial],[@oras])=0,"ORAS NEALINIAT",IF(XLOOKUP([@oras],tbl_Localitati[oras_oficial],tbl_Localitati[judet],"?")&lt;&gt;[@judet],"JUDET NECORESPUNZATOR",""))</f>
        <v/>
      </c>
      <c r="R1064">
        <f>IF(XLOOKUP([@categorie],tbl_RegulriTVA[categorie],tbl_RegulriTVA[cota_legala],-1)&lt;&gt;[@cota_tva],"TVA GRESIT","")</f>
        <v/>
      </c>
      <c r="S1064">
        <f>IF([@data_scadentei]&lt;[@data_factura],"SCADENTA INAINTEA FACTURII","")</f>
        <v/>
      </c>
      <c r="T1064">
        <f>IF(NETWORKDAYS.INTL([@data_factura],[@data_factura],1,tbl_SarbatoriLegale[data])=0,"ZI NELUCRATOARE","")</f>
        <v/>
      </c>
      <c r="U1064">
        <f>IF([@motiv_anomalie]="","OK","DE INVESTIGAT")</f>
        <v/>
      </c>
      <c r="V1064">
        <f>TEXTJOIN("; ",TRUE,[@flag_oras],[@flag_tva],[@flag_scadenta],[@flag_zi])</f>
        <v/>
      </c>
    </row>
    <row r="1065">
      <c r="A1065" t="inlineStr">
        <is>
          <t>F-2025-01064</t>
        </is>
      </c>
      <c r="B1065" s="12" t="n">
        <v>46080</v>
      </c>
      <c r="C1065" t="inlineStr">
        <is>
          <t>SC UNIFOOD DISTRIBUTION SA</t>
        </is>
      </c>
      <c r="D1065" t="inlineStr">
        <is>
          <t>Sibiu</t>
        </is>
      </c>
      <c r="E1065" t="inlineStr">
        <is>
          <t>PRD-007</t>
        </is>
      </c>
      <c r="F1065" t="inlineStr">
        <is>
          <t>Statie de lucru desktop</t>
        </is>
      </c>
      <c r="G1065" t="inlineStr">
        <is>
          <t>Hardware IT</t>
        </is>
      </c>
      <c r="H1065" t="n">
        <v>10</v>
      </c>
      <c r="I1065" t="n">
        <v>178.96</v>
      </c>
      <c r="J1065" t="n">
        <v>1789.6</v>
      </c>
      <c r="K1065" s="13" t="n">
        <v>0.19</v>
      </c>
      <c r="L1065" t="n">
        <v>340.02</v>
      </c>
      <c r="M1065" t="n">
        <v>2129.62</v>
      </c>
      <c r="N1065" t="inlineStr">
        <is>
          <t>RON</t>
        </is>
      </c>
      <c r="O1065" t="inlineStr">
        <is>
          <t>Mediaș</t>
        </is>
      </c>
      <c r="P1065" s="12" t="n">
        <v>46125</v>
      </c>
      <c r="Q1065">
        <f>IF(COUNTIF(tbl_Localitati[oras_oficial],[@oras])=0,"ORAS NEALINIAT",IF(XLOOKUP([@oras],tbl_Localitati[oras_oficial],tbl_Localitati[judet],"?")&lt;&gt;[@judet],"JUDET NECORESPUNZATOR",""))</f>
        <v/>
      </c>
      <c r="R1065">
        <f>IF(XLOOKUP([@categorie],tbl_RegulriTVA[categorie],tbl_RegulriTVA[cota_legala],-1)&lt;&gt;[@cota_tva],"TVA GRESIT","")</f>
        <v/>
      </c>
      <c r="S1065">
        <f>IF([@data_scadentei]&lt;[@data_factura],"SCADENTA INAINTEA FACTURII","")</f>
        <v/>
      </c>
      <c r="T1065">
        <f>IF(NETWORKDAYS.INTL([@data_factura],[@data_factura],1,tbl_SarbatoriLegale[data])=0,"ZI NELUCRATOARE","")</f>
        <v/>
      </c>
      <c r="U1065">
        <f>IF([@motiv_anomalie]="","OK","DE INVESTIGAT")</f>
        <v/>
      </c>
      <c r="V1065">
        <f>TEXTJOIN("; ",TRUE,[@flag_oras],[@flag_tva],[@flag_scadenta],[@flag_zi])</f>
        <v/>
      </c>
    </row>
    <row r="1066">
      <c r="A1066" t="inlineStr">
        <is>
          <t>F-2025-01065</t>
        </is>
      </c>
      <c r="B1066" s="12" t="n">
        <v>46069</v>
      </c>
      <c r="C1066" t="inlineStr">
        <is>
          <t>SC SOLARIS ENERGY SRL</t>
        </is>
      </c>
      <c r="D1066" t="inlineStr">
        <is>
          <t>Prahova</t>
        </is>
      </c>
      <c r="E1066" t="inlineStr">
        <is>
          <t>PRD-002</t>
        </is>
      </c>
      <c r="F1066" t="inlineStr">
        <is>
          <t>Ghid legislatie GDPR</t>
        </is>
      </c>
      <c r="G1066" t="inlineStr">
        <is>
          <t>Cărți și manuale</t>
        </is>
      </c>
      <c r="H1066" t="n">
        <v>2</v>
      </c>
      <c r="I1066" t="n">
        <v>1063.5</v>
      </c>
      <c r="J1066" t="n">
        <v>2127</v>
      </c>
      <c r="K1066" s="13" t="n">
        <v>0.05</v>
      </c>
      <c r="L1066" t="n">
        <v>106.35</v>
      </c>
      <c r="M1066" t="n">
        <v>2233.35</v>
      </c>
      <c r="N1066" t="inlineStr">
        <is>
          <t>EUR</t>
        </is>
      </c>
      <c r="O1066" t="inlineStr">
        <is>
          <t>Câmpina</t>
        </is>
      </c>
      <c r="P1066" s="12" t="n">
        <v>46114</v>
      </c>
      <c r="Q1066">
        <f>IF(COUNTIF(tbl_Localitati[oras_oficial],[@oras])=0,"ORAS NEALINIAT",IF(XLOOKUP([@oras],tbl_Localitati[oras_oficial],tbl_Localitati[judet],"?")&lt;&gt;[@judet],"JUDET NECORESPUNZATOR",""))</f>
        <v/>
      </c>
      <c r="R1066">
        <f>IF(XLOOKUP([@categorie],tbl_RegulriTVA[categorie],tbl_RegulriTVA[cota_legala],-1)&lt;&gt;[@cota_tva],"TVA GRESIT","")</f>
        <v/>
      </c>
      <c r="S1066">
        <f>IF([@data_scadentei]&lt;[@data_factura],"SCADENTA INAINTEA FACTURII","")</f>
        <v/>
      </c>
      <c r="T1066">
        <f>IF(NETWORKDAYS.INTL([@data_factura],[@data_factura],1,tbl_SarbatoriLegale[data])=0,"ZI NELUCRATOARE","")</f>
        <v/>
      </c>
      <c r="U1066">
        <f>IF([@motiv_anomalie]="","OK","DE INVESTIGAT")</f>
        <v/>
      </c>
      <c r="V1066">
        <f>TEXTJOIN("; ",TRUE,[@flag_oras],[@flag_tva],[@flag_scadenta],[@flag_zi])</f>
        <v/>
      </c>
    </row>
    <row r="1067">
      <c r="A1067" t="inlineStr">
        <is>
          <t>F-2025-01066</t>
        </is>
      </c>
      <c r="B1067" s="12" t="n">
        <v>46167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Server rack 1U</t>
        </is>
      </c>
      <c r="G1067" t="inlineStr">
        <is>
          <t>Hardware IT</t>
        </is>
      </c>
      <c r="H1067" t="n">
        <v>10</v>
      </c>
      <c r="I1067" t="n">
        <v>2442.66</v>
      </c>
      <c r="J1067" t="n">
        <v>24426.6</v>
      </c>
      <c r="K1067" s="13" t="n">
        <v>0.19</v>
      </c>
      <c r="L1067" t="n">
        <v>4641.05</v>
      </c>
      <c r="M1067" t="n">
        <v>29067.65</v>
      </c>
      <c r="N1067" t="inlineStr">
        <is>
          <t>RON</t>
        </is>
      </c>
      <c r="O1067" t="inlineStr">
        <is>
          <t>Sibiu</t>
        </is>
      </c>
      <c r="P1067" s="12" t="n">
        <v>46227</v>
      </c>
      <c r="Q1067">
        <f>IF(COUNTIF(tbl_Localitati[oras_oficial],[@oras])=0,"ORAS NEALINIAT",IF(XLOOKUP([@oras],tbl_Localitati[oras_oficial],tbl_Localitati[judet],"?")&lt;&gt;[@judet],"JUDET NECORESPUNZATOR",""))</f>
        <v/>
      </c>
      <c r="R1067">
        <f>IF(XLOOKUP([@categorie],tbl_RegulriTVA[categorie],tbl_RegulriTVA[cota_legala],-1)&lt;&gt;[@cota_tva],"TVA GRESIT","")</f>
        <v/>
      </c>
      <c r="S1067">
        <f>IF([@data_scadentei]&lt;[@data_factura],"SCADENTA INAINTEA FACTURII","")</f>
        <v/>
      </c>
      <c r="T1067">
        <f>IF(NETWORKDAYS.INTL([@data_factura],[@data_factura],1,tbl_SarbatoriLegale[data])=0,"ZI NELUCRATOARE","")</f>
        <v/>
      </c>
      <c r="U1067">
        <f>IF([@motiv_anomalie]="","OK","DE INVESTIGAT")</f>
        <v/>
      </c>
      <c r="V1067">
        <f>TEXTJOIN("; ",TRUE,[@flag_oras],[@flag_tva],[@flag_scadenta],[@flag_zi])</f>
        <v/>
      </c>
    </row>
    <row r="1068">
      <c r="A1068" t="inlineStr">
        <is>
          <t>F-2025-01067</t>
        </is>
      </c>
      <c r="B1068" s="12" t="n">
        <v>46064</v>
      </c>
      <c r="C1068" t="inlineStr">
        <is>
          <t>SC INTEGROMED SA</t>
        </is>
      </c>
      <c r="D1068" t="inlineStr">
        <is>
          <t>Cluj</t>
        </is>
      </c>
      <c r="E1068" t="inlineStr">
        <is>
          <t>PRD-010</t>
        </is>
      </c>
      <c r="F1068" t="inlineStr">
        <is>
          <t>Suport tehnic anual</t>
        </is>
      </c>
      <c r="G1068" t="inlineStr">
        <is>
          <t>Servicii consultanță</t>
        </is>
      </c>
      <c r="H1068" t="n">
        <v>50</v>
      </c>
      <c r="I1068" t="n">
        <v>367.16</v>
      </c>
      <c r="J1068" t="n">
        <v>18358</v>
      </c>
      <c r="K1068" s="13" t="n">
        <v>0.19</v>
      </c>
      <c r="L1068" t="n">
        <v>3488.02</v>
      </c>
      <c r="M1068" t="n">
        <v>21846.02</v>
      </c>
      <c r="N1068" t="inlineStr">
        <is>
          <t>RON</t>
        </is>
      </c>
      <c r="O1068" t="inlineStr">
        <is>
          <t>Cluj-Napoca</t>
        </is>
      </c>
      <c r="P1068" s="12" t="n">
        <v>46094</v>
      </c>
      <c r="Q1068">
        <f>IF(COUNTIF(tbl_Localitati[oras_oficial],[@oras])=0,"ORAS NEALINIAT",IF(XLOOKUP([@oras],tbl_Localitati[oras_oficial],tbl_Localitati[judet],"?")&lt;&gt;[@judet],"JUDET NECORESPUNZATOR",""))</f>
        <v/>
      </c>
      <c r="R1068">
        <f>IF(XLOOKUP([@categorie],tbl_RegulriTVA[categorie],tbl_RegulriTVA[cota_legala],-1)&lt;&gt;[@cota_tva],"TVA GRESIT","")</f>
        <v/>
      </c>
      <c r="S1068">
        <f>IF([@data_scadentei]&lt;[@data_factura],"SCADENTA INAINTEA FACTURII","")</f>
        <v/>
      </c>
      <c r="T1068">
        <f>IF(NETWORKDAYS.INTL([@data_factura],[@data_factura],1,tbl_SarbatoriLegale[data])=0,"ZI NELUCRATOARE","")</f>
        <v/>
      </c>
      <c r="U1068">
        <f>IF([@motiv_anomalie]="","OK","DE INVESTIGAT")</f>
        <v/>
      </c>
      <c r="V1068">
        <f>TEXTJOIN("; ",TRUE,[@flag_oras],[@flag_tva],[@flag_scadenta],[@flag_zi])</f>
        <v/>
      </c>
    </row>
    <row r="1069">
      <c r="A1069" t="inlineStr">
        <is>
          <t>F-2025-01068</t>
        </is>
      </c>
      <c r="B1069" s="12" t="n">
        <v>46077</v>
      </c>
      <c r="C1069" t="inlineStr">
        <is>
          <t>SC DACTECH SOLUTIONS SRL</t>
        </is>
      </c>
      <c r="D1069" t="inlineStr">
        <is>
          <t>Argeș</t>
        </is>
      </c>
      <c r="E1069" t="inlineStr">
        <is>
          <t>PRD-002</t>
        </is>
      </c>
      <c r="F1069" t="inlineStr">
        <is>
          <t>Abonament suita cloud</t>
        </is>
      </c>
      <c r="G1069" t="inlineStr">
        <is>
          <t>Licențe software</t>
        </is>
      </c>
      <c r="H1069" t="n">
        <v>5</v>
      </c>
      <c r="I1069" t="n">
        <v>1124.07</v>
      </c>
      <c r="J1069" t="n">
        <v>5620.35</v>
      </c>
      <c r="K1069" s="13" t="n">
        <v>0.19</v>
      </c>
      <c r="L1069" t="n">
        <v>1067.87</v>
      </c>
      <c r="M1069" t="n">
        <v>6688.22</v>
      </c>
      <c r="N1069" t="inlineStr">
        <is>
          <t>RON</t>
        </is>
      </c>
      <c r="O1069" t="inlineStr">
        <is>
          <t>Pitești</t>
        </is>
      </c>
      <c r="P1069" s="12" t="n">
        <v>46107</v>
      </c>
      <c r="Q1069">
        <f>IF(COUNTIF(tbl_Localitati[oras_oficial],[@oras])=0,"ORAS NEALINIAT",IF(XLOOKUP([@oras],tbl_Localitati[oras_oficial],tbl_Localitati[judet],"?")&lt;&gt;[@judet],"JUDET NECORESPUNZATOR",""))</f>
        <v/>
      </c>
      <c r="R1069">
        <f>IF(XLOOKUP([@categorie],tbl_RegulriTVA[categorie],tbl_RegulriTVA[cota_legala],-1)&lt;&gt;[@cota_tva],"TVA GRESIT","")</f>
        <v/>
      </c>
      <c r="S1069">
        <f>IF([@data_scadentei]&lt;[@data_factura],"SCADENTA INAINTEA FACTURII","")</f>
        <v/>
      </c>
      <c r="T1069">
        <f>IF(NETWORKDAYS.INTL([@data_factura],[@data_factura],1,tbl_SarbatoriLegale[data])=0,"ZI NELUCRATOARE","")</f>
        <v/>
      </c>
      <c r="U1069">
        <f>IF([@motiv_anomalie]="","OK","DE INVESTIGAT")</f>
        <v/>
      </c>
      <c r="V1069">
        <f>TEXTJOIN("; ",TRUE,[@flag_oras],[@flag_tva],[@flag_scadenta],[@flag_zi])</f>
        <v/>
      </c>
    </row>
    <row r="1070">
      <c r="A1070" t="inlineStr">
        <is>
          <t>F-2025-01069</t>
        </is>
      </c>
      <c r="B1070" s="12" t="n">
        <v>46380</v>
      </c>
      <c r="C1070" t="inlineStr">
        <is>
          <t>SC METALPLAST INVEST SA</t>
        </is>
      </c>
      <c r="D1070" t="inlineStr">
        <is>
          <t>Cluj</t>
        </is>
      </c>
      <c r="E1070" t="inlineStr">
        <is>
          <t>PRD-001</t>
        </is>
      </c>
      <c r="F1070" t="inlineStr">
        <is>
          <t>Pachet protocol sedinte</t>
        </is>
      </c>
      <c r="G1070" t="inlineStr">
        <is>
          <t>Alimente</t>
        </is>
      </c>
      <c r="H1070" t="n">
        <v>2</v>
      </c>
      <c r="I1070" t="n">
        <v>2516.86</v>
      </c>
      <c r="J1070" t="n">
        <v>5033.72</v>
      </c>
      <c r="K1070" s="13" t="n">
        <v>0.09</v>
      </c>
      <c r="L1070" t="n">
        <v>453.03</v>
      </c>
      <c r="M1070" t="n">
        <v>5486.75</v>
      </c>
      <c r="N1070" t="inlineStr">
        <is>
          <t>RON</t>
        </is>
      </c>
      <c r="O1070" t="inlineStr">
        <is>
          <t>Turda</t>
        </is>
      </c>
      <c r="P1070" s="12" t="n">
        <v>46410</v>
      </c>
      <c r="Q1070">
        <f>IF(COUNTIF(tbl_Localitati[oras_oficial],[@oras])=0,"ORAS NEALINIAT",IF(XLOOKUP([@oras],tbl_Localitati[oras_oficial],tbl_Localitati[judet],"?")&lt;&gt;[@judet],"JUDET NECORESPUNZATOR",""))</f>
        <v/>
      </c>
      <c r="R1070">
        <f>IF(XLOOKUP([@categorie],tbl_RegulriTVA[categorie],tbl_RegulriTVA[cota_legala],-1)&lt;&gt;[@cota_tva],"TVA GRESIT","")</f>
        <v/>
      </c>
      <c r="S1070">
        <f>IF([@data_scadentei]&lt;[@data_factura],"SCADENTA INAINTEA FACTURII","")</f>
        <v/>
      </c>
      <c r="T1070">
        <f>IF(NETWORKDAYS.INTL([@data_factura],[@data_factura],1,tbl_SarbatoriLegale[data])=0,"ZI NELUCRATOARE","")</f>
        <v/>
      </c>
      <c r="U1070">
        <f>IF([@motiv_anomalie]="","OK","DE INVESTIGAT")</f>
        <v/>
      </c>
      <c r="V1070">
        <f>TEXTJOIN("; ",TRUE,[@flag_oras],[@flag_tva],[@flag_scadenta],[@flag_zi])</f>
        <v/>
      </c>
    </row>
    <row r="1071">
      <c r="A1071" t="inlineStr">
        <is>
          <t>F-2025-01070</t>
        </is>
      </c>
      <c r="B1071" s="12" t="n">
        <v>46288</v>
      </c>
      <c r="C1071" t="inlineStr">
        <is>
          <t>SC SOLARIS ENERGY SRL</t>
        </is>
      </c>
      <c r="D1071" t="inlineStr">
        <is>
          <t>Prahova</t>
        </is>
      </c>
      <c r="E1071" t="inlineStr">
        <is>
          <t>PRD-002</t>
        </is>
      </c>
      <c r="F1071" t="inlineStr">
        <is>
          <t>Switch gigabit 24p</t>
        </is>
      </c>
      <c r="G1071" t="inlineStr">
        <is>
          <t>Hardware IT</t>
        </is>
      </c>
      <c r="H1071" t="n">
        <v>3</v>
      </c>
      <c r="I1071" t="n">
        <v>1084.84</v>
      </c>
      <c r="J1071" t="n">
        <v>3254.52</v>
      </c>
      <c r="K1071" s="13" t="n">
        <v>0.19</v>
      </c>
      <c r="L1071" t="n">
        <v>618.36</v>
      </c>
      <c r="M1071" t="n">
        <v>3872.88</v>
      </c>
      <c r="N1071" t="inlineStr">
        <is>
          <t>RON</t>
        </is>
      </c>
      <c r="O1071" t="inlineStr">
        <is>
          <t>Câmpina</t>
        </is>
      </c>
      <c r="P1071" s="12" t="n">
        <v>46333</v>
      </c>
      <c r="Q1071">
        <f>IF(COUNTIF(tbl_Localitati[oras_oficial],[@oras])=0,"ORAS NEALINIAT",IF(XLOOKUP([@oras],tbl_Localitati[oras_oficial],tbl_Localitati[judet],"?")&lt;&gt;[@judet],"JUDET NECORESPUNZATOR",""))</f>
        <v/>
      </c>
      <c r="R1071">
        <f>IF(XLOOKUP([@categorie],tbl_RegulriTVA[categorie],tbl_RegulriTVA[cota_legala],-1)&lt;&gt;[@cota_tva],"TVA GRESIT","")</f>
        <v/>
      </c>
      <c r="S1071">
        <f>IF([@data_scadentei]&lt;[@data_factura],"SCADENTA INAINTEA FACTURII","")</f>
        <v/>
      </c>
      <c r="T1071">
        <f>IF(NETWORKDAYS.INTL([@data_factura],[@data_factura],1,tbl_SarbatoriLegale[data])=0,"ZI NELUCRATOARE","")</f>
        <v/>
      </c>
      <c r="U1071">
        <f>IF([@motiv_anomalie]="","OK","DE INVESTIGAT")</f>
        <v/>
      </c>
      <c r="V1071">
        <f>TEXTJOIN("; ",TRUE,[@flag_oras],[@flag_tva],[@flag_scadenta],[@flag_zi])</f>
        <v/>
      </c>
    </row>
    <row r="1072">
      <c r="A1072" t="inlineStr">
        <is>
          <t>F-2025-01071</t>
        </is>
      </c>
      <c r="B1072" s="12" t="n">
        <v>46108</v>
      </c>
      <c r="C1072" t="inlineStr">
        <is>
          <t>SC RAPID LOGISTIC SA</t>
        </is>
      </c>
      <c r="D1072" t="inlineStr">
        <is>
          <t>Prahova</t>
        </is>
      </c>
      <c r="E1072" t="inlineStr">
        <is>
          <t>PRD-006</t>
        </is>
      </c>
      <c r="F1072" t="inlineStr">
        <is>
          <t>Licenta antivirus enterprise</t>
        </is>
      </c>
      <c r="G1072" t="inlineStr">
        <is>
          <t>Licențe software</t>
        </is>
      </c>
      <c r="H1072" t="n">
        <v>5</v>
      </c>
      <c r="I1072" t="n">
        <v>736.1900000000001</v>
      </c>
      <c r="J1072" t="n">
        <v>3680.95</v>
      </c>
      <c r="K1072" s="13" t="n">
        <v>0.19</v>
      </c>
      <c r="L1072" t="n">
        <v>699.38</v>
      </c>
      <c r="M1072" t="n">
        <v>4380.33</v>
      </c>
      <c r="N1072" t="inlineStr">
        <is>
          <t>RON</t>
        </is>
      </c>
      <c r="O1072" t="inlineStr">
        <is>
          <t>Ploiești</t>
        </is>
      </c>
      <c r="P1072" s="12" t="n">
        <v>46168</v>
      </c>
      <c r="Q1072">
        <f>IF(COUNTIF(tbl_Localitati[oras_oficial],[@oras])=0,"ORAS NEALINIAT",IF(XLOOKUP([@oras],tbl_Localitati[oras_oficial],tbl_Localitati[judet],"?")&lt;&gt;[@judet],"JUDET NECORESPUNZATOR",""))</f>
        <v/>
      </c>
      <c r="R1072">
        <f>IF(XLOOKUP([@categorie],tbl_RegulriTVA[categorie],tbl_RegulriTVA[cota_legala],-1)&lt;&gt;[@cota_tva],"TVA GRESIT","")</f>
        <v/>
      </c>
      <c r="S1072">
        <f>IF([@data_scadentei]&lt;[@data_factura],"SCADENTA INAINTEA FACTURII","")</f>
        <v/>
      </c>
      <c r="T1072">
        <f>IF(NETWORKDAYS.INTL([@data_factura],[@data_factura],1,tbl_SarbatoriLegale[data])=0,"ZI NELUCRATOARE","")</f>
        <v/>
      </c>
      <c r="U1072">
        <f>IF([@motiv_anomalie]="","OK","DE INVESTIGAT")</f>
        <v/>
      </c>
      <c r="V1072">
        <f>TEXTJOIN("; ",TRUE,[@flag_oras],[@flag_tva],[@flag_scadenta],[@flag_zi])</f>
        <v/>
      </c>
    </row>
    <row r="1073">
      <c r="A1073" t="inlineStr">
        <is>
          <t>F-2025-01072</t>
        </is>
      </c>
      <c r="B1073" s="12" t="n">
        <v>46141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Videoproiector sala</t>
        </is>
      </c>
      <c r="G1073" t="inlineStr">
        <is>
          <t>Echipamente birou</t>
        </is>
      </c>
      <c r="H1073" t="n">
        <v>1</v>
      </c>
      <c r="I1073" t="n">
        <v>725.34</v>
      </c>
      <c r="J1073" t="n">
        <v>725.34</v>
      </c>
      <c r="K1073" s="13" t="n">
        <v>0.19</v>
      </c>
      <c r="L1073" t="n">
        <v>137.81</v>
      </c>
      <c r="M1073" t="n">
        <v>863.15</v>
      </c>
      <c r="N1073" t="inlineStr">
        <is>
          <t>RON</t>
        </is>
      </c>
      <c r="O1073" t="inlineStr">
        <is>
          <t>Sibiu</t>
        </is>
      </c>
      <c r="P1073" s="12" t="n">
        <v>46201</v>
      </c>
      <c r="Q1073">
        <f>IF(COUNTIF(tbl_Localitati[oras_oficial],[@oras])=0,"ORAS NEALINIAT",IF(XLOOKUP([@oras],tbl_Localitati[oras_oficial],tbl_Localitati[judet],"?")&lt;&gt;[@judet],"JUDET NECORESPUNZATOR",""))</f>
        <v/>
      </c>
      <c r="R1073">
        <f>IF(XLOOKUP([@categorie],tbl_RegulriTVA[categorie],tbl_RegulriTVA[cota_legala],-1)&lt;&gt;[@cota_tva],"TVA GRESIT","")</f>
        <v/>
      </c>
      <c r="S1073">
        <f>IF([@data_scadentei]&lt;[@data_factura],"SCADENTA INAINTEA FACTURII","")</f>
        <v/>
      </c>
      <c r="T1073">
        <f>IF(NETWORKDAYS.INTL([@data_factura],[@data_factura],1,tbl_SarbatoriLegale[data])=0,"ZI NELUCRATOARE","")</f>
        <v/>
      </c>
      <c r="U1073">
        <f>IF([@motiv_anomalie]="","OK","DE INVESTIGAT")</f>
        <v/>
      </c>
      <c r="V1073">
        <f>TEXTJOIN("; ",TRUE,[@flag_oras],[@flag_tva],[@flag_scadenta],[@flag_zi])</f>
        <v/>
      </c>
    </row>
    <row r="1074">
      <c r="A1074" t="inlineStr">
        <is>
          <t>F-2025-01073</t>
        </is>
      </c>
      <c r="B1074" s="12" t="n">
        <v>46092</v>
      </c>
      <c r="C1074" t="inlineStr">
        <is>
          <t>SC FARMAVITAL DISTRIBUTIE SA</t>
        </is>
      </c>
      <c r="D1074" t="inlineStr">
        <is>
          <t>Bihor</t>
        </is>
      </c>
      <c r="E1074" t="inlineStr">
        <is>
          <t>PRD-011</t>
        </is>
      </c>
      <c r="F1074" t="inlineStr">
        <is>
          <t>Laptop business 15"</t>
        </is>
      </c>
      <c r="G1074" t="inlineStr">
        <is>
          <t>Hardware IT</t>
        </is>
      </c>
      <c r="H1074" t="n">
        <v>5</v>
      </c>
      <c r="I1074" t="n">
        <v>44.97</v>
      </c>
      <c r="J1074" t="n">
        <v>224.85</v>
      </c>
      <c r="K1074" s="13" t="n">
        <v>0.19</v>
      </c>
      <c r="L1074" t="n">
        <v>42.72</v>
      </c>
      <c r="M1074" t="n">
        <v>267.57</v>
      </c>
      <c r="N1074" t="inlineStr">
        <is>
          <t>RON</t>
        </is>
      </c>
      <c r="O1074" t="inlineStr">
        <is>
          <t>Oradea</t>
        </is>
      </c>
      <c r="P1074" s="12" t="n">
        <v>46152</v>
      </c>
      <c r="Q1074">
        <f>IF(COUNTIF(tbl_Localitati[oras_oficial],[@oras])=0,"ORAS NEALINIAT",IF(XLOOKUP([@oras],tbl_Localitati[oras_oficial],tbl_Localitati[judet],"?")&lt;&gt;[@judet],"JUDET NECORESPUNZATOR",""))</f>
        <v/>
      </c>
      <c r="R1074">
        <f>IF(XLOOKUP([@categorie],tbl_RegulriTVA[categorie],tbl_RegulriTVA[cota_legala],-1)&lt;&gt;[@cota_tva],"TVA GRESIT","")</f>
        <v/>
      </c>
      <c r="S1074">
        <f>IF([@data_scadentei]&lt;[@data_factura],"SCADENTA INAINTEA FACTURII","")</f>
        <v/>
      </c>
      <c r="T1074">
        <f>IF(NETWORKDAYS.INTL([@data_factura],[@data_factura],1,tbl_SarbatoriLegale[data])=0,"ZI NELUCRATOARE","")</f>
        <v/>
      </c>
      <c r="U1074">
        <f>IF([@motiv_anomalie]="","OK","DE INVESTIGAT")</f>
        <v/>
      </c>
      <c r="V1074">
        <f>TEXTJOIN("; ",TRUE,[@flag_oras],[@flag_tva],[@flag_scadenta],[@flag_zi])</f>
        <v/>
      </c>
    </row>
    <row r="1075">
      <c r="A1075" t="inlineStr">
        <is>
          <t>F-2025-01074</t>
        </is>
      </c>
      <c r="B1075" s="12" t="n">
        <v>46377</v>
      </c>
      <c r="C1075" t="inlineStr">
        <is>
          <t>SC NORDIS DISTRIBUTIE SRL</t>
        </is>
      </c>
      <c r="D1075" t="inlineStr">
        <is>
          <t>Constanța</t>
        </is>
      </c>
      <c r="E1075" t="inlineStr">
        <is>
          <t>PRD-002</t>
        </is>
      </c>
      <c r="F1075" t="inlineStr">
        <is>
          <t>Termometru digital</t>
        </is>
      </c>
      <c r="G1075" t="inlineStr">
        <is>
          <t>Produse farmaceutice</t>
        </is>
      </c>
      <c r="H1075" t="n">
        <v>2</v>
      </c>
      <c r="I1075" t="n">
        <v>1129.52</v>
      </c>
      <c r="J1075" t="n">
        <v>2259.04</v>
      </c>
      <c r="K1075" s="13" t="n">
        <v>0.09</v>
      </c>
      <c r="L1075" t="n">
        <v>203.31</v>
      </c>
      <c r="M1075" t="n">
        <v>2462.35</v>
      </c>
      <c r="N1075" t="inlineStr">
        <is>
          <t>RON</t>
        </is>
      </c>
      <c r="O1075" t="inlineStr">
        <is>
          <t>Mangalia</t>
        </is>
      </c>
      <c r="P1075" s="12" t="n">
        <v>46422</v>
      </c>
      <c r="Q1075">
        <f>IF(COUNTIF(tbl_Localitati[oras_oficial],[@oras])=0,"ORAS NEALINIAT",IF(XLOOKUP([@oras],tbl_Localitati[oras_oficial],tbl_Localitati[judet],"?")&lt;&gt;[@judet],"JUDET NECORESPUNZATOR",""))</f>
        <v/>
      </c>
      <c r="R1075">
        <f>IF(XLOOKUP([@categorie],tbl_RegulriTVA[categorie],tbl_RegulriTVA[cota_legala],-1)&lt;&gt;[@cota_tva],"TVA GRESIT","")</f>
        <v/>
      </c>
      <c r="S1075">
        <f>IF([@data_scadentei]&lt;[@data_factura],"SCADENTA INAINTEA FACTURII","")</f>
        <v/>
      </c>
      <c r="T1075">
        <f>IF(NETWORKDAYS.INTL([@data_factura],[@data_factura],1,tbl_SarbatoriLegale[data])=0,"ZI NELUCRATOARE","")</f>
        <v/>
      </c>
      <c r="U1075">
        <f>IF([@motiv_anomalie]="","OK","DE INVESTIGAT")</f>
        <v/>
      </c>
      <c r="V1075">
        <f>TEXTJOIN("; ",TRUE,[@flag_oras],[@flag_tva],[@flag_scadenta],[@flag_zi])</f>
        <v/>
      </c>
    </row>
    <row r="1076">
      <c r="A1076" t="inlineStr">
        <is>
          <t>F-2025-01075</t>
        </is>
      </c>
      <c r="B1076" s="12" t="n">
        <v>46385</v>
      </c>
      <c r="C1076" t="inlineStr">
        <is>
          <t>SC DACTECH SOLUTIONS SRL</t>
        </is>
      </c>
      <c r="D1076" t="inlineStr">
        <is>
          <t>Argeș</t>
        </is>
      </c>
      <c r="E1076" t="inlineStr">
        <is>
          <t>PRD-009</t>
        </is>
      </c>
      <c r="F1076" t="inlineStr">
        <is>
          <t>Manual proceduri interne</t>
        </is>
      </c>
      <c r="G1076" t="inlineStr">
        <is>
          <t>Cărți și manuale</t>
        </is>
      </c>
      <c r="H1076" t="n">
        <v>10</v>
      </c>
      <c r="I1076" t="n">
        <v>28.04</v>
      </c>
      <c r="J1076" t="n">
        <v>280.4</v>
      </c>
      <c r="K1076" s="13" t="n">
        <v>0.05</v>
      </c>
      <c r="L1076" t="n">
        <v>14.02</v>
      </c>
      <c r="M1076" t="n">
        <v>294.42</v>
      </c>
      <c r="N1076" t="inlineStr">
        <is>
          <t>RON</t>
        </is>
      </c>
      <c r="O1076" t="inlineStr">
        <is>
          <t>Pitești</t>
        </is>
      </c>
      <c r="P1076" s="12" t="n">
        <v>46430</v>
      </c>
      <c r="Q1076">
        <f>IF(COUNTIF(tbl_Localitati[oras_oficial],[@oras])=0,"ORAS NEALINIAT",IF(XLOOKUP([@oras],tbl_Localitati[oras_oficial],tbl_Localitati[judet],"?")&lt;&gt;[@judet],"JUDET NECORESPUNZATOR",""))</f>
        <v/>
      </c>
      <c r="R1076">
        <f>IF(XLOOKUP([@categorie],tbl_RegulriTVA[categorie],tbl_RegulriTVA[cota_legala],-1)&lt;&gt;[@cota_tva],"TVA GRESIT","")</f>
        <v/>
      </c>
      <c r="S1076">
        <f>IF([@data_scadentei]&lt;[@data_factura],"SCADENTA INAINTEA FACTURII","")</f>
        <v/>
      </c>
      <c r="T1076">
        <f>IF(NETWORKDAYS.INTL([@data_factura],[@data_factura],1,tbl_SarbatoriLegale[data])=0,"ZI NELUCRATOARE","")</f>
        <v/>
      </c>
      <c r="U1076">
        <f>IF([@motiv_anomalie]="","OK","DE INVESTIGAT")</f>
        <v/>
      </c>
      <c r="V1076">
        <f>TEXTJOIN("; ",TRUE,[@flag_oras],[@flag_tva],[@flag_scadenta],[@flag_zi])</f>
        <v/>
      </c>
    </row>
    <row r="1077">
      <c r="A1077" t="inlineStr">
        <is>
          <t>F-2025-01076</t>
        </is>
      </c>
      <c r="B1077" s="12" t="n">
        <v>46251</v>
      </c>
      <c r="C1077" t="inlineStr">
        <is>
          <t>SC DACTECH SOLUTIONS SRL</t>
        </is>
      </c>
      <c r="D1077" t="inlineStr">
        <is>
          <t>Argeș</t>
        </is>
      </c>
      <c r="E1077" t="inlineStr">
        <is>
          <t>PRD-006</t>
        </is>
      </c>
      <c r="F1077" t="inlineStr">
        <is>
          <t>Switch gigabit 24p</t>
        </is>
      </c>
      <c r="G1077" t="inlineStr">
        <is>
          <t>Hardware IT</t>
        </is>
      </c>
      <c r="H1077" t="n">
        <v>5</v>
      </c>
      <c r="I1077" t="n">
        <v>740.15</v>
      </c>
      <c r="J1077" t="n">
        <v>3700.75</v>
      </c>
      <c r="K1077" s="13" t="n">
        <v>0.19</v>
      </c>
      <c r="L1077" t="n">
        <v>703.14</v>
      </c>
      <c r="M1077" t="n">
        <v>4403.89</v>
      </c>
      <c r="N1077" t="inlineStr">
        <is>
          <t>RON</t>
        </is>
      </c>
      <c r="O1077" t="inlineStr">
        <is>
          <t>Pitești</t>
        </is>
      </c>
      <c r="P1077" s="12" t="n">
        <v>46281</v>
      </c>
      <c r="Q1077">
        <f>IF(COUNTIF(tbl_Localitati[oras_oficial],[@oras])=0,"ORAS NEALINIAT",IF(XLOOKUP([@oras],tbl_Localitati[oras_oficial],tbl_Localitati[judet],"?")&lt;&gt;[@judet],"JUDET NECORESPUNZATOR",""))</f>
        <v/>
      </c>
      <c r="R1077">
        <f>IF(XLOOKUP([@categorie],tbl_RegulriTVA[categorie],tbl_RegulriTVA[cota_legala],-1)&lt;&gt;[@cota_tva],"TVA GRESIT","")</f>
        <v/>
      </c>
      <c r="S1077">
        <f>IF([@data_scadentei]&lt;[@data_factura],"SCADENTA INAINTEA FACTURII","")</f>
        <v/>
      </c>
      <c r="T1077">
        <f>IF(NETWORKDAYS.INTL([@data_factura],[@data_factura],1,tbl_SarbatoriLegale[data])=0,"ZI NELUCRATOARE","")</f>
        <v/>
      </c>
      <c r="U1077">
        <f>IF([@motiv_anomalie]="","OK","DE INVESTIGAT")</f>
        <v/>
      </c>
      <c r="V1077">
        <f>TEXTJOIN("; ",TRUE,[@flag_oras],[@flag_tva],[@flag_scadenta],[@flag_zi])</f>
        <v/>
      </c>
    </row>
    <row r="1078">
      <c r="A1078" t="inlineStr">
        <is>
          <t>F-2025-01077</t>
        </is>
      </c>
      <c r="B1078" s="12" t="n">
        <v>46262</v>
      </c>
      <c r="C1078" t="inlineStr">
        <is>
          <t>SC DACTECH SOLUTIONS SRL</t>
        </is>
      </c>
      <c r="D1078" t="inlineStr">
        <is>
          <t>Argeș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 IT</t>
        </is>
      </c>
      <c r="H1078" t="n">
        <v>1</v>
      </c>
      <c r="I1078" t="n">
        <v>2283.49</v>
      </c>
      <c r="J1078" t="n">
        <v>2283.49</v>
      </c>
      <c r="K1078" s="13" t="n">
        <v>0.19</v>
      </c>
      <c r="L1078" t="n">
        <v>433.86</v>
      </c>
      <c r="M1078" t="n">
        <v>2717.35</v>
      </c>
      <c r="N1078" t="inlineStr">
        <is>
          <t>RON</t>
        </is>
      </c>
      <c r="O1078" t="inlineStr">
        <is>
          <t>Pitești</t>
        </is>
      </c>
      <c r="P1078" s="12" t="n">
        <v>46307</v>
      </c>
      <c r="Q1078">
        <f>IF(COUNTIF(tbl_Localitati[oras_oficial],[@oras])=0,"ORAS NEALINIAT",IF(XLOOKUP([@oras],tbl_Localitati[oras_oficial],tbl_Localitati[judet],"?")&lt;&gt;[@judet],"JUDET NECORESPUNZATOR",""))</f>
        <v/>
      </c>
      <c r="R1078">
        <f>IF(XLOOKUP([@categorie],tbl_RegulriTVA[categorie],tbl_RegulriTVA[cota_legala],-1)&lt;&gt;[@cota_tva],"TVA GRESIT","")</f>
        <v/>
      </c>
      <c r="S1078">
        <f>IF([@data_scadentei]&lt;[@data_factura],"SCADENTA INAINTEA FACTURII","")</f>
        <v/>
      </c>
      <c r="T1078">
        <f>IF(NETWORKDAYS.INTL([@data_factura],[@data_factura],1,tbl_SarbatoriLegale[data])=0,"ZI NELUCRATOARE","")</f>
        <v/>
      </c>
      <c r="U1078">
        <f>IF([@motiv_anomalie]="","OK","DE INVESTIGAT")</f>
        <v/>
      </c>
      <c r="V1078">
        <f>TEXTJOIN("; ",TRUE,[@flag_oras],[@flag_tva],[@flag_scadenta],[@flag_zi])</f>
        <v/>
      </c>
    </row>
    <row r="1079">
      <c r="A1079" t="inlineStr">
        <is>
          <t>F-2025-01078</t>
        </is>
      </c>
      <c r="B1079" s="12" t="n">
        <v>46079</v>
      </c>
      <c r="C1079" t="inlineStr">
        <is>
          <t>SC ZENITH AUTO SRL</t>
        </is>
      </c>
      <c r="D1079" t="inlineStr">
        <is>
          <t>București</t>
        </is>
      </c>
      <c r="E1079" t="inlineStr">
        <is>
          <t>PRD-008</t>
        </is>
      </c>
      <c r="F1079" t="inlineStr">
        <is>
          <t>Multifunctionala laser</t>
        </is>
      </c>
      <c r="G1079" t="inlineStr">
        <is>
          <t>Echipamente birou</t>
        </is>
      </c>
      <c r="H1079" t="n">
        <v>5</v>
      </c>
      <c r="I1079" t="n">
        <v>430.08</v>
      </c>
      <c r="J1079" t="n">
        <v>2150.4</v>
      </c>
      <c r="K1079" s="13" t="n">
        <v>0.19</v>
      </c>
      <c r="L1079" t="n">
        <v>408.58</v>
      </c>
      <c r="M1079" t="n">
        <v>2558.98</v>
      </c>
      <c r="N1079" t="inlineStr">
        <is>
          <t>RON</t>
        </is>
      </c>
      <c r="O1079" t="inlineStr">
        <is>
          <t>București</t>
        </is>
      </c>
      <c r="P1079" s="12" t="n">
        <v>46109</v>
      </c>
      <c r="Q1079">
        <f>IF(COUNTIF(tbl_Localitati[oras_oficial],[@oras])=0,"ORAS NEALINIAT",IF(XLOOKUP([@oras],tbl_Localitati[oras_oficial],tbl_Localitati[judet],"?")&lt;&gt;[@judet],"JUDET NECORESPUNZATOR",""))</f>
        <v/>
      </c>
      <c r="R1079">
        <f>IF(XLOOKUP([@categorie],tbl_RegulriTVA[categorie],tbl_RegulriTVA[cota_legala],-1)&lt;&gt;[@cota_tva],"TVA GRESIT","")</f>
        <v/>
      </c>
      <c r="S1079">
        <f>IF([@data_scadentei]&lt;[@data_factura],"SCADENTA INAINTEA FACTURII","")</f>
        <v/>
      </c>
      <c r="T1079">
        <f>IF(NETWORKDAYS.INTL([@data_factura],[@data_factura],1,tbl_SarbatoriLegale[data])=0,"ZI NELUCRATOARE","")</f>
        <v/>
      </c>
      <c r="U1079">
        <f>IF([@motiv_anomalie]="","OK","DE INVESTIGAT")</f>
        <v/>
      </c>
      <c r="V1079">
        <f>TEXTJOIN("; ",TRUE,[@flag_oras],[@flag_tva],[@flag_scadenta],[@flag_zi])</f>
        <v/>
      </c>
    </row>
    <row r="1080">
      <c r="A1080" t="inlineStr">
        <is>
          <t>F-2025-01079</t>
        </is>
      </c>
      <c r="B1080" s="12" t="n">
        <v>46156</v>
      </c>
      <c r="C1080" t="inlineStr">
        <is>
          <t>SC RAPID LOGISTIC SA</t>
        </is>
      </c>
      <c r="D1080" t="inlineStr">
        <is>
          <t>Prahova</t>
        </is>
      </c>
      <c r="E1080" t="inlineStr">
        <is>
          <t>PRD-008</t>
        </is>
      </c>
      <c r="F1080" t="inlineStr">
        <is>
          <t>Licenta antivirus enterprise</t>
        </is>
      </c>
      <c r="G1080" t="inlineStr">
        <is>
          <t>Licențe software</t>
        </is>
      </c>
      <c r="H1080" t="n">
        <v>50</v>
      </c>
      <c r="I1080" t="n">
        <v>457.68</v>
      </c>
      <c r="J1080" t="n">
        <v>22884</v>
      </c>
      <c r="K1080" s="13" t="n">
        <v>0.19</v>
      </c>
      <c r="L1080" t="n">
        <v>4347.96</v>
      </c>
      <c r="M1080" t="n">
        <v>27231.96</v>
      </c>
      <c r="N1080" t="inlineStr">
        <is>
          <t>RON</t>
        </is>
      </c>
      <c r="O1080" t="inlineStr">
        <is>
          <t>Ploiești</t>
        </is>
      </c>
      <c r="P1080" s="12" t="n">
        <v>46186</v>
      </c>
      <c r="Q1080">
        <f>IF(COUNTIF(tbl_Localitati[oras_oficial],[@oras])=0,"ORAS NEALINIAT",IF(XLOOKUP([@oras],tbl_Localitati[oras_oficial],tbl_Localitati[judet],"?")&lt;&gt;[@judet],"JUDET NECORESPUNZATOR",""))</f>
        <v/>
      </c>
      <c r="R1080">
        <f>IF(XLOOKUP([@categorie],tbl_RegulriTVA[categorie],tbl_RegulriTVA[cota_legala],-1)&lt;&gt;[@cota_tva],"TVA GRESIT","")</f>
        <v/>
      </c>
      <c r="S1080">
        <f>IF([@data_scadentei]&lt;[@data_factura],"SCADENTA INAINTEA FACTURII","")</f>
        <v/>
      </c>
      <c r="T1080">
        <f>IF(NETWORKDAYS.INTL([@data_factura],[@data_factura],1,tbl_SarbatoriLegale[data])=0,"ZI NELUCRATOARE","")</f>
        <v/>
      </c>
      <c r="U1080">
        <f>IF([@motiv_anomalie]="","OK","DE INVESTIGAT")</f>
        <v/>
      </c>
      <c r="V1080">
        <f>TEXTJOIN("; ",TRUE,[@flag_oras],[@flag_tva],[@flag_scadenta],[@flag_zi])</f>
        <v/>
      </c>
    </row>
    <row r="1081">
      <c r="A1081" t="inlineStr">
        <is>
          <t>F-2025-01080</t>
        </is>
      </c>
      <c r="B1081" s="12" t="n">
        <v>46351</v>
      </c>
      <c r="C1081" t="inlineStr">
        <is>
          <t>SC AROMET TRADING SRL</t>
        </is>
      </c>
      <c r="D1081" t="inlineStr">
        <is>
          <t>Alba</t>
        </is>
      </c>
      <c r="E1081" t="inlineStr">
        <is>
          <t>PRD-001</t>
        </is>
      </c>
      <c r="F1081" t="inlineStr">
        <is>
          <t>Pachet protocol sedinte</t>
        </is>
      </c>
      <c r="G1081" t="inlineStr">
        <is>
          <t>Alimente</t>
        </is>
      </c>
      <c r="H1081" t="n">
        <v>5</v>
      </c>
      <c r="I1081" t="n">
        <v>2355.82</v>
      </c>
      <c r="J1081" t="n">
        <v>11779.1</v>
      </c>
      <c r="K1081" s="13" t="n">
        <v>0.09</v>
      </c>
      <c r="L1081" t="n">
        <v>1060.12</v>
      </c>
      <c r="M1081" t="n">
        <v>12839.22</v>
      </c>
      <c r="N1081" t="inlineStr">
        <is>
          <t>RON</t>
        </is>
      </c>
      <c r="O1081" t="inlineStr">
        <is>
          <t>Alba Iulia</t>
        </is>
      </c>
      <c r="P1081" s="12" t="n">
        <v>46366</v>
      </c>
      <c r="Q1081">
        <f>IF(COUNTIF(tbl_Localitati[oras_oficial],[@oras])=0,"ORAS NEALINIAT",IF(XLOOKUP([@oras],tbl_Localitati[oras_oficial],tbl_Localitati[judet],"?")&lt;&gt;[@judet],"JUDET NECORESPUNZATOR",""))</f>
        <v/>
      </c>
      <c r="R1081">
        <f>IF(XLOOKUP([@categorie],tbl_RegulriTVA[categorie],tbl_RegulriTVA[cota_legala],-1)&lt;&gt;[@cota_tva],"TVA GRESIT","")</f>
        <v/>
      </c>
      <c r="S1081">
        <f>IF([@data_scadentei]&lt;[@data_factura],"SCADENTA INAINTEA FACTURII","")</f>
        <v/>
      </c>
      <c r="T1081">
        <f>IF(NETWORKDAYS.INTL([@data_factura],[@data_factura],1,tbl_SarbatoriLegale[data])=0,"ZI NELUCRATOARE","")</f>
        <v/>
      </c>
      <c r="U1081">
        <f>IF([@motiv_anomalie]="","OK","DE INVESTIGAT")</f>
        <v/>
      </c>
      <c r="V1081">
        <f>TEXTJOIN("; ",TRUE,[@flag_oras],[@flag_tva],[@flag_scadenta],[@flag_zi])</f>
        <v/>
      </c>
    </row>
    <row r="1082">
      <c r="A1082" t="inlineStr">
        <is>
          <t>F-2025-01081</t>
        </is>
      </c>
      <c r="B1082" s="12" t="n">
        <v>46031</v>
      </c>
      <c r="C1082" t="inlineStr">
        <is>
          <t>SC NORDIS DISTRIBUTIE SRL</t>
        </is>
      </c>
      <c r="D1082" t="inlineStr">
        <is>
          <t>Constanța</t>
        </is>
      </c>
      <c r="E1082" t="inlineStr">
        <is>
          <t>PRD-005</t>
        </is>
      </c>
      <c r="F1082" t="inlineStr">
        <is>
          <t>Tocator documente</t>
        </is>
      </c>
      <c r="G1082" t="inlineStr">
        <is>
          <t>Echipamente birou</t>
        </is>
      </c>
      <c r="H1082" t="n">
        <v>2</v>
      </c>
      <c r="I1082" t="n">
        <v>241.15</v>
      </c>
      <c r="J1082" t="n">
        <v>482.3</v>
      </c>
      <c r="K1082" s="13" t="n">
        <v>0.19</v>
      </c>
      <c r="L1082" t="n">
        <v>91.64</v>
      </c>
      <c r="M1082" t="n">
        <v>573.9400000000001</v>
      </c>
      <c r="N1082" t="inlineStr">
        <is>
          <t>RON</t>
        </is>
      </c>
      <c r="O1082" t="inlineStr">
        <is>
          <t>Mangalia</t>
        </is>
      </c>
      <c r="P1082" s="12" t="n">
        <v>46061</v>
      </c>
      <c r="Q1082">
        <f>IF(COUNTIF(tbl_Localitati[oras_oficial],[@oras])=0,"ORAS NEALINIAT",IF(XLOOKUP([@oras],tbl_Localitati[oras_oficial],tbl_Localitati[judet],"?")&lt;&gt;[@judet],"JUDET NECORESPUNZATOR",""))</f>
        <v/>
      </c>
      <c r="R1082">
        <f>IF(XLOOKUP([@categorie],tbl_RegulriTVA[categorie],tbl_RegulriTVA[cota_legala],-1)&lt;&gt;[@cota_tva],"TVA GRESIT","")</f>
        <v/>
      </c>
      <c r="S1082">
        <f>IF([@data_scadentei]&lt;[@data_factura],"SCADENTA INAINTEA FACTURII","")</f>
        <v/>
      </c>
      <c r="T1082">
        <f>IF(NETWORKDAYS.INTL([@data_factura],[@data_factura],1,tbl_SarbatoriLegale[data])=0,"ZI NELUCRATOARE","")</f>
        <v/>
      </c>
      <c r="U1082">
        <f>IF([@motiv_anomalie]="","OK","DE INVESTIGAT")</f>
        <v/>
      </c>
      <c r="V1082">
        <f>TEXTJOIN("; ",TRUE,[@flag_oras],[@flag_tva],[@flag_scadenta],[@flag_zi])</f>
        <v/>
      </c>
    </row>
    <row r="1083">
      <c r="A1083" t="inlineStr">
        <is>
          <t>F-2025-01082</t>
        </is>
      </c>
      <c r="B1083" s="12" t="n">
        <v>46282</v>
      </c>
      <c r="C1083" t="inlineStr">
        <is>
          <t>SC INTEGROMED SA</t>
        </is>
      </c>
      <c r="D1083" t="inlineStr">
        <is>
          <t>Cluj</t>
        </is>
      </c>
      <c r="E1083" t="inlineStr">
        <is>
          <t>PRD-007</t>
        </is>
      </c>
      <c r="F1083" t="inlineStr">
        <is>
          <t>Licenta ERP contabilitate</t>
        </is>
      </c>
      <c r="G1083" t="inlineStr">
        <is>
          <t>Licențe software</t>
        </is>
      </c>
      <c r="H1083" t="n">
        <v>10</v>
      </c>
      <c r="I1083" t="n">
        <v>171.29</v>
      </c>
      <c r="J1083" t="n">
        <v>1712.9</v>
      </c>
      <c r="K1083" s="13" t="n">
        <v>0.19</v>
      </c>
      <c r="L1083" t="n">
        <v>325.45</v>
      </c>
      <c r="M1083" t="n">
        <v>2038.35</v>
      </c>
      <c r="N1083" t="inlineStr">
        <is>
          <t>RON</t>
        </is>
      </c>
      <c r="O1083" t="inlineStr">
        <is>
          <t>Cluj-Napoca</t>
        </is>
      </c>
      <c r="P1083" s="12" t="n">
        <v>46297</v>
      </c>
      <c r="Q1083">
        <f>IF(COUNTIF(tbl_Localitati[oras_oficial],[@oras])=0,"ORAS NEALINIAT",IF(XLOOKUP([@oras],tbl_Localitati[oras_oficial],tbl_Localitati[judet],"?")&lt;&gt;[@judet],"JUDET NECORESPUNZATOR",""))</f>
        <v/>
      </c>
      <c r="R1083">
        <f>IF(XLOOKUP([@categorie],tbl_RegulriTVA[categorie],tbl_RegulriTVA[cota_legala],-1)&lt;&gt;[@cota_tva],"TVA GRESIT","")</f>
        <v/>
      </c>
      <c r="S1083">
        <f>IF([@data_scadentei]&lt;[@data_factura],"SCADENTA INAINTEA FACTURII","")</f>
        <v/>
      </c>
      <c r="T1083">
        <f>IF(NETWORKDAYS.INTL([@data_factura],[@data_factura],1,tbl_SarbatoriLegale[data])=0,"ZI NELUCRATOARE","")</f>
        <v/>
      </c>
      <c r="U1083">
        <f>IF([@motiv_anomalie]="","OK","DE INVESTIGAT")</f>
        <v/>
      </c>
      <c r="V1083">
        <f>TEXTJOIN("; ",TRUE,[@flag_oras],[@flag_tva],[@flag_scadenta],[@flag_zi])</f>
        <v/>
      </c>
    </row>
    <row r="1084">
      <c r="A1084" t="inlineStr">
        <is>
          <t>F-2025-01083</t>
        </is>
      </c>
      <c r="B1084" s="12" t="n">
        <v>46316</v>
      </c>
      <c r="C1084" t="inlineStr">
        <is>
          <t>SC FARMAVITAL DISTRIBUTIE SA</t>
        </is>
      </c>
      <c r="D1084" t="inlineStr">
        <is>
          <t>Bihor</t>
        </is>
      </c>
      <c r="E1084" t="inlineStr">
        <is>
          <t>PRD-009</t>
        </is>
      </c>
      <c r="F1084" t="inlineStr">
        <is>
          <t>Licenta Office 365 anuala</t>
        </is>
      </c>
      <c r="G1084" t="inlineStr">
        <is>
          <t>Licențe software</t>
        </is>
      </c>
      <c r="H1084" t="n">
        <v>50</v>
      </c>
      <c r="I1084" t="n">
        <v>28.76</v>
      </c>
      <c r="J1084" t="n">
        <v>1438</v>
      </c>
      <c r="K1084" s="13" t="n">
        <v>0.19</v>
      </c>
      <c r="L1084" t="n">
        <v>273.22</v>
      </c>
      <c r="M1084" t="n">
        <v>1711.22</v>
      </c>
      <c r="N1084" t="inlineStr">
        <is>
          <t>RON</t>
        </is>
      </c>
      <c r="O1084" t="inlineStr">
        <is>
          <t>Oradea</t>
        </is>
      </c>
      <c r="P1084" s="12" t="n">
        <v>46331</v>
      </c>
      <c r="Q1084">
        <f>IF(COUNTIF(tbl_Localitati[oras_oficial],[@oras])=0,"ORAS NEALINIAT",IF(XLOOKUP([@oras],tbl_Localitati[oras_oficial],tbl_Localitati[judet],"?")&lt;&gt;[@judet],"JUDET NECORESPUNZATOR",""))</f>
        <v/>
      </c>
      <c r="R1084">
        <f>IF(XLOOKUP([@categorie],tbl_RegulriTVA[categorie],tbl_RegulriTVA[cota_legala],-1)&lt;&gt;[@cota_tva],"TVA GRESIT","")</f>
        <v/>
      </c>
      <c r="S1084">
        <f>IF([@data_scadentei]&lt;[@data_factura],"SCADENTA INAINTEA FACTURII","")</f>
        <v/>
      </c>
      <c r="T1084">
        <f>IF(NETWORKDAYS.INTL([@data_factura],[@data_factura],1,tbl_SarbatoriLegale[data])=0,"ZI NELUCRATOARE","")</f>
        <v/>
      </c>
      <c r="U1084">
        <f>IF([@motiv_anomalie]="","OK","DE INVESTIGAT")</f>
        <v/>
      </c>
      <c r="V1084">
        <f>TEXTJOIN("; ",TRUE,[@flag_oras],[@flag_tva],[@flag_scadenta],[@flag_zi])</f>
        <v/>
      </c>
    </row>
    <row r="1085">
      <c r="A1085" t="inlineStr">
        <is>
          <t>F-2025-01084</t>
        </is>
      </c>
      <c r="B1085" s="12" t="n">
        <v>46170</v>
      </c>
      <c r="C1085" t="inlineStr">
        <is>
          <t>SC DACTECH SOLUTIONS SRL</t>
        </is>
      </c>
      <c r="D1085" t="inlineStr">
        <is>
          <t>Argeș</t>
        </is>
      </c>
      <c r="E1085" t="inlineStr">
        <is>
          <t>PRD-007</t>
        </is>
      </c>
      <c r="F1085" t="inlineStr">
        <is>
          <t>Server rack 1U</t>
        </is>
      </c>
      <c r="G1085" t="inlineStr">
        <is>
          <t>Hardware IT</t>
        </is>
      </c>
      <c r="H1085" t="n">
        <v>1</v>
      </c>
      <c r="I1085" t="n">
        <v>186.39</v>
      </c>
      <c r="J1085" t="n">
        <v>186.39</v>
      </c>
      <c r="K1085" s="13" t="n">
        <v>0.19</v>
      </c>
      <c r="L1085" t="n">
        <v>35.41</v>
      </c>
      <c r="M1085" t="n">
        <v>221.8</v>
      </c>
      <c r="N1085" t="inlineStr">
        <is>
          <t>RON</t>
        </is>
      </c>
      <c r="O1085" t="inlineStr">
        <is>
          <t>Pitești</t>
        </is>
      </c>
      <c r="P1085" s="12" t="n">
        <v>46200</v>
      </c>
      <c r="Q1085">
        <f>IF(COUNTIF(tbl_Localitati[oras_oficial],[@oras])=0,"ORAS NEALINIAT",IF(XLOOKUP([@oras],tbl_Localitati[oras_oficial],tbl_Localitati[judet],"?")&lt;&gt;[@judet],"JUDET NECORESPUNZATOR",""))</f>
        <v/>
      </c>
      <c r="R1085">
        <f>IF(XLOOKUP([@categorie],tbl_RegulriTVA[categorie],tbl_RegulriTVA[cota_legala],-1)&lt;&gt;[@cota_tva],"TVA GRESIT","")</f>
        <v/>
      </c>
      <c r="S1085">
        <f>IF([@data_scadentei]&lt;[@data_factura],"SCADENTA INAINTEA FACTURII","")</f>
        <v/>
      </c>
      <c r="T1085">
        <f>IF(NETWORKDAYS.INTL([@data_factura],[@data_factura],1,tbl_SarbatoriLegale[data])=0,"ZI NELUCRATOARE","")</f>
        <v/>
      </c>
      <c r="U1085">
        <f>IF([@motiv_anomalie]="","OK","DE INVESTIGAT")</f>
        <v/>
      </c>
      <c r="V1085">
        <f>TEXTJOIN("; ",TRUE,[@flag_oras],[@flag_tva],[@flag_scadenta],[@flag_zi])</f>
        <v/>
      </c>
    </row>
    <row r="1086">
      <c r="A1086" t="inlineStr">
        <is>
          <t>F-2025-01085</t>
        </is>
      </c>
      <c r="B1086" s="12" t="n">
        <v>46351</v>
      </c>
      <c r="C1086" t="inlineStr">
        <is>
          <t>SC AROMET TRADING SRL</t>
        </is>
      </c>
      <c r="D1086" t="inlineStr">
        <is>
          <t>Alba</t>
        </is>
      </c>
      <c r="E1086" t="inlineStr">
        <is>
          <t>PRD-004</t>
        </is>
      </c>
      <c r="F1086" t="inlineStr">
        <is>
          <t>Server rack 1U</t>
        </is>
      </c>
      <c r="G1086" t="inlineStr">
        <is>
          <t>Hardware IT</t>
        </is>
      </c>
      <c r="H1086" t="n">
        <v>5</v>
      </c>
      <c r="I1086" t="n">
        <v>925.48</v>
      </c>
      <c r="J1086" t="n">
        <v>4627.4</v>
      </c>
      <c r="K1086" s="13" t="n">
        <v>0.19</v>
      </c>
      <c r="L1086" t="n">
        <v>879.21</v>
      </c>
      <c r="M1086" t="n">
        <v>5506.61</v>
      </c>
      <c r="N1086" t="inlineStr">
        <is>
          <t>RON</t>
        </is>
      </c>
      <c r="O1086" t="inlineStr">
        <is>
          <t>Alba Iulia</t>
        </is>
      </c>
      <c r="P1086" s="12" t="n">
        <v>46381</v>
      </c>
      <c r="Q1086">
        <f>IF(COUNTIF(tbl_Localitati[oras_oficial],[@oras])=0,"ORAS NEALINIAT",IF(XLOOKUP([@oras],tbl_Localitati[oras_oficial],tbl_Localitati[judet],"?")&lt;&gt;[@judet],"JUDET NECORESPUNZATOR",""))</f>
        <v/>
      </c>
      <c r="R1086">
        <f>IF(XLOOKUP([@categorie],tbl_RegulriTVA[categorie],tbl_RegulriTVA[cota_legala],-1)&lt;&gt;[@cota_tva],"TVA GRESIT","")</f>
        <v/>
      </c>
      <c r="S1086">
        <f>IF([@data_scadentei]&lt;[@data_factura],"SCADENTA INAINTEA FACTURII","")</f>
        <v/>
      </c>
      <c r="T1086">
        <f>IF(NETWORKDAYS.INTL([@data_factura],[@data_factura],1,tbl_SarbatoriLegale[data])=0,"ZI NELUCRATOARE","")</f>
        <v/>
      </c>
      <c r="U1086">
        <f>IF([@motiv_anomalie]="","OK","DE INVESTIGAT")</f>
        <v/>
      </c>
      <c r="V1086">
        <f>TEXTJOIN("; ",TRUE,[@flag_oras],[@flag_tva],[@flag_scadenta],[@flag_zi])</f>
        <v/>
      </c>
    </row>
    <row r="1087">
      <c r="A1087" t="inlineStr">
        <is>
          <t>F-2025-01086</t>
        </is>
      </c>
      <c r="B1087" s="12" t="n">
        <v>46157</v>
      </c>
      <c r="C1087" t="inlineStr">
        <is>
          <t>SC DACTECH SOLUTIONS SRL</t>
        </is>
      </c>
      <c r="D1087" t="inlineStr">
        <is>
          <t>Argeș</t>
        </is>
      </c>
      <c r="E1087" t="inlineStr">
        <is>
          <t>PRD-001</t>
        </is>
      </c>
      <c r="F1087" t="inlineStr">
        <is>
          <t>Telefon IP birou</t>
        </is>
      </c>
      <c r="G1087" t="inlineStr">
        <is>
          <t>Echipamente birou</t>
        </is>
      </c>
      <c r="H1087" t="n">
        <v>1</v>
      </c>
      <c r="I1087" t="n">
        <v>2433.33</v>
      </c>
      <c r="J1087" t="n">
        <v>2433.33</v>
      </c>
      <c r="K1087" s="13" t="n">
        <v>0.19</v>
      </c>
      <c r="L1087" t="n">
        <v>462.33</v>
      </c>
      <c r="M1087" t="n">
        <v>2895.66</v>
      </c>
      <c r="N1087" t="inlineStr">
        <is>
          <t>RON</t>
        </is>
      </c>
      <c r="O1087" t="inlineStr">
        <is>
          <t>Pitești</t>
        </is>
      </c>
      <c r="P1087" s="12" t="n">
        <v>46202</v>
      </c>
      <c r="Q1087">
        <f>IF(COUNTIF(tbl_Localitati[oras_oficial],[@oras])=0,"ORAS NEALINIAT",IF(XLOOKUP([@oras],tbl_Localitati[oras_oficial],tbl_Localitati[judet],"?")&lt;&gt;[@judet],"JUDET NECORESPUNZATOR",""))</f>
        <v/>
      </c>
      <c r="R1087">
        <f>IF(XLOOKUP([@categorie],tbl_RegulriTVA[categorie],tbl_RegulriTVA[cota_legala],-1)&lt;&gt;[@cota_tva],"TVA GRESIT","")</f>
        <v/>
      </c>
      <c r="S1087">
        <f>IF([@data_scadentei]&lt;[@data_factura],"SCADENTA INAINTEA FACTURII","")</f>
        <v/>
      </c>
      <c r="T1087">
        <f>IF(NETWORKDAYS.INTL([@data_factura],[@data_factura],1,tbl_SarbatoriLegale[data])=0,"ZI NELUCRATOARE","")</f>
        <v/>
      </c>
      <c r="U1087">
        <f>IF([@motiv_anomalie]="","OK","DE INVESTIGAT")</f>
        <v/>
      </c>
      <c r="V1087">
        <f>TEXTJOIN("; ",TRUE,[@flag_oras],[@flag_tva],[@flag_scadenta],[@flag_zi])</f>
        <v/>
      </c>
    </row>
    <row r="1088">
      <c r="A1088" t="inlineStr">
        <is>
          <t>F-2025-01087</t>
        </is>
      </c>
      <c r="B1088" s="12" t="n">
        <v>46331</v>
      </c>
      <c r="C1088" t="inlineStr">
        <is>
          <t>SC PROVITA MEDICAL SRL</t>
        </is>
      </c>
      <c r="D1088" t="inlineStr">
        <is>
          <t>Mureș</t>
        </is>
      </c>
      <c r="E1088" t="inlineStr">
        <is>
          <t>PRD-006</t>
        </is>
      </c>
      <c r="F1088" t="inlineStr">
        <is>
          <t>Switch gigabit 24p</t>
        </is>
      </c>
      <c r="G1088" t="inlineStr">
        <is>
          <t>Hardware IT</t>
        </is>
      </c>
      <c r="H1088" t="n">
        <v>5</v>
      </c>
      <c r="I1088" t="n">
        <v>779</v>
      </c>
      <c r="J1088" t="n">
        <v>3895</v>
      </c>
      <c r="K1088" s="13" t="n">
        <v>0.19</v>
      </c>
      <c r="L1088" t="n">
        <v>740.05</v>
      </c>
      <c r="M1088" t="n">
        <v>4635.05</v>
      </c>
      <c r="N1088" t="inlineStr">
        <is>
          <t>RON</t>
        </is>
      </c>
      <c r="O1088" t="inlineStr">
        <is>
          <t>Târgu Mureș</t>
        </is>
      </c>
      <c r="P1088" s="12" t="n">
        <v>46361</v>
      </c>
      <c r="Q1088">
        <f>IF(COUNTIF(tbl_Localitati[oras_oficial],[@oras])=0,"ORAS NEALINIAT",IF(XLOOKUP([@oras],tbl_Localitati[oras_oficial],tbl_Localitati[judet],"?")&lt;&gt;[@judet],"JUDET NECORESPUNZATOR",""))</f>
        <v/>
      </c>
      <c r="R1088">
        <f>IF(XLOOKUP([@categorie],tbl_RegulriTVA[categorie],tbl_RegulriTVA[cota_legala],-1)&lt;&gt;[@cota_tva],"TVA GRESIT","")</f>
        <v/>
      </c>
      <c r="S1088">
        <f>IF([@data_scadentei]&lt;[@data_factura],"SCADENTA INAINTEA FACTURII","")</f>
        <v/>
      </c>
      <c r="T1088">
        <f>IF(NETWORKDAYS.INTL([@data_factura],[@data_factura],1,tbl_SarbatoriLegale[data])=0,"ZI NELUCRATOARE","")</f>
        <v/>
      </c>
      <c r="U1088">
        <f>IF([@motiv_anomalie]="","OK","DE INVESTIGAT")</f>
        <v/>
      </c>
      <c r="V1088">
        <f>TEXTJOIN("; ",TRUE,[@flag_oras],[@flag_tva],[@flag_scadenta],[@flag_zi])</f>
        <v/>
      </c>
    </row>
    <row r="1089">
      <c r="A1089" t="inlineStr">
        <is>
          <t>F-2025-01088</t>
        </is>
      </c>
      <c r="B1089" s="12" t="n">
        <v>46307</v>
      </c>
      <c r="C1089" t="inlineStr">
        <is>
          <t>SC INTEGROMED SA</t>
        </is>
      </c>
      <c r="D1089" t="inlineStr">
        <is>
          <t>Cluj</t>
        </is>
      </c>
      <c r="E1089" t="inlineStr">
        <is>
          <t>PRD-010</t>
        </is>
      </c>
      <c r="F1089" t="inlineStr">
        <is>
          <t>Apa plata bax</t>
        </is>
      </c>
      <c r="G1089" t="inlineStr">
        <is>
          <t>Alimente</t>
        </is>
      </c>
      <c r="H1089" t="n">
        <v>20</v>
      </c>
      <c r="I1089" t="n">
        <v>363.07</v>
      </c>
      <c r="J1089" t="n">
        <v>7261.4</v>
      </c>
      <c r="K1089" s="13" t="n">
        <v>0.09</v>
      </c>
      <c r="L1089" t="n">
        <v>653.53</v>
      </c>
      <c r="M1089" t="n">
        <v>7914.93</v>
      </c>
      <c r="N1089" t="inlineStr">
        <is>
          <t>RON</t>
        </is>
      </c>
      <c r="O1089" t="inlineStr">
        <is>
          <t>Cluj-Napoca</t>
        </is>
      </c>
      <c r="P1089" s="12" t="n">
        <v>46367</v>
      </c>
      <c r="Q1089">
        <f>IF(COUNTIF(tbl_Localitati[oras_oficial],[@oras])=0,"ORAS NEALINIAT",IF(XLOOKUP([@oras],tbl_Localitati[oras_oficial],tbl_Localitati[judet],"?")&lt;&gt;[@judet],"JUDET NECORESPUNZATOR",""))</f>
        <v/>
      </c>
      <c r="R1089">
        <f>IF(XLOOKUP([@categorie],tbl_RegulriTVA[categorie],tbl_RegulriTVA[cota_legala],-1)&lt;&gt;[@cota_tva],"TVA GRESIT","")</f>
        <v/>
      </c>
      <c r="S1089">
        <f>IF([@data_scadentei]&lt;[@data_factura],"SCADENTA INAINTEA FACTURII","")</f>
        <v/>
      </c>
      <c r="T1089">
        <f>IF(NETWORKDAYS.INTL([@data_factura],[@data_factura],1,tbl_SarbatoriLegale[data])=0,"ZI NELUCRATOARE","")</f>
        <v/>
      </c>
      <c r="U1089">
        <f>IF([@motiv_anomalie]="","OK","DE INVESTIGAT")</f>
        <v/>
      </c>
      <c r="V1089">
        <f>TEXTJOIN("; ",TRUE,[@flag_oras],[@flag_tva],[@flag_scadenta],[@flag_zi])</f>
        <v/>
      </c>
    </row>
    <row r="1090">
      <c r="A1090" t="inlineStr">
        <is>
          <t>F-2025-01089</t>
        </is>
      </c>
      <c r="B1090" s="12" t="n">
        <v>46196</v>
      </c>
      <c r="C1090" t="inlineStr">
        <is>
          <t>SC AROMET TRADING SRL</t>
        </is>
      </c>
      <c r="D1090" t="inlineStr">
        <is>
          <t>Sibiu</t>
        </is>
      </c>
      <c r="E1090" t="inlineStr">
        <is>
          <t>PRD-002</t>
        </is>
      </c>
      <c r="F1090" t="inlineStr">
        <is>
          <t>Laptop business 15"</t>
        </is>
      </c>
      <c r="G1090" t="inlineStr">
        <is>
          <t>Hardware IT</t>
        </is>
      </c>
      <c r="H1090" t="n">
        <v>1</v>
      </c>
      <c r="I1090" t="n">
        <v>1154.01</v>
      </c>
      <c r="J1090" t="n">
        <v>1154.01</v>
      </c>
      <c r="K1090" s="13" t="n">
        <v>0.19</v>
      </c>
      <c r="L1090" t="n">
        <v>219.26</v>
      </c>
      <c r="M1090" t="n">
        <v>1373.27</v>
      </c>
      <c r="N1090" t="inlineStr">
        <is>
          <t>RON</t>
        </is>
      </c>
      <c r="O1090" t="inlineStr">
        <is>
          <t>Alba Iulia</t>
        </is>
      </c>
      <c r="P1090" s="12" t="n">
        <v>46211</v>
      </c>
      <c r="Q1090">
        <f>IF(COUNTIF(tbl_Localitati[oras_oficial],[@oras])=0,"ORAS NEALINIAT",IF(XLOOKUP([@oras],tbl_Localitati[oras_oficial],tbl_Localitati[judet],"?")&lt;&gt;[@judet],"JUDET NECORESPUNZATOR",""))</f>
        <v/>
      </c>
      <c r="R1090">
        <f>IF(XLOOKUP([@categorie],tbl_RegulriTVA[categorie],tbl_RegulriTVA[cota_legala],-1)&lt;&gt;[@cota_tva],"TVA GRESIT","")</f>
        <v/>
      </c>
      <c r="S1090">
        <f>IF([@data_scadentei]&lt;[@data_factura],"SCADENTA INAINTEA FACTURII","")</f>
        <v/>
      </c>
      <c r="T1090">
        <f>IF(NETWORKDAYS.INTL([@data_factura],[@data_factura],1,tbl_SarbatoriLegale[data])=0,"ZI NELUCRATOARE","")</f>
        <v/>
      </c>
      <c r="U1090">
        <f>IF([@motiv_anomalie]="","OK","DE INVESTIGAT")</f>
        <v/>
      </c>
      <c r="V1090">
        <f>TEXTJOIN("; ",TRUE,[@flag_oras],[@flag_tva],[@flag_scadenta],[@flag_zi])</f>
        <v/>
      </c>
    </row>
    <row r="1091">
      <c r="A1091" t="inlineStr">
        <is>
          <t>F-2025-01090</t>
        </is>
      </c>
      <c r="B1091" s="12" t="n">
        <v>46036</v>
      </c>
      <c r="C1091" t="inlineStr">
        <is>
          <t>SC SOLARIS ENERGY SRL</t>
        </is>
      </c>
      <c r="D1091" t="inlineStr">
        <is>
          <t>Prahova</t>
        </is>
      </c>
      <c r="E1091" t="inlineStr">
        <is>
          <t>PRD-004</t>
        </is>
      </c>
      <c r="F1091" t="inlineStr">
        <is>
          <t>Licenta ERP contabilitate</t>
        </is>
      </c>
      <c r="G1091" t="inlineStr">
        <is>
          <t>Licențe software</t>
        </is>
      </c>
      <c r="H1091" t="n">
        <v>1</v>
      </c>
      <c r="I1091" t="n">
        <v>926.61</v>
      </c>
      <c r="J1091" t="n">
        <v>926.61</v>
      </c>
      <c r="K1091" s="13" t="n">
        <v>0.19</v>
      </c>
      <c r="L1091" t="n">
        <v>176.06</v>
      </c>
      <c r="M1091" t="n">
        <v>1102.67</v>
      </c>
      <c r="N1091" t="inlineStr">
        <is>
          <t>RON</t>
        </is>
      </c>
      <c r="O1091" t="inlineStr">
        <is>
          <t>Câmpina</t>
        </is>
      </c>
      <c r="P1091" s="12" t="n">
        <v>46066</v>
      </c>
      <c r="Q1091">
        <f>IF(COUNTIF(tbl_Localitati[oras_oficial],[@oras])=0,"ORAS NEALINIAT",IF(XLOOKUP([@oras],tbl_Localitati[oras_oficial],tbl_Localitati[judet],"?")&lt;&gt;[@judet],"JUDET NECORESPUNZATOR",""))</f>
        <v/>
      </c>
      <c r="R1091">
        <f>IF(XLOOKUP([@categorie],tbl_RegulriTVA[categorie],tbl_RegulriTVA[cota_legala],-1)&lt;&gt;[@cota_tva],"TVA GRESIT","")</f>
        <v/>
      </c>
      <c r="S1091">
        <f>IF([@data_scadentei]&lt;[@data_factura],"SCADENTA INAINTEA FACTURII","")</f>
        <v/>
      </c>
      <c r="T1091">
        <f>IF(NETWORKDAYS.INTL([@data_factura],[@data_factura],1,tbl_SarbatoriLegale[data])=0,"ZI NELUCRATOARE","")</f>
        <v/>
      </c>
      <c r="U1091">
        <f>IF([@motiv_anomalie]="","OK","DE INVESTIGAT")</f>
        <v/>
      </c>
      <c r="V1091">
        <f>TEXTJOIN("; ",TRUE,[@flag_oras],[@flag_tva],[@flag_scadenta],[@flag_zi])</f>
        <v/>
      </c>
    </row>
    <row r="1092">
      <c r="A1092" t="inlineStr">
        <is>
          <t>F-2025-01091</t>
        </is>
      </c>
      <c r="B1092" s="12" t="n">
        <v>46055</v>
      </c>
      <c r="C1092" t="inlineStr">
        <is>
          <t>SC AROMET TRADING SRL</t>
        </is>
      </c>
      <c r="D1092" t="inlineStr">
        <is>
          <t>Alba</t>
        </is>
      </c>
      <c r="E1092" t="inlineStr">
        <is>
          <t>PRD-009</t>
        </is>
      </c>
      <c r="F1092" t="inlineStr">
        <is>
          <t>Statie de lucru desktop</t>
        </is>
      </c>
      <c r="G1092" t="inlineStr">
        <is>
          <t>Hardware IT</t>
        </is>
      </c>
      <c r="H1092" t="n">
        <v>5</v>
      </c>
      <c r="I1092" t="n">
        <v>28.48</v>
      </c>
      <c r="J1092" t="n">
        <v>142.4</v>
      </c>
      <c r="K1092" s="13" t="n">
        <v>0.19</v>
      </c>
      <c r="L1092" t="n">
        <v>27.06</v>
      </c>
      <c r="M1092" t="n">
        <v>169.46</v>
      </c>
      <c r="N1092" t="inlineStr">
        <is>
          <t>RON</t>
        </is>
      </c>
      <c r="O1092" t="inlineStr">
        <is>
          <t>Alba Iulia</t>
        </is>
      </c>
      <c r="P1092" s="12" t="n">
        <v>46085</v>
      </c>
      <c r="Q1092">
        <f>IF(COUNTIF(tbl_Localitati[oras_oficial],[@oras])=0,"ORAS NEALINIAT",IF(XLOOKUP([@oras],tbl_Localitati[oras_oficial],tbl_Localitati[judet],"?")&lt;&gt;[@judet],"JUDET NECORESPUNZATOR",""))</f>
        <v/>
      </c>
      <c r="R1092">
        <f>IF(XLOOKUP([@categorie],tbl_RegulriTVA[categorie],tbl_RegulriTVA[cota_legala],-1)&lt;&gt;[@cota_tva],"TVA GRESIT","")</f>
        <v/>
      </c>
      <c r="S1092">
        <f>IF([@data_scadentei]&lt;[@data_factura],"SCADENTA INAINTEA FACTURII","")</f>
        <v/>
      </c>
      <c r="T1092">
        <f>IF(NETWORKDAYS.INTL([@data_factura],[@data_factura],1,tbl_SarbatoriLegale[data])=0,"ZI NELUCRATOARE","")</f>
        <v/>
      </c>
      <c r="U1092">
        <f>IF([@motiv_anomalie]="","OK","DE INVESTIGAT")</f>
        <v/>
      </c>
      <c r="V1092">
        <f>TEXTJOIN("; ",TRUE,[@flag_oras],[@flag_tva],[@flag_scadenta],[@flag_zi])</f>
        <v/>
      </c>
    </row>
    <row r="1093">
      <c r="A1093" t="inlineStr">
        <is>
          <t>F-2025-01092</t>
        </is>
      </c>
      <c r="B1093" s="12" t="n">
        <v>46086</v>
      </c>
      <c r="C1093" t="inlineStr">
        <is>
          <t>SC AROMET TRADING SRL</t>
        </is>
      </c>
      <c r="D1093" t="inlineStr">
        <is>
          <t>Alba</t>
        </is>
      </c>
      <c r="E1093" t="inlineStr">
        <is>
          <t>PRD-002</t>
        </is>
      </c>
      <c r="F1093" t="inlineStr">
        <is>
          <t>Multifunctionala laser</t>
        </is>
      </c>
      <c r="G1093" t="inlineStr">
        <is>
          <t>Echipamente birou</t>
        </is>
      </c>
      <c r="H1093" t="n">
        <v>2</v>
      </c>
      <c r="I1093" t="n">
        <v>1111.64</v>
      </c>
      <c r="J1093" t="n">
        <v>2223.28</v>
      </c>
      <c r="K1093" s="13" t="n">
        <v>0.19</v>
      </c>
      <c r="L1093" t="n">
        <v>422.42</v>
      </c>
      <c r="M1093" t="n">
        <v>2645.7</v>
      </c>
      <c r="N1093" t="inlineStr">
        <is>
          <t>RON</t>
        </is>
      </c>
      <c r="O1093" t="inlineStr">
        <is>
          <t>Alba Iulia</t>
        </is>
      </c>
      <c r="P1093" s="12" t="n">
        <v>46146</v>
      </c>
      <c r="Q1093">
        <f>IF(COUNTIF(tbl_Localitati[oras_oficial],[@oras])=0,"ORAS NEALINIAT",IF(XLOOKUP([@oras],tbl_Localitati[oras_oficial],tbl_Localitati[judet],"?")&lt;&gt;[@judet],"JUDET NECORESPUNZATOR",""))</f>
        <v/>
      </c>
      <c r="R1093">
        <f>IF(XLOOKUP([@categorie],tbl_RegulriTVA[categorie],tbl_RegulriTVA[cota_legala],-1)&lt;&gt;[@cota_tva],"TVA GRESIT","")</f>
        <v/>
      </c>
      <c r="S1093">
        <f>IF([@data_scadentei]&lt;[@data_factura],"SCADENTA INAINTEA FACTURII","")</f>
        <v/>
      </c>
      <c r="T1093">
        <f>IF(NETWORKDAYS.INTL([@data_factura],[@data_factura],1,tbl_SarbatoriLegale[data])=0,"ZI NELUCRATOARE","")</f>
        <v/>
      </c>
      <c r="U1093">
        <f>IF([@motiv_anomalie]="","OK","DE INVESTIGAT")</f>
        <v/>
      </c>
      <c r="V1093">
        <f>TEXTJOIN("; ",TRUE,[@flag_oras],[@flag_tva],[@flag_scadenta],[@flag_zi])</f>
        <v/>
      </c>
    </row>
    <row r="1094">
      <c r="A1094" t="inlineStr">
        <is>
          <t>F-2025-01093</t>
        </is>
      </c>
      <c r="B1094" s="12" t="n">
        <v>46374</v>
      </c>
      <c r="C1094" t="inlineStr">
        <is>
          <t>SC NORDIS DISTRIBUTIE SRL</t>
        </is>
      </c>
      <c r="D1094" t="inlineStr">
        <is>
          <t>Constanța</t>
        </is>
      </c>
      <c r="E1094" t="inlineStr">
        <is>
          <t>PRD-002</t>
        </is>
      </c>
      <c r="F1094" t="inlineStr">
        <is>
          <t>Suport tehnic anual</t>
        </is>
      </c>
      <c r="G1094" t="inlineStr">
        <is>
          <t>Servicii consultanță</t>
        </is>
      </c>
      <c r="H1094" t="n">
        <v>1</v>
      </c>
      <c r="I1094" t="n">
        <v>1121.56</v>
      </c>
      <c r="J1094" t="n">
        <v>1121.56</v>
      </c>
      <c r="K1094" s="13" t="n">
        <v>0.19</v>
      </c>
      <c r="L1094" t="n">
        <v>213.1</v>
      </c>
      <c r="M1094" t="n">
        <v>1334.66</v>
      </c>
      <c r="N1094" t="inlineStr">
        <is>
          <t>RON</t>
        </is>
      </c>
      <c r="O1094" t="inlineStr">
        <is>
          <t>Mangalia</t>
        </is>
      </c>
      <c r="P1094" s="12" t="n">
        <v>46389</v>
      </c>
      <c r="Q1094">
        <f>IF(COUNTIF(tbl_Localitati[oras_oficial],[@oras])=0,"ORAS NEALINIAT",IF(XLOOKUP([@oras],tbl_Localitati[oras_oficial],tbl_Localitati[judet],"?")&lt;&gt;[@judet],"JUDET NECORESPUNZATOR",""))</f>
        <v/>
      </c>
      <c r="R1094">
        <f>IF(XLOOKUP([@categorie],tbl_RegulriTVA[categorie],tbl_RegulriTVA[cota_legala],-1)&lt;&gt;[@cota_tva],"TVA GRESIT","")</f>
        <v/>
      </c>
      <c r="S1094">
        <f>IF([@data_scadentei]&lt;[@data_factura],"SCADENTA INAINTEA FACTURII","")</f>
        <v/>
      </c>
      <c r="T1094">
        <f>IF(NETWORKDAYS.INTL([@data_factura],[@data_factura],1,tbl_SarbatoriLegale[data])=0,"ZI NELUCRATOARE","")</f>
        <v/>
      </c>
      <c r="U1094">
        <f>IF([@motiv_anomalie]="","OK","DE INVESTIGAT")</f>
        <v/>
      </c>
      <c r="V1094">
        <f>TEXTJOIN("; ",TRUE,[@flag_oras],[@flag_tva],[@flag_scadenta],[@flag_zi])</f>
        <v/>
      </c>
    </row>
    <row r="1095">
      <c r="A1095" t="inlineStr">
        <is>
          <t>F-2025-01094</t>
        </is>
      </c>
      <c r="B1095" s="12" t="n">
        <v>46254</v>
      </c>
      <c r="C1095" t="inlineStr">
        <is>
          <t>SC ZENITH AUTO SRL</t>
        </is>
      </c>
      <c r="D1095" t="inlineStr">
        <is>
          <t>Galați</t>
        </is>
      </c>
      <c r="E1095" t="inlineStr">
        <is>
          <t>PRD-010</t>
        </is>
      </c>
      <c r="F1095" t="inlineStr">
        <is>
          <t>Consultanta implementare IT</t>
        </is>
      </c>
      <c r="G1095" t="inlineStr">
        <is>
          <t>Servicii consultanță</t>
        </is>
      </c>
      <c r="H1095" t="n">
        <v>20</v>
      </c>
      <c r="I1095" t="n">
        <v>348.9</v>
      </c>
      <c r="J1095" t="n">
        <v>6978</v>
      </c>
      <c r="K1095" s="13" t="n">
        <v>0.19</v>
      </c>
      <c r="L1095" t="n">
        <v>1325.82</v>
      </c>
      <c r="M1095" t="n">
        <v>8303.82</v>
      </c>
      <c r="N1095" t="inlineStr">
        <is>
          <t>RON</t>
        </is>
      </c>
      <c r="O1095" t="inlineStr">
        <is>
          <t>București</t>
        </is>
      </c>
      <c r="P1095" s="12" t="n">
        <v>46284</v>
      </c>
      <c r="Q1095">
        <f>IF(COUNTIF(tbl_Localitati[oras_oficial],[@oras])=0,"ORAS NEALINIAT",IF(XLOOKUP([@oras],tbl_Localitati[oras_oficial],tbl_Localitati[judet],"?")&lt;&gt;[@judet],"JUDET NECORESPUNZATOR",""))</f>
        <v/>
      </c>
      <c r="R1095">
        <f>IF(XLOOKUP([@categorie],tbl_RegulriTVA[categorie],tbl_RegulriTVA[cota_legala],-1)&lt;&gt;[@cota_tva],"TVA GRESIT","")</f>
        <v/>
      </c>
      <c r="S1095">
        <f>IF([@data_scadentei]&lt;[@data_factura],"SCADENTA INAINTEA FACTURII","")</f>
        <v/>
      </c>
      <c r="T1095">
        <f>IF(NETWORKDAYS.INTL([@data_factura],[@data_factura],1,tbl_SarbatoriLegale[data])=0,"ZI NELUCRATOARE","")</f>
        <v/>
      </c>
      <c r="U1095">
        <f>IF([@motiv_anomalie]="","OK","DE INVESTIGAT")</f>
        <v/>
      </c>
      <c r="V1095">
        <f>TEXTJOIN("; ",TRUE,[@flag_oras],[@flag_tva],[@flag_scadenta],[@flag_zi])</f>
        <v/>
      </c>
    </row>
    <row r="1096">
      <c r="A1096" t="inlineStr">
        <is>
          <t>F-2025-01095</t>
        </is>
      </c>
      <c r="B1096" s="12" t="n">
        <v>46374</v>
      </c>
      <c r="C1096" t="inlineStr">
        <is>
          <t>SC INTEGROMED SA</t>
        </is>
      </c>
      <c r="D1096" t="inlineStr">
        <is>
          <t>Cluj</t>
        </is>
      </c>
      <c r="E1096" t="inlineStr">
        <is>
          <t>PRD-009</t>
        </is>
      </c>
      <c r="F1096" t="inlineStr">
        <is>
          <t>Tocator documente</t>
        </is>
      </c>
      <c r="G1096" t="inlineStr">
        <is>
          <t>Echipamente birou</t>
        </is>
      </c>
      <c r="H1096" t="n">
        <v>10</v>
      </c>
      <c r="I1096" t="n">
        <v>27.7</v>
      </c>
      <c r="J1096" t="n">
        <v>277</v>
      </c>
      <c r="K1096" s="13" t="n">
        <v>0.19</v>
      </c>
      <c r="L1096" t="n">
        <v>52.63</v>
      </c>
      <c r="M1096" t="n">
        <v>329.63</v>
      </c>
      <c r="N1096" t="inlineStr">
        <is>
          <t>RON</t>
        </is>
      </c>
      <c r="O1096" t="inlineStr">
        <is>
          <t>Cluj-Napoca</t>
        </is>
      </c>
      <c r="P1096" s="12" t="n">
        <v>46434</v>
      </c>
      <c r="Q1096">
        <f>IF(COUNTIF(tbl_Localitati[oras_oficial],[@oras])=0,"ORAS NEALINIAT",IF(XLOOKUP([@oras],tbl_Localitati[oras_oficial],tbl_Localitati[judet],"?")&lt;&gt;[@judet],"JUDET NECORESPUNZATOR",""))</f>
        <v/>
      </c>
      <c r="R1096">
        <f>IF(XLOOKUP([@categorie],tbl_RegulriTVA[categorie],tbl_RegulriTVA[cota_legala],-1)&lt;&gt;[@cota_tva],"TVA GRESIT","")</f>
        <v/>
      </c>
      <c r="S1096">
        <f>IF([@data_scadentei]&lt;[@data_factura],"SCADENTA INAINTEA FACTURII","")</f>
        <v/>
      </c>
      <c r="T1096">
        <f>IF(NETWORKDAYS.INTL([@data_factura],[@data_factura],1,tbl_SarbatoriLegale[data])=0,"ZI NELUCRATOARE","")</f>
        <v/>
      </c>
      <c r="U1096">
        <f>IF([@motiv_anomalie]="","OK","DE INVESTIGAT")</f>
        <v/>
      </c>
      <c r="V1096">
        <f>TEXTJOIN("; ",TRUE,[@flag_oras],[@flag_tva],[@flag_scadenta],[@flag_zi])</f>
        <v/>
      </c>
    </row>
    <row r="1097">
      <c r="A1097" t="inlineStr">
        <is>
          <t>F-2025-01096</t>
        </is>
      </c>
      <c r="B1097" s="12" t="n">
        <v>46352</v>
      </c>
      <c r="C1097" t="inlineStr">
        <is>
          <t>SC RAPID LOGISTIC SA</t>
        </is>
      </c>
      <c r="D1097" t="inlineStr">
        <is>
          <t>Prahova</t>
        </is>
      </c>
      <c r="E1097" t="inlineStr">
        <is>
          <t>PRD-002</t>
        </is>
      </c>
      <c r="F1097" t="inlineStr">
        <is>
          <t>Audit infrastructura</t>
        </is>
      </c>
      <c r="G1097" t="inlineStr">
        <is>
          <t>Servicii consultanță</t>
        </is>
      </c>
      <c r="H1097" t="n">
        <v>1</v>
      </c>
      <c r="I1097" t="n">
        <v>1132.63</v>
      </c>
      <c r="J1097" t="n">
        <v>1132.63</v>
      </c>
      <c r="K1097" s="13" t="n">
        <v>0.19</v>
      </c>
      <c r="L1097" t="n">
        <v>215.2</v>
      </c>
      <c r="M1097" t="n">
        <v>1347.83</v>
      </c>
      <c r="N1097" t="inlineStr">
        <is>
          <t>RON</t>
        </is>
      </c>
      <c r="O1097" t="inlineStr">
        <is>
          <t>Ploiești</t>
        </is>
      </c>
      <c r="P1097" s="12" t="n">
        <v>46382</v>
      </c>
      <c r="Q1097">
        <f>IF(COUNTIF(tbl_Localitati[oras_oficial],[@oras])=0,"ORAS NEALINIAT",IF(XLOOKUP([@oras],tbl_Localitati[oras_oficial],tbl_Localitati[judet],"?")&lt;&gt;[@judet],"JUDET NECORESPUNZATOR",""))</f>
        <v/>
      </c>
      <c r="R1097">
        <f>IF(XLOOKUP([@categorie],tbl_RegulriTVA[categorie],tbl_RegulriTVA[cota_legala],-1)&lt;&gt;[@cota_tva],"TVA GRESIT","")</f>
        <v/>
      </c>
      <c r="S1097">
        <f>IF([@data_scadentei]&lt;[@data_factura],"SCADENTA INAINTEA FACTURII","")</f>
        <v/>
      </c>
      <c r="T1097">
        <f>IF(NETWORKDAYS.INTL([@data_factura],[@data_factura],1,tbl_SarbatoriLegale[data])=0,"ZI NELUCRATOARE","")</f>
        <v/>
      </c>
      <c r="U1097">
        <f>IF([@motiv_anomalie]="","OK","DE INVESTIGAT")</f>
        <v/>
      </c>
      <c r="V1097">
        <f>TEXTJOIN("; ",TRUE,[@flag_oras],[@flag_tva],[@flag_scadenta],[@flag_zi])</f>
        <v/>
      </c>
    </row>
    <row r="1098">
      <c r="A1098" t="inlineStr">
        <is>
          <t>F-2025-01097</t>
        </is>
      </c>
      <c r="B1098" s="12" t="n">
        <v>46064</v>
      </c>
      <c r="C1098" t="inlineStr">
        <is>
          <t>SC AROMET TRADING SRL</t>
        </is>
      </c>
      <c r="D1098" t="inlineStr">
        <is>
          <t>Alba</t>
        </is>
      </c>
      <c r="E1098" t="inlineStr">
        <is>
          <t>PRD-007</t>
        </is>
      </c>
      <c r="F1098" t="inlineStr">
        <is>
          <t>Statie de lucru desktop</t>
        </is>
      </c>
      <c r="G1098" t="inlineStr">
        <is>
          <t>Hardware IT</t>
        </is>
      </c>
      <c r="H1098" t="n">
        <v>10</v>
      </c>
      <c r="I1098" t="n">
        <v>177.97</v>
      </c>
      <c r="J1098" t="n">
        <v>1779.7</v>
      </c>
      <c r="K1098" s="13" t="n">
        <v>0.19</v>
      </c>
      <c r="L1098" t="n">
        <v>338.14</v>
      </c>
      <c r="M1098" t="n">
        <v>2117.84</v>
      </c>
      <c r="N1098" t="inlineStr">
        <is>
          <t>RON</t>
        </is>
      </c>
      <c r="O1098" t="inlineStr">
        <is>
          <t>Alba Iulia</t>
        </is>
      </c>
      <c r="P1098" s="12" t="n">
        <v>46094</v>
      </c>
      <c r="Q1098">
        <f>IF(COUNTIF(tbl_Localitati[oras_oficial],[@oras])=0,"ORAS NEALINIAT",IF(XLOOKUP([@oras],tbl_Localitati[oras_oficial],tbl_Localitati[judet],"?")&lt;&gt;[@judet],"JUDET NECORESPUNZATOR",""))</f>
        <v/>
      </c>
      <c r="R1098">
        <f>IF(XLOOKUP([@categorie],tbl_RegulriTVA[categorie],tbl_RegulriTVA[cota_legala],-1)&lt;&gt;[@cota_tva],"TVA GRESIT","")</f>
        <v/>
      </c>
      <c r="S1098">
        <f>IF([@data_scadentei]&lt;[@data_factura],"SCADENTA INAINTEA FACTURII","")</f>
        <v/>
      </c>
      <c r="T1098">
        <f>IF(NETWORKDAYS.INTL([@data_factura],[@data_factura],1,tbl_SarbatoriLegale[data])=0,"ZI NELUCRATOARE","")</f>
        <v/>
      </c>
      <c r="U1098">
        <f>IF([@motiv_anomalie]="","OK","DE INVESTIGAT")</f>
        <v/>
      </c>
      <c r="V1098">
        <f>TEXTJOIN("; ",TRUE,[@flag_oras],[@flag_tva],[@flag_scadenta],[@flag_zi])</f>
        <v/>
      </c>
    </row>
    <row r="1099">
      <c r="A1099" t="inlineStr">
        <is>
          <t>F-2025-01098</t>
        </is>
      </c>
      <c r="B1099" s="12" t="n">
        <v>46181</v>
      </c>
      <c r="C1099" t="inlineStr">
        <is>
          <t>SC AROMET TRADING SRL</t>
        </is>
      </c>
      <c r="D1099" t="inlineStr">
        <is>
          <t>Bacău</t>
        </is>
      </c>
      <c r="E1099" t="inlineStr">
        <is>
          <t>PRD-008</t>
        </is>
      </c>
      <c r="F1099" t="inlineStr">
        <is>
          <t>Switch gigabit 24p</t>
        </is>
      </c>
      <c r="G1099" t="inlineStr">
        <is>
          <t>Hardware IT</t>
        </is>
      </c>
      <c r="H1099" t="n">
        <v>10</v>
      </c>
      <c r="J1099" t="n">
        <v>4275.9</v>
      </c>
      <c r="K1099" s="13" t="n">
        <v>0.19</v>
      </c>
      <c r="L1099" t="n">
        <v>812.42</v>
      </c>
      <c r="M1099" t="n">
        <v>5088.32</v>
      </c>
      <c r="N1099" t="inlineStr">
        <is>
          <t>RON</t>
        </is>
      </c>
      <c r="O1099" t="inlineStr">
        <is>
          <t>Alba Iulia</t>
        </is>
      </c>
      <c r="P1099" s="12" t="n">
        <v>46241</v>
      </c>
      <c r="Q1099">
        <f>IF(COUNTIF(tbl_Localitati[oras_oficial],[@oras])=0,"ORAS NEALINIAT",IF(XLOOKUP([@oras],tbl_Localitati[oras_oficial],tbl_Localitati[judet],"?")&lt;&gt;[@judet],"JUDET NECORESPUNZATOR",""))</f>
        <v/>
      </c>
      <c r="R1099">
        <f>IF(XLOOKUP([@categorie],tbl_RegulriTVA[categorie],tbl_RegulriTVA[cota_legala],-1)&lt;&gt;[@cota_tva],"TVA GRESIT","")</f>
        <v/>
      </c>
      <c r="S1099">
        <f>IF([@data_scadentei]&lt;[@data_factura],"SCADENTA INAINTEA FACTURII","")</f>
        <v/>
      </c>
      <c r="T1099">
        <f>IF(NETWORKDAYS.INTL([@data_factura],[@data_factura],1,tbl_SarbatoriLegale[data])=0,"ZI NELUCRATOARE","")</f>
        <v/>
      </c>
      <c r="U1099">
        <f>IF([@motiv_anomalie]="","OK","DE INVESTIGAT")</f>
        <v/>
      </c>
      <c r="V1099">
        <f>TEXTJOIN("; ",TRUE,[@flag_oras],[@flag_tva],[@flag_scadenta],[@flag_zi])</f>
        <v/>
      </c>
    </row>
    <row r="1100">
      <c r="A1100" t="inlineStr">
        <is>
          <t>F-2025-01099</t>
        </is>
      </c>
      <c r="B1100" s="12" t="n">
        <v>46367</v>
      </c>
      <c r="C1100" t="inlineStr">
        <is>
          <t>SC RAPID LOGISTIC SA</t>
        </is>
      </c>
      <c r="D1100" t="inlineStr">
        <is>
          <t>Prahova</t>
        </is>
      </c>
      <c r="E1100" t="inlineStr">
        <is>
          <t>PRD-006</t>
        </is>
      </c>
      <c r="F1100" t="inlineStr">
        <is>
          <t>Masti protectie cutie</t>
        </is>
      </c>
      <c r="G1100" t="inlineStr">
        <is>
          <t>Produse farmaceutice</t>
        </is>
      </c>
      <c r="H1100" t="n">
        <v>5</v>
      </c>
      <c r="I1100" t="n">
        <v>784.1799999999999</v>
      </c>
      <c r="J1100" t="n">
        <v>3920.9</v>
      </c>
      <c r="K1100" s="13" t="n">
        <v>0.09</v>
      </c>
      <c r="L1100" t="n">
        <v>352.88</v>
      </c>
      <c r="M1100" t="n">
        <v>4273.78</v>
      </c>
      <c r="N1100" t="inlineStr">
        <is>
          <t>RON</t>
        </is>
      </c>
      <c r="O1100" t="inlineStr">
        <is>
          <t>Ploiești</t>
        </is>
      </c>
      <c r="P1100" s="12" t="n">
        <v>46427</v>
      </c>
      <c r="Q1100">
        <f>IF(COUNTIF(tbl_Localitati[oras_oficial],[@oras])=0,"ORAS NEALINIAT",IF(XLOOKUP([@oras],tbl_Localitati[oras_oficial],tbl_Localitati[judet],"?")&lt;&gt;[@judet],"JUDET NECORESPUNZATOR",""))</f>
        <v/>
      </c>
      <c r="R1100">
        <f>IF(XLOOKUP([@categorie],tbl_RegulriTVA[categorie],tbl_RegulriTVA[cota_legala],-1)&lt;&gt;[@cota_tva],"TVA GRESIT","")</f>
        <v/>
      </c>
      <c r="S1100">
        <f>IF([@data_scadentei]&lt;[@data_factura],"SCADENTA INAINTEA FACTURII","")</f>
        <v/>
      </c>
      <c r="T1100">
        <f>IF(NETWORKDAYS.INTL([@data_factura],[@data_factura],1,tbl_SarbatoriLegale[data])=0,"ZI NELUCRATOARE","")</f>
        <v/>
      </c>
      <c r="U1100">
        <f>IF([@motiv_anomalie]="","OK","DE INVESTIGAT")</f>
        <v/>
      </c>
      <c r="V1100">
        <f>TEXTJOIN("; ",TRUE,[@flag_oras],[@flag_tva],[@flag_scadenta],[@flag_zi])</f>
        <v/>
      </c>
    </row>
    <row r="1101">
      <c r="A1101" t="inlineStr">
        <is>
          <t>F-2025-01100</t>
        </is>
      </c>
      <c r="B1101" s="12" t="n">
        <v>46133</v>
      </c>
      <c r="C1101" t="inlineStr">
        <is>
          <t>SC RAPID LOGISTIC SA</t>
        </is>
      </c>
      <c r="D1101" t="inlineStr">
        <is>
          <t>Prahova</t>
        </is>
      </c>
      <c r="E1101" t="inlineStr">
        <is>
          <t>PRD-010</t>
        </is>
      </c>
      <c r="F1101" t="inlineStr">
        <is>
          <t>Apa plata bax</t>
        </is>
      </c>
      <c r="G1101" t="inlineStr">
        <is>
          <t>Alimente</t>
        </is>
      </c>
      <c r="H1101" t="n">
        <v>10</v>
      </c>
      <c r="I1101" t="n">
        <v>332.88</v>
      </c>
      <c r="J1101" t="n">
        <v>3328.8</v>
      </c>
      <c r="K1101" s="13" t="n">
        <v>0.09</v>
      </c>
      <c r="L1101" t="n">
        <v>299.59</v>
      </c>
      <c r="M1101" t="n">
        <v>3628.39</v>
      </c>
      <c r="N1101" t="inlineStr">
        <is>
          <t>RON</t>
        </is>
      </c>
      <c r="O1101" t="inlineStr">
        <is>
          <t>Ploiești</t>
        </is>
      </c>
      <c r="P1101" s="12" t="n">
        <v>46163</v>
      </c>
      <c r="Q1101">
        <f>IF(COUNTIF(tbl_Localitati[oras_oficial],[@oras])=0,"ORAS NEALINIAT",IF(XLOOKUP([@oras],tbl_Localitati[oras_oficial],tbl_Localitati[judet],"?")&lt;&gt;[@judet],"JUDET NECORESPUNZATOR",""))</f>
        <v/>
      </c>
      <c r="R1101">
        <f>IF(XLOOKUP([@categorie],tbl_RegulriTVA[categorie],tbl_RegulriTVA[cota_legala],-1)&lt;&gt;[@cota_tva],"TVA GRESIT","")</f>
        <v/>
      </c>
      <c r="S1101">
        <f>IF([@data_scadentei]&lt;[@data_factura],"SCADENTA INAINTEA FACTURII","")</f>
        <v/>
      </c>
      <c r="T1101">
        <f>IF(NETWORKDAYS.INTL([@data_factura],[@data_factura],1,tbl_SarbatoriLegale[data])=0,"ZI NELUCRATOARE","")</f>
        <v/>
      </c>
      <c r="U1101">
        <f>IF([@motiv_anomalie]="","OK","DE INVESTIGAT")</f>
        <v/>
      </c>
      <c r="V1101">
        <f>TEXTJOIN("; ",TRUE,[@flag_oras],[@flag_tva],[@flag_scadenta],[@flag_zi])</f>
        <v/>
      </c>
    </row>
    <row r="1102">
      <c r="A1102" t="inlineStr">
        <is>
          <t>F-2025-01101</t>
        </is>
      </c>
      <c r="B1102" s="12" t="n">
        <v>46045</v>
      </c>
      <c r="C1102" t="inlineStr">
        <is>
          <t>SC PROVITA MEDICAL SRL</t>
        </is>
      </c>
      <c r="D1102" t="inlineStr">
        <is>
          <t>Mureș</t>
        </is>
      </c>
      <c r="E1102" t="inlineStr">
        <is>
          <t>PRD-005</t>
        </is>
      </c>
      <c r="F1102" t="inlineStr">
        <is>
          <t>Switch gigabit 24p</t>
        </is>
      </c>
      <c r="G1102" t="inlineStr">
        <is>
          <t>Hardware IT</t>
        </is>
      </c>
      <c r="H1102" t="n">
        <v>2</v>
      </c>
      <c r="I1102" t="n">
        <v>239.56</v>
      </c>
      <c r="J1102" t="n">
        <v>479.12</v>
      </c>
      <c r="K1102" s="13" t="n">
        <v>0.19</v>
      </c>
      <c r="L1102" t="n">
        <v>91.03</v>
      </c>
      <c r="M1102" t="n">
        <v>570.15</v>
      </c>
      <c r="N1102" t="inlineStr">
        <is>
          <t>RON</t>
        </is>
      </c>
      <c r="O1102" t="inlineStr">
        <is>
          <t>Târgu Mureș</t>
        </is>
      </c>
      <c r="P1102" s="12" t="n">
        <v>46075</v>
      </c>
      <c r="Q1102">
        <f>IF(COUNTIF(tbl_Localitati[oras_oficial],[@oras])=0,"ORAS NEALINIAT",IF(XLOOKUP([@oras],tbl_Localitati[oras_oficial],tbl_Localitati[judet],"?")&lt;&gt;[@judet],"JUDET NECORESPUNZATOR",""))</f>
        <v/>
      </c>
      <c r="R1102">
        <f>IF(XLOOKUP([@categorie],tbl_RegulriTVA[categorie],tbl_RegulriTVA[cota_legala],-1)&lt;&gt;[@cota_tva],"TVA GRESIT","")</f>
        <v/>
      </c>
      <c r="S1102">
        <f>IF([@data_scadentei]&lt;[@data_factura],"SCADENTA INAINTEA FACTURII","")</f>
        <v/>
      </c>
      <c r="T1102">
        <f>IF(NETWORKDAYS.INTL([@data_factura],[@data_factura],1,tbl_SarbatoriLegale[data])=0,"ZI NELUCRATOARE","")</f>
        <v/>
      </c>
      <c r="U1102">
        <f>IF([@motiv_anomalie]="","OK","DE INVESTIGAT")</f>
        <v/>
      </c>
      <c r="V1102">
        <f>TEXTJOIN("; ",TRUE,[@flag_oras],[@flag_tva],[@flag_scadenta],[@flag_zi])</f>
        <v/>
      </c>
    </row>
    <row r="1103">
      <c r="A1103" t="inlineStr">
        <is>
          <t>F-2025-01102</t>
        </is>
      </c>
      <c r="B1103" s="12" t="n">
        <v>46336</v>
      </c>
      <c r="C1103" t="inlineStr">
        <is>
          <t>SC AROMET TRADING SRL</t>
        </is>
      </c>
      <c r="D1103" t="inlineStr">
        <is>
          <t>Alba</t>
        </is>
      </c>
      <c r="E1103" t="inlineStr">
        <is>
          <t>PRD-002</t>
        </is>
      </c>
      <c r="F1103" t="inlineStr">
        <is>
          <t>Audit infrastructura</t>
        </is>
      </c>
      <c r="G1103" t="inlineStr">
        <is>
          <t>Servicii consultanță</t>
        </is>
      </c>
      <c r="H1103" t="n">
        <v>1</v>
      </c>
      <c r="I1103" t="n">
        <v>1117.38</v>
      </c>
      <c r="J1103" t="n">
        <v>1117.38</v>
      </c>
      <c r="K1103" s="13" t="n">
        <v>0.19</v>
      </c>
      <c r="L1103" t="n">
        <v>212.3</v>
      </c>
      <c r="M1103" t="n">
        <v>1329.68</v>
      </c>
      <c r="N1103" t="inlineStr">
        <is>
          <t>RON</t>
        </is>
      </c>
      <c r="O1103" t="inlineStr">
        <is>
          <t>Alba Iulia</t>
        </is>
      </c>
      <c r="P1103" s="12" t="n">
        <v>46366</v>
      </c>
      <c r="Q1103">
        <f>IF(COUNTIF(tbl_Localitati[oras_oficial],[@oras])=0,"ORAS NEALINIAT",IF(XLOOKUP([@oras],tbl_Localitati[oras_oficial],tbl_Localitati[judet],"?")&lt;&gt;[@judet],"JUDET NECORESPUNZATOR",""))</f>
        <v/>
      </c>
      <c r="R1103">
        <f>IF(XLOOKUP([@categorie],tbl_RegulriTVA[categorie],tbl_RegulriTVA[cota_legala],-1)&lt;&gt;[@cota_tva],"TVA GRESIT","")</f>
        <v/>
      </c>
      <c r="S1103">
        <f>IF([@data_scadentei]&lt;[@data_factura],"SCADENTA INAINTEA FACTURII","")</f>
        <v/>
      </c>
      <c r="T1103">
        <f>IF(NETWORKDAYS.INTL([@data_factura],[@data_factura],1,tbl_SarbatoriLegale[data])=0,"ZI NELUCRATOARE","")</f>
        <v/>
      </c>
      <c r="U1103">
        <f>IF([@motiv_anomalie]="","OK","DE INVESTIGAT")</f>
        <v/>
      </c>
      <c r="V1103">
        <f>TEXTJOIN("; ",TRUE,[@flag_oras],[@flag_tva],[@flag_scadenta],[@flag_zi])</f>
        <v/>
      </c>
    </row>
    <row r="1104">
      <c r="A1104" t="inlineStr">
        <is>
          <t>F-2025-01103</t>
        </is>
      </c>
      <c r="B1104" s="12" t="n">
        <v>46162</v>
      </c>
      <c r="C1104" t="inlineStr">
        <is>
          <t>SC INTEGROMED SA</t>
        </is>
      </c>
      <c r="D1104" t="inlineStr">
        <is>
          <t>Cluj</t>
        </is>
      </c>
      <c r="E1104" t="inlineStr">
        <is>
          <t>PRD-002</t>
        </is>
      </c>
      <c r="F1104" t="inlineStr">
        <is>
          <t>Server rack 1U</t>
        </is>
      </c>
      <c r="G1104" t="inlineStr">
        <is>
          <t>Hardware IT</t>
        </is>
      </c>
      <c r="H1104" t="n">
        <v>1</v>
      </c>
      <c r="I1104" t="n">
        <v>1145.94</v>
      </c>
      <c r="J1104" t="n">
        <v>1145.94</v>
      </c>
      <c r="K1104" s="13" t="n">
        <v>0.19</v>
      </c>
      <c r="L1104" t="n">
        <v>217.73</v>
      </c>
      <c r="M1104" t="n">
        <v>1363.67</v>
      </c>
      <c r="N1104" t="inlineStr">
        <is>
          <t>RON</t>
        </is>
      </c>
      <c r="O1104" t="inlineStr">
        <is>
          <t>Cluj-Napoca</t>
        </is>
      </c>
      <c r="P1104" s="12" t="n">
        <v>46177</v>
      </c>
      <c r="Q1104">
        <f>IF(COUNTIF(tbl_Localitati[oras_oficial],[@oras])=0,"ORAS NEALINIAT",IF(XLOOKUP([@oras],tbl_Localitati[oras_oficial],tbl_Localitati[judet],"?")&lt;&gt;[@judet],"JUDET NECORESPUNZATOR",""))</f>
        <v/>
      </c>
      <c r="R1104">
        <f>IF(XLOOKUP([@categorie],tbl_RegulriTVA[categorie],tbl_RegulriTVA[cota_legala],-1)&lt;&gt;[@cota_tva],"TVA GRESIT","")</f>
        <v/>
      </c>
      <c r="S1104">
        <f>IF([@data_scadentei]&lt;[@data_factura],"SCADENTA INAINTEA FACTURII","")</f>
        <v/>
      </c>
      <c r="T1104">
        <f>IF(NETWORKDAYS.INTL([@data_factura],[@data_factura],1,tbl_SarbatoriLegale[data])=0,"ZI NELUCRATOARE","")</f>
        <v/>
      </c>
      <c r="U1104">
        <f>IF([@motiv_anomalie]="","OK","DE INVESTIGAT")</f>
        <v/>
      </c>
      <c r="V1104">
        <f>TEXTJOIN("; ",TRUE,[@flag_oras],[@flag_tva],[@flag_scadenta],[@flag_zi])</f>
        <v/>
      </c>
    </row>
    <row r="1105">
      <c r="A1105" t="inlineStr">
        <is>
          <t>F-2025-01104</t>
        </is>
      </c>
      <c r="B1105" s="12" t="n">
        <v>46136</v>
      </c>
      <c r="C1105" t="inlineStr">
        <is>
          <t>SC AROMET TRADING SRL</t>
        </is>
      </c>
      <c r="D1105" t="inlineStr">
        <is>
          <t>Alba</t>
        </is>
      </c>
      <c r="E1105" t="inlineStr">
        <is>
          <t>PRD-005</t>
        </is>
      </c>
      <c r="F1105" t="inlineStr">
        <is>
          <t>Switch gigabit 24p</t>
        </is>
      </c>
      <c r="G1105" t="inlineStr">
        <is>
          <t>Hardware IT</t>
        </is>
      </c>
      <c r="H1105" t="n">
        <v>1</v>
      </c>
      <c r="I1105" t="n">
        <v>257.69</v>
      </c>
      <c r="J1105" t="n">
        <v>257.69</v>
      </c>
      <c r="K1105" s="13" t="n">
        <v>0.19</v>
      </c>
      <c r="L1105" t="n">
        <v>48.96</v>
      </c>
      <c r="M1105" t="n">
        <v>306.65</v>
      </c>
      <c r="N1105" t="inlineStr">
        <is>
          <t>RON</t>
        </is>
      </c>
      <c r="O1105" t="inlineStr">
        <is>
          <t>Alba Iulia</t>
        </is>
      </c>
      <c r="P1105" s="12" t="n">
        <v>46196</v>
      </c>
      <c r="Q1105">
        <f>IF(COUNTIF(tbl_Localitati[oras_oficial],[@oras])=0,"ORAS NEALINIAT",IF(XLOOKUP([@oras],tbl_Localitati[oras_oficial],tbl_Localitati[judet],"?")&lt;&gt;[@judet],"JUDET NECORESPUNZATOR",""))</f>
        <v/>
      </c>
      <c r="R1105">
        <f>IF(XLOOKUP([@categorie],tbl_RegulriTVA[categorie],tbl_RegulriTVA[cota_legala],-1)&lt;&gt;[@cota_tva],"TVA GRESIT","")</f>
        <v/>
      </c>
      <c r="S1105">
        <f>IF([@data_scadentei]&lt;[@data_factura],"SCADENTA INAINTEA FACTURII","")</f>
        <v/>
      </c>
      <c r="T1105">
        <f>IF(NETWORKDAYS.INTL([@data_factura],[@data_factura],1,tbl_SarbatoriLegale[data])=0,"ZI NELUCRATOARE","")</f>
        <v/>
      </c>
      <c r="U1105">
        <f>IF([@motiv_anomalie]="","OK","DE INVESTIGAT")</f>
        <v/>
      </c>
      <c r="V1105">
        <f>TEXTJOIN("; ",TRUE,[@flag_oras],[@flag_tva],[@flag_scadenta],[@flag_zi])</f>
        <v/>
      </c>
    </row>
    <row r="1106">
      <c r="A1106" t="inlineStr">
        <is>
          <t>F-2025-01105</t>
        </is>
      </c>
      <c r="B1106" s="12" t="n">
        <v>46100</v>
      </c>
      <c r="C1106" t="inlineStr">
        <is>
          <t>SC ELECTROBUILD SRL</t>
        </is>
      </c>
      <c r="D1106" t="inlineStr">
        <is>
          <t>Bacău</t>
        </is>
      </c>
      <c r="E1106" t="inlineStr">
        <is>
          <t>PRD-007</t>
        </is>
      </c>
      <c r="F1106" t="inlineStr">
        <is>
          <t>Multifunctionala laser</t>
        </is>
      </c>
      <c r="G1106" t="inlineStr">
        <is>
          <t>Echipamente birou</t>
        </is>
      </c>
      <c r="H1106" t="n">
        <v>1</v>
      </c>
      <c r="I1106" t="n">
        <v>172.11</v>
      </c>
      <c r="J1106" t="n">
        <v>172.11</v>
      </c>
      <c r="K1106" s="13" t="n">
        <v>0.19</v>
      </c>
      <c r="L1106" t="n">
        <v>32.7</v>
      </c>
      <c r="M1106" t="n">
        <v>204.81</v>
      </c>
      <c r="N1106" t="inlineStr">
        <is>
          <t>RON</t>
        </is>
      </c>
      <c r="O1106" t="inlineStr">
        <is>
          <t>Bacău</t>
        </is>
      </c>
      <c r="P1106" s="12" t="n">
        <v>46115</v>
      </c>
      <c r="Q1106">
        <f>IF(COUNTIF(tbl_Localitati[oras_oficial],[@oras])=0,"ORAS NEALINIAT",IF(XLOOKUP([@oras],tbl_Localitati[oras_oficial],tbl_Localitati[judet],"?")&lt;&gt;[@judet],"JUDET NECORESPUNZATOR",""))</f>
        <v/>
      </c>
      <c r="R1106">
        <f>IF(XLOOKUP([@categorie],tbl_RegulriTVA[categorie],tbl_RegulriTVA[cota_legala],-1)&lt;&gt;[@cota_tva],"TVA GRESIT","")</f>
        <v/>
      </c>
      <c r="S1106">
        <f>IF([@data_scadentei]&lt;[@data_factura],"SCADENTA INAINTEA FACTURII","")</f>
        <v/>
      </c>
      <c r="T1106">
        <f>IF(NETWORKDAYS.INTL([@data_factura],[@data_factura],1,tbl_SarbatoriLegale[data])=0,"ZI NELUCRATOARE","")</f>
        <v/>
      </c>
      <c r="U1106">
        <f>IF([@motiv_anomalie]="","OK","DE INVESTIGAT")</f>
        <v/>
      </c>
      <c r="V1106">
        <f>TEXTJOIN("; ",TRUE,[@flag_oras],[@flag_tva],[@flag_scadenta],[@flag_zi])</f>
        <v/>
      </c>
    </row>
    <row r="1107">
      <c r="A1107" t="inlineStr">
        <is>
          <t>F-2025-01106</t>
        </is>
      </c>
      <c r="B1107" s="12" t="n">
        <v>46090</v>
      </c>
      <c r="C1107" t="inlineStr">
        <is>
          <t>SC AROMET TRADING SRL</t>
        </is>
      </c>
      <c r="D1107" t="inlineStr">
        <is>
          <t>Alba</t>
        </is>
      </c>
      <c r="E1107" t="inlineStr">
        <is>
          <t>PRD-009</t>
        </is>
      </c>
      <c r="F1107" t="inlineStr">
        <is>
          <t>Monitor 27" 4K</t>
        </is>
      </c>
      <c r="G1107" t="inlineStr">
        <is>
          <t>Hardware IT</t>
        </is>
      </c>
      <c r="H1107" t="n">
        <v>50</v>
      </c>
      <c r="I1107" t="n">
        <v>29.22</v>
      </c>
      <c r="J1107" t="n">
        <v>1461</v>
      </c>
      <c r="K1107" s="13" t="n">
        <v>0.19</v>
      </c>
      <c r="L1107" t="n">
        <v>277.59</v>
      </c>
      <c r="M1107" t="n">
        <v>1738.59</v>
      </c>
      <c r="N1107" t="inlineStr">
        <is>
          <t>RON</t>
        </is>
      </c>
      <c r="O1107" t="inlineStr">
        <is>
          <t>Alba Iulia</t>
        </is>
      </c>
      <c r="P1107" s="12" t="n">
        <v>46150</v>
      </c>
      <c r="Q1107">
        <f>IF(COUNTIF(tbl_Localitati[oras_oficial],[@oras])=0,"ORAS NEALINIAT",IF(XLOOKUP([@oras],tbl_Localitati[oras_oficial],tbl_Localitati[judet],"?")&lt;&gt;[@judet],"JUDET NECORESPUNZATOR",""))</f>
        <v/>
      </c>
      <c r="R1107">
        <f>IF(XLOOKUP([@categorie],tbl_RegulriTVA[categorie],tbl_RegulriTVA[cota_legala],-1)&lt;&gt;[@cota_tva],"TVA GRESIT","")</f>
        <v/>
      </c>
      <c r="S1107">
        <f>IF([@data_scadentei]&lt;[@data_factura],"SCADENTA INAINTEA FACTURII","")</f>
        <v/>
      </c>
      <c r="T1107">
        <f>IF(NETWORKDAYS.INTL([@data_factura],[@data_factura],1,tbl_SarbatoriLegale[data])=0,"ZI NELUCRATOARE","")</f>
        <v/>
      </c>
      <c r="U1107">
        <f>IF([@motiv_anomalie]="","OK","DE INVESTIGAT")</f>
        <v/>
      </c>
      <c r="V1107">
        <f>TEXTJOIN("; ",TRUE,[@flag_oras],[@flag_tva],[@flag_scadenta],[@flag_zi])</f>
        <v/>
      </c>
    </row>
    <row r="1108">
      <c r="A1108" t="inlineStr">
        <is>
          <t>F-2025-01107</t>
        </is>
      </c>
      <c r="B1108" s="12" t="n">
        <v>46204</v>
      </c>
      <c r="C1108" t="inlineStr">
        <is>
          <t>SC INTEGROMED SA</t>
        </is>
      </c>
      <c r="D1108" t="inlineStr">
        <is>
          <t>Cluj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 IT</t>
        </is>
      </c>
      <c r="H1108" t="n">
        <v>5</v>
      </c>
      <c r="I1108" t="n">
        <v>1093.3</v>
      </c>
      <c r="J1108" t="n">
        <v>5466.5</v>
      </c>
      <c r="K1108" s="13" t="n">
        <v>0.19</v>
      </c>
      <c r="L1108" t="n">
        <v>1038.63</v>
      </c>
      <c r="M1108" t="n">
        <v>6505.13</v>
      </c>
      <c r="N1108" t="inlineStr">
        <is>
          <t>RON</t>
        </is>
      </c>
      <c r="O1108" t="inlineStr">
        <is>
          <t>Cluj-Napoca</t>
        </is>
      </c>
      <c r="P1108" s="12" t="n">
        <v>46219</v>
      </c>
      <c r="Q1108">
        <f>IF(COUNTIF(tbl_Localitati[oras_oficial],[@oras])=0,"ORAS NEALINIAT",IF(XLOOKUP([@oras],tbl_Localitati[oras_oficial],tbl_Localitati[judet],"?")&lt;&gt;[@judet],"JUDET NECORESPUNZATOR",""))</f>
        <v/>
      </c>
      <c r="R1108">
        <f>IF(XLOOKUP([@categorie],tbl_RegulriTVA[categorie],tbl_RegulriTVA[cota_legala],-1)&lt;&gt;[@cota_tva],"TVA GRESIT","")</f>
        <v/>
      </c>
      <c r="S1108">
        <f>IF([@data_scadentei]&lt;[@data_factura],"SCADENTA INAINTEA FACTURII","")</f>
        <v/>
      </c>
      <c r="T1108">
        <f>IF(NETWORKDAYS.INTL([@data_factura],[@data_factura],1,tbl_SarbatoriLegale[data])=0,"ZI NELUCRATOARE","")</f>
        <v/>
      </c>
      <c r="U1108">
        <f>IF([@motiv_anomalie]="","OK","DE INVESTIGAT")</f>
        <v/>
      </c>
      <c r="V1108">
        <f>TEXTJOIN("; ",TRUE,[@flag_oras],[@flag_tva],[@flag_scadenta],[@flag_zi])</f>
        <v/>
      </c>
    </row>
    <row r="1109">
      <c r="A1109" t="inlineStr">
        <is>
          <t>F-2025-01108</t>
        </is>
      </c>
      <c r="B1109" s="12" t="n">
        <v>46203</v>
      </c>
      <c r="C1109" t="inlineStr">
        <is>
          <t>SC AROMET TRADING SRL</t>
        </is>
      </c>
      <c r="D1109" t="inlineStr">
        <is>
          <t>Alba</t>
        </is>
      </c>
      <c r="E1109" t="inlineStr">
        <is>
          <t>PRD-004</t>
        </is>
      </c>
      <c r="F1109" t="inlineStr">
        <is>
          <t>Videoproiector sala</t>
        </is>
      </c>
      <c r="G1109" t="inlineStr">
        <is>
          <t>Echipamente birou</t>
        </is>
      </c>
      <c r="H1109" t="n">
        <v>2</v>
      </c>
      <c r="I1109" t="n">
        <v>937.84</v>
      </c>
      <c r="J1109" t="n">
        <v>1875.68</v>
      </c>
      <c r="K1109" s="13" t="n">
        <v>0.19</v>
      </c>
      <c r="L1109" t="n">
        <v>356.38</v>
      </c>
      <c r="M1109" t="n">
        <v>2232.06</v>
      </c>
      <c r="N1109" t="inlineStr">
        <is>
          <t>RON</t>
        </is>
      </c>
      <c r="O1109" t="inlineStr">
        <is>
          <t>Alba Iulia</t>
        </is>
      </c>
      <c r="P1109" s="12" t="n">
        <v>46233</v>
      </c>
      <c r="Q1109">
        <f>IF(COUNTIF(tbl_Localitati[oras_oficial],[@oras])=0,"ORAS NEALINIAT",IF(XLOOKUP([@oras],tbl_Localitati[oras_oficial],tbl_Localitati[judet],"?")&lt;&gt;[@judet],"JUDET NECORESPUNZATOR",""))</f>
        <v/>
      </c>
      <c r="R1109">
        <f>IF(XLOOKUP([@categorie],tbl_RegulriTVA[categorie],tbl_RegulriTVA[cota_legala],-1)&lt;&gt;[@cota_tva],"TVA GRESIT","")</f>
        <v/>
      </c>
      <c r="S1109">
        <f>IF([@data_scadentei]&lt;[@data_factura],"SCADENTA INAINTEA FACTURII","")</f>
        <v/>
      </c>
      <c r="T1109">
        <f>IF(NETWORKDAYS.INTL([@data_factura],[@data_factura],1,tbl_SarbatoriLegale[data])=0,"ZI NELUCRATOARE","")</f>
        <v/>
      </c>
      <c r="U1109">
        <f>IF([@motiv_anomalie]="","OK","DE INVESTIGAT")</f>
        <v/>
      </c>
      <c r="V1109">
        <f>TEXTJOIN("; ",TRUE,[@flag_oras],[@flag_tva],[@flag_scadenta],[@flag_zi])</f>
        <v/>
      </c>
    </row>
    <row r="1110">
      <c r="A1110" t="inlineStr">
        <is>
          <t>F-2025-01109</t>
        </is>
      </c>
      <c r="B1110" s="12" t="n">
        <v>46265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Server rack 1U</t>
        </is>
      </c>
      <c r="G1110" t="inlineStr">
        <is>
          <t>Hardware IT</t>
        </is>
      </c>
      <c r="H1110" t="n">
        <v>5</v>
      </c>
      <c r="I1110" t="n">
        <v>1075.94</v>
      </c>
      <c r="J1110" t="n">
        <v>5379.7</v>
      </c>
      <c r="K1110" s="13" t="n">
        <v>0.19</v>
      </c>
      <c r="L1110" t="n">
        <v>1022.14</v>
      </c>
      <c r="M1110" t="n">
        <v>6401.84</v>
      </c>
      <c r="N1110" t="inlineStr">
        <is>
          <t>RON</t>
        </is>
      </c>
      <c r="O1110" t="inlineStr">
        <is>
          <t>Sibiu</t>
        </is>
      </c>
      <c r="P1110" s="12" t="n">
        <v>46310</v>
      </c>
      <c r="Q1110">
        <f>IF(COUNTIF(tbl_Localitati[oras_oficial],[@oras])=0,"ORAS NEALINIAT",IF(XLOOKUP([@oras],tbl_Localitati[oras_oficial],tbl_Localitati[judet],"?")&lt;&gt;[@judet],"JUDET NECORESPUNZATOR",""))</f>
        <v/>
      </c>
      <c r="R1110">
        <f>IF(XLOOKUP([@categorie],tbl_RegulriTVA[categorie],tbl_RegulriTVA[cota_legala],-1)&lt;&gt;[@cota_tva],"TVA GRESIT","")</f>
        <v/>
      </c>
      <c r="S1110">
        <f>IF([@data_scadentei]&lt;[@data_factura],"SCADENTA INAINTEA FACTURII","")</f>
        <v/>
      </c>
      <c r="T1110">
        <f>IF(NETWORKDAYS.INTL([@data_factura],[@data_factura],1,tbl_SarbatoriLegale[data])=0,"ZI NELUCRATOARE","")</f>
        <v/>
      </c>
      <c r="U1110">
        <f>IF([@motiv_anomalie]="","OK","DE INVESTIGAT")</f>
        <v/>
      </c>
      <c r="V1110">
        <f>TEXTJOIN("; ",TRUE,[@flag_oras],[@flag_tva],[@flag_scadenta],[@flag_zi])</f>
        <v/>
      </c>
    </row>
    <row r="1111">
      <c r="A1111" t="inlineStr">
        <is>
          <t>F-2025-01110</t>
        </is>
      </c>
      <c r="B1111" s="12" t="n">
        <v>46164</v>
      </c>
      <c r="C1111" t="inlineStr">
        <is>
          <t>SC ELECTROBUILD SRL</t>
        </is>
      </c>
      <c r="D1111" t="inlineStr">
        <is>
          <t>Bacău</t>
        </is>
      </c>
      <c r="E1111" t="inlineStr">
        <is>
          <t>PRD-005</t>
        </is>
      </c>
      <c r="F1111" t="inlineStr">
        <is>
          <t>Monitor 27" 4K</t>
        </is>
      </c>
      <c r="G1111" t="inlineStr">
        <is>
          <t>Hardware IT</t>
        </is>
      </c>
      <c r="H1111" t="n">
        <v>2</v>
      </c>
      <c r="I1111" t="n">
        <v>247.17</v>
      </c>
      <c r="J1111" t="n">
        <v>494.34</v>
      </c>
      <c r="K1111" s="13" t="n">
        <v>0.19</v>
      </c>
      <c r="L1111" t="n">
        <v>93.92</v>
      </c>
      <c r="M1111" t="n">
        <v>588.26</v>
      </c>
      <c r="N1111" t="inlineStr">
        <is>
          <t>RON</t>
        </is>
      </c>
      <c r="O1111" t="inlineStr">
        <is>
          <t>Bacău</t>
        </is>
      </c>
      <c r="P1111" s="12" t="n">
        <v>46194</v>
      </c>
      <c r="Q1111">
        <f>IF(COUNTIF(tbl_Localitati[oras_oficial],[@oras])=0,"ORAS NEALINIAT",IF(XLOOKUP([@oras],tbl_Localitati[oras_oficial],tbl_Localitati[judet],"?")&lt;&gt;[@judet],"JUDET NECORESPUNZATOR",""))</f>
        <v/>
      </c>
      <c r="R1111">
        <f>IF(XLOOKUP([@categorie],tbl_RegulriTVA[categorie],tbl_RegulriTVA[cota_legala],-1)&lt;&gt;[@cota_tva],"TVA GRESIT","")</f>
        <v/>
      </c>
      <c r="S1111">
        <f>IF([@data_scadentei]&lt;[@data_factura],"SCADENTA INAINTEA FACTURII","")</f>
        <v/>
      </c>
      <c r="T1111">
        <f>IF(NETWORKDAYS.INTL([@data_factura],[@data_factura],1,tbl_SarbatoriLegale[data])=0,"ZI NELUCRATOARE","")</f>
        <v/>
      </c>
      <c r="U1111">
        <f>IF([@motiv_anomalie]="","OK","DE INVESTIGAT")</f>
        <v/>
      </c>
      <c r="V1111">
        <f>TEXTJOIN("; ",TRUE,[@flag_oras],[@flag_tva],[@flag_scadenta],[@flag_zi])</f>
        <v/>
      </c>
    </row>
    <row r="1112">
      <c r="A1112" t="inlineStr">
        <is>
          <t>F-2025-01111</t>
        </is>
      </c>
      <c r="B1112" s="12" t="n">
        <v>46195</v>
      </c>
      <c r="C1112" t="inlineStr">
        <is>
          <t>SC METALPLAST INVEST SA</t>
        </is>
      </c>
      <c r="D1112" t="inlineStr">
        <is>
          <t>Cluj</t>
        </is>
      </c>
      <c r="E1112" t="inlineStr">
        <is>
          <t>PRD-006</t>
        </is>
      </c>
      <c r="F1112" t="inlineStr">
        <is>
          <t>Monitor 27" 4K</t>
        </is>
      </c>
      <c r="G1112" t="inlineStr">
        <is>
          <t>Hardware IT</t>
        </is>
      </c>
      <c r="H1112" t="n">
        <v>10</v>
      </c>
      <c r="I1112" t="n">
        <v>764.73</v>
      </c>
      <c r="J1112" t="n">
        <v>7647.3</v>
      </c>
      <c r="K1112" s="13" t="n">
        <v>0.19</v>
      </c>
      <c r="L1112" t="n">
        <v>1452.99</v>
      </c>
      <c r="M1112" t="n">
        <v>9100.290000000001</v>
      </c>
      <c r="N1112" t="inlineStr">
        <is>
          <t>RON</t>
        </is>
      </c>
      <c r="O1112" t="inlineStr">
        <is>
          <t>Turda</t>
        </is>
      </c>
      <c r="P1112" s="12" t="n">
        <v>46210</v>
      </c>
      <c r="Q1112">
        <f>IF(COUNTIF(tbl_Localitati[oras_oficial],[@oras])=0,"ORAS NEALINIAT",IF(XLOOKUP([@oras],tbl_Localitati[oras_oficial],tbl_Localitati[judet],"?")&lt;&gt;[@judet],"JUDET NECORESPUNZATOR",""))</f>
        <v/>
      </c>
      <c r="R1112">
        <f>IF(XLOOKUP([@categorie],tbl_RegulriTVA[categorie],tbl_RegulriTVA[cota_legala],-1)&lt;&gt;[@cota_tva],"TVA GRESIT","")</f>
        <v/>
      </c>
      <c r="S1112">
        <f>IF([@data_scadentei]&lt;[@data_factura],"SCADENTA INAINTEA FACTURII","")</f>
        <v/>
      </c>
      <c r="T1112">
        <f>IF(NETWORKDAYS.INTL([@data_factura],[@data_factura],1,tbl_SarbatoriLegale[data])=0,"ZI NELUCRATOARE","")</f>
        <v/>
      </c>
      <c r="U1112">
        <f>IF([@motiv_anomalie]="","OK","DE INVESTIGAT")</f>
        <v/>
      </c>
      <c r="V1112">
        <f>TEXTJOIN("; ",TRUE,[@flag_oras],[@flag_tva],[@flag_scadenta],[@flag_zi])</f>
        <v/>
      </c>
    </row>
    <row r="1113">
      <c r="A1113" t="inlineStr">
        <is>
          <t>F-2025-01112</t>
        </is>
      </c>
      <c r="B1113" s="12" t="n">
        <v>46202</v>
      </c>
      <c r="C1113" t="inlineStr">
        <is>
          <t>SC AROMET TRADING SRL</t>
        </is>
      </c>
      <c r="D1113" t="inlineStr">
        <is>
          <t>Alba</t>
        </is>
      </c>
      <c r="E1113" t="inlineStr">
        <is>
          <t>PRD-003</t>
        </is>
      </c>
      <c r="F1113" t="inlineStr">
        <is>
          <t>Tocator documente</t>
        </is>
      </c>
      <c r="G1113" t="inlineStr">
        <is>
          <t>Echipamente birou</t>
        </is>
      </c>
      <c r="H1113" t="n">
        <v>1</v>
      </c>
      <c r="I1113" t="n">
        <v>4313.77</v>
      </c>
      <c r="J1113" t="n">
        <v>4313.77</v>
      </c>
      <c r="K1113" s="13" t="n">
        <v>0.19</v>
      </c>
      <c r="L1113" t="n">
        <v>819.62</v>
      </c>
      <c r="M1113" t="n">
        <v>5133.39</v>
      </c>
      <c r="N1113" t="inlineStr">
        <is>
          <t>RON</t>
        </is>
      </c>
      <c r="O1113" t="inlineStr">
        <is>
          <t>Alba Iulia</t>
        </is>
      </c>
      <c r="P1113" s="12" t="n">
        <v>46232</v>
      </c>
      <c r="Q1113">
        <f>IF(COUNTIF(tbl_Localitati[oras_oficial],[@oras])=0,"ORAS NEALINIAT",IF(XLOOKUP([@oras],tbl_Localitati[oras_oficial],tbl_Localitati[judet],"?")&lt;&gt;[@judet],"JUDET NECORESPUNZATOR",""))</f>
        <v/>
      </c>
      <c r="R1113">
        <f>IF(XLOOKUP([@categorie],tbl_RegulriTVA[categorie],tbl_RegulriTVA[cota_legala],-1)&lt;&gt;[@cota_tva],"TVA GRESIT","")</f>
        <v/>
      </c>
      <c r="S1113">
        <f>IF([@data_scadentei]&lt;[@data_factura],"SCADENTA INAINTEA FACTURII","")</f>
        <v/>
      </c>
      <c r="T1113">
        <f>IF(NETWORKDAYS.INTL([@data_factura],[@data_factura],1,tbl_SarbatoriLegale[data])=0,"ZI NELUCRATOARE","")</f>
        <v/>
      </c>
      <c r="U1113">
        <f>IF([@motiv_anomalie]="","OK","DE INVESTIGAT")</f>
        <v/>
      </c>
      <c r="V1113">
        <f>TEXTJOIN("; ",TRUE,[@flag_oras],[@flag_tva],[@flag_scadenta],[@flag_zi])</f>
        <v/>
      </c>
    </row>
    <row r="1114">
      <c r="A1114" t="inlineStr">
        <is>
          <t>F-2025-01113</t>
        </is>
      </c>
      <c r="B1114" s="12" t="n">
        <v>46237</v>
      </c>
      <c r="C1114" t="inlineStr">
        <is>
          <t>SC ELECTROBUILD SRL</t>
        </is>
      </c>
      <c r="D1114" t="inlineStr">
        <is>
          <t>Bacău</t>
        </is>
      </c>
      <c r="E1114" t="inlineStr">
        <is>
          <t>PRD-010</t>
        </is>
      </c>
      <c r="F1114" t="inlineStr">
        <is>
          <t>Licenta antivirus enterprise</t>
        </is>
      </c>
      <c r="G1114" t="inlineStr">
        <is>
          <t>Licențe software</t>
        </is>
      </c>
      <c r="H1114" t="n">
        <v>20</v>
      </c>
      <c r="I1114" t="n">
        <v>358.21</v>
      </c>
      <c r="J1114" t="n">
        <v>7164.2</v>
      </c>
      <c r="K1114" s="13" t="n">
        <v>0.19</v>
      </c>
      <c r="L1114" t="n">
        <v>1361.2</v>
      </c>
      <c r="M1114" t="n">
        <v>8525.4</v>
      </c>
      <c r="N1114" t="inlineStr">
        <is>
          <t>RON</t>
        </is>
      </c>
      <c r="O1114" t="inlineStr">
        <is>
          <t>Bacău</t>
        </is>
      </c>
      <c r="P1114" s="12" t="n">
        <v>46252</v>
      </c>
      <c r="Q1114">
        <f>IF(COUNTIF(tbl_Localitati[oras_oficial],[@oras])=0,"ORAS NEALINIAT",IF(XLOOKUP([@oras],tbl_Localitati[oras_oficial],tbl_Localitati[judet],"?")&lt;&gt;[@judet],"JUDET NECORESPUNZATOR",""))</f>
        <v/>
      </c>
      <c r="R1114">
        <f>IF(XLOOKUP([@categorie],tbl_RegulriTVA[categorie],tbl_RegulriTVA[cota_legala],-1)&lt;&gt;[@cota_tva],"TVA GRESIT","")</f>
        <v/>
      </c>
      <c r="S1114">
        <f>IF([@data_scadentei]&lt;[@data_factura],"SCADENTA INAINTEA FACTURII","")</f>
        <v/>
      </c>
      <c r="T1114">
        <f>IF(NETWORKDAYS.INTL([@data_factura],[@data_factura],1,tbl_SarbatoriLegale[data])=0,"ZI NELUCRATOARE","")</f>
        <v/>
      </c>
      <c r="U1114">
        <f>IF([@motiv_anomalie]="","OK","DE INVESTIGAT")</f>
        <v/>
      </c>
      <c r="V1114">
        <f>TEXTJOIN("; ",TRUE,[@flag_oras],[@flag_tva],[@flag_scadenta],[@flag_zi])</f>
        <v/>
      </c>
    </row>
    <row r="1115">
      <c r="A1115" t="inlineStr">
        <is>
          <t>F-2025-01114</t>
        </is>
      </c>
      <c r="B1115" s="12" t="n">
        <v>46283</v>
      </c>
      <c r="C1115" t="inlineStr">
        <is>
          <t>SC DACTECH SOLUTIONS SRL</t>
        </is>
      </c>
      <c r="D1115" t="inlineStr">
        <is>
          <t>Argeș</t>
        </is>
      </c>
      <c r="E1115" t="inlineStr">
        <is>
          <t>PRD-001</t>
        </is>
      </c>
      <c r="F1115" t="inlineStr">
        <is>
          <t>Manual proceduri interne</t>
        </is>
      </c>
      <c r="G1115" t="inlineStr">
        <is>
          <t>Cărți și manuale</t>
        </is>
      </c>
      <c r="H1115" t="n">
        <v>1</v>
      </c>
      <c r="I1115" t="n">
        <v>2320.36</v>
      </c>
      <c r="J1115" t="n">
        <v>2320.36</v>
      </c>
      <c r="K1115" s="13" t="n">
        <v>0.05</v>
      </c>
      <c r="L1115" t="n">
        <v>116.02</v>
      </c>
      <c r="M1115" t="n">
        <v>2436.38</v>
      </c>
      <c r="N1115" t="inlineStr">
        <is>
          <t>RON</t>
        </is>
      </c>
      <c r="O1115" t="inlineStr">
        <is>
          <t>Pitești</t>
        </is>
      </c>
      <c r="P1115" s="12" t="n">
        <v>46343</v>
      </c>
      <c r="Q1115">
        <f>IF(COUNTIF(tbl_Localitati[oras_oficial],[@oras])=0,"ORAS NEALINIAT",IF(XLOOKUP([@oras],tbl_Localitati[oras_oficial],tbl_Localitati[judet],"?")&lt;&gt;[@judet],"JUDET NECORESPUNZATOR",""))</f>
        <v/>
      </c>
      <c r="R1115">
        <f>IF(XLOOKUP([@categorie],tbl_RegulriTVA[categorie],tbl_RegulriTVA[cota_legala],-1)&lt;&gt;[@cota_tva],"TVA GRESIT","")</f>
        <v/>
      </c>
      <c r="S1115">
        <f>IF([@data_scadentei]&lt;[@data_factura],"SCADENTA INAINTEA FACTURII","")</f>
        <v/>
      </c>
      <c r="T1115">
        <f>IF(NETWORKDAYS.INTL([@data_factura],[@data_factura],1,tbl_SarbatoriLegale[data])=0,"ZI NELUCRATOARE","")</f>
        <v/>
      </c>
      <c r="U1115">
        <f>IF([@motiv_anomalie]="","OK","DE INVESTIGAT")</f>
        <v/>
      </c>
      <c r="V1115">
        <f>TEXTJOIN("; ",TRUE,[@flag_oras],[@flag_tva],[@flag_scadenta],[@flag_zi])</f>
        <v/>
      </c>
    </row>
    <row r="1116">
      <c r="A1116" t="inlineStr">
        <is>
          <t>F-2025-01115</t>
        </is>
      </c>
      <c r="B1116" s="12" t="n">
        <v>46274</v>
      </c>
      <c r="C1116" t="inlineStr">
        <is>
          <t>SC DACTECH SOLUTIONS SRL</t>
        </is>
      </c>
      <c r="D1116" t="inlineStr">
        <is>
          <t>Argeș</t>
        </is>
      </c>
      <c r="E1116" t="inlineStr">
        <is>
          <t>PRD-002</t>
        </is>
      </c>
      <c r="F1116" t="inlineStr">
        <is>
          <t>Switch gigabit 24p</t>
        </is>
      </c>
      <c r="G1116" t="inlineStr">
        <is>
          <t>Hardware IT</t>
        </is>
      </c>
      <c r="H1116" t="n">
        <v>10</v>
      </c>
      <c r="I1116" t="n">
        <v>1084.91</v>
      </c>
      <c r="J1116" t="n">
        <v>10849.1</v>
      </c>
      <c r="K1116" s="13" t="n">
        <v>0.19</v>
      </c>
      <c r="L1116" t="n">
        <v>2061.33</v>
      </c>
      <c r="M1116" t="n">
        <v>12910.43</v>
      </c>
      <c r="N1116" t="inlineStr">
        <is>
          <t>RON</t>
        </is>
      </c>
      <c r="O1116" t="inlineStr">
        <is>
          <t>Pitești</t>
        </is>
      </c>
      <c r="P1116" s="12" t="n">
        <v>46304</v>
      </c>
      <c r="Q1116">
        <f>IF(COUNTIF(tbl_Localitati[oras_oficial],[@oras])=0,"ORAS NEALINIAT",IF(XLOOKUP([@oras],tbl_Localitati[oras_oficial],tbl_Localitati[judet],"?")&lt;&gt;[@judet],"JUDET NECORESPUNZATOR",""))</f>
        <v/>
      </c>
      <c r="R1116">
        <f>IF(XLOOKUP([@categorie],tbl_RegulriTVA[categorie],tbl_RegulriTVA[cota_legala],-1)&lt;&gt;[@cota_tva],"TVA GRESIT","")</f>
        <v/>
      </c>
      <c r="S1116">
        <f>IF([@data_scadentei]&lt;[@data_factura],"SCADENTA INAINTEA FACTURII","")</f>
        <v/>
      </c>
      <c r="T1116">
        <f>IF(NETWORKDAYS.INTL([@data_factura],[@data_factura],1,tbl_SarbatoriLegale[data])=0,"ZI NELUCRATOARE","")</f>
        <v/>
      </c>
      <c r="U1116">
        <f>IF([@motiv_anomalie]="","OK","DE INVESTIGAT")</f>
        <v/>
      </c>
      <c r="V1116">
        <f>TEXTJOIN("; ",TRUE,[@flag_oras],[@flag_tva],[@flag_scadenta],[@flag_zi])</f>
        <v/>
      </c>
    </row>
    <row r="1117">
      <c r="A1117" t="inlineStr">
        <is>
          <t>F-2025-01116</t>
        </is>
      </c>
      <c r="B1117" s="12" t="n">
        <v>46386</v>
      </c>
      <c r="C1117" t="inlineStr">
        <is>
          <t>SC DACTECH SOLUTIONS SRL</t>
        </is>
      </c>
      <c r="D1117" t="inlineStr">
        <is>
          <t>Argeș</t>
        </is>
      </c>
      <c r="E1117" t="inlineStr">
        <is>
          <t>PRD-005</t>
        </is>
      </c>
      <c r="F1117" t="inlineStr">
        <is>
          <t>Tocator documente</t>
        </is>
      </c>
      <c r="G1117" t="inlineStr">
        <is>
          <t>Echipamente birou</t>
        </is>
      </c>
      <c r="H1117" t="n">
        <v>1</v>
      </c>
      <c r="I1117" t="n">
        <v>241.43</v>
      </c>
      <c r="J1117" t="n">
        <v>241.43</v>
      </c>
      <c r="K1117" s="13" t="n">
        <v>0.19</v>
      </c>
      <c r="L1117" t="n">
        <v>45.87</v>
      </c>
      <c r="M1117" t="n">
        <v>287.3</v>
      </c>
      <c r="N1117" t="inlineStr">
        <is>
          <t>RON</t>
        </is>
      </c>
      <c r="O1117" t="inlineStr">
        <is>
          <t>Pitești</t>
        </is>
      </c>
      <c r="P1117" s="12" t="n">
        <v>46431</v>
      </c>
      <c r="Q1117">
        <f>IF(COUNTIF(tbl_Localitati[oras_oficial],[@oras])=0,"ORAS NEALINIAT",IF(XLOOKUP([@oras],tbl_Localitati[oras_oficial],tbl_Localitati[judet],"?")&lt;&gt;[@judet],"JUDET NECORESPUNZATOR",""))</f>
        <v/>
      </c>
      <c r="R1117">
        <f>IF(XLOOKUP([@categorie],tbl_RegulriTVA[categorie],tbl_RegulriTVA[cota_legala],-1)&lt;&gt;[@cota_tva],"TVA GRESIT","")</f>
        <v/>
      </c>
      <c r="S1117">
        <f>IF([@data_scadentei]&lt;[@data_factura],"SCADENTA INAINTEA FACTURII","")</f>
        <v/>
      </c>
      <c r="T1117">
        <f>IF(NETWORKDAYS.INTL([@data_factura],[@data_factura],1,tbl_SarbatoriLegale[data])=0,"ZI NELUCRATOARE","")</f>
        <v/>
      </c>
      <c r="U1117">
        <f>IF([@motiv_anomalie]="","OK","DE INVESTIGAT")</f>
        <v/>
      </c>
      <c r="V1117">
        <f>TEXTJOIN("; ",TRUE,[@flag_oras],[@flag_tva],[@flag_scadenta],[@flag_zi])</f>
        <v/>
      </c>
    </row>
    <row r="1118">
      <c r="A1118" t="inlineStr">
        <is>
          <t>F-2025-01117</t>
        </is>
      </c>
      <c r="B1118" s="12" t="n">
        <v>46050</v>
      </c>
      <c r="C1118" t="inlineStr">
        <is>
          <t>SC FARMAVITAL DISTRIBUTIE SA</t>
        </is>
      </c>
      <c r="D1118" t="inlineStr">
        <is>
          <t>Bihor</t>
        </is>
      </c>
      <c r="E1118" t="inlineStr">
        <is>
          <t>PRD-002</t>
        </is>
      </c>
      <c r="F1118" t="inlineStr">
        <is>
          <t>Training utilizatori</t>
        </is>
      </c>
      <c r="G1118" t="inlineStr">
        <is>
          <t>Servicii consultanță</t>
        </is>
      </c>
      <c r="H1118" t="n">
        <v>1</v>
      </c>
      <c r="I1118" t="n">
        <v>1103.79</v>
      </c>
      <c r="J1118" t="n">
        <v>1103.79</v>
      </c>
      <c r="K1118" s="13" t="n">
        <v>0.19</v>
      </c>
      <c r="L1118" t="n">
        <v>209.72</v>
      </c>
      <c r="M1118" t="n">
        <v>1313.51</v>
      </c>
      <c r="N1118" t="inlineStr">
        <is>
          <t>RON</t>
        </is>
      </c>
      <c r="O1118" t="inlineStr">
        <is>
          <t>Oradea</t>
        </is>
      </c>
      <c r="P1118" s="12" t="n">
        <v>46080</v>
      </c>
      <c r="Q1118">
        <f>IF(COUNTIF(tbl_Localitati[oras_oficial],[@oras])=0,"ORAS NEALINIAT",IF(XLOOKUP([@oras],tbl_Localitati[oras_oficial],tbl_Localitati[judet],"?")&lt;&gt;[@judet],"JUDET NECORESPUNZATOR",""))</f>
        <v/>
      </c>
      <c r="R1118">
        <f>IF(XLOOKUP([@categorie],tbl_RegulriTVA[categorie],tbl_RegulriTVA[cota_legala],-1)&lt;&gt;[@cota_tva],"TVA GRESIT","")</f>
        <v/>
      </c>
      <c r="S1118">
        <f>IF([@data_scadentei]&lt;[@data_factura],"SCADENTA INAINTEA FACTURII","")</f>
        <v/>
      </c>
      <c r="T1118">
        <f>IF(NETWORKDAYS.INTL([@data_factura],[@data_factura],1,tbl_SarbatoriLegale[data])=0,"ZI NELUCRATOARE","")</f>
        <v/>
      </c>
      <c r="U1118">
        <f>IF([@motiv_anomalie]="","OK","DE INVESTIGAT")</f>
        <v/>
      </c>
      <c r="V1118">
        <f>TEXTJOIN("; ",TRUE,[@flag_oras],[@flag_tva],[@flag_scadenta],[@flag_zi])</f>
        <v/>
      </c>
    </row>
    <row r="1119">
      <c r="A1119" t="inlineStr">
        <is>
          <t>F-2025-01118</t>
        </is>
      </c>
      <c r="B1119" s="12" t="n">
        <v>46280</v>
      </c>
      <c r="C1119" t="inlineStr">
        <is>
          <t>SC ZENITH AUTO SRL</t>
        </is>
      </c>
      <c r="D1119" t="inlineStr">
        <is>
          <t>București</t>
        </is>
      </c>
      <c r="E1119" t="inlineStr">
        <is>
          <t>PRD-002</t>
        </is>
      </c>
      <c r="F1119" t="inlineStr">
        <is>
          <t>Audit infrastructura</t>
        </is>
      </c>
      <c r="G1119" t="inlineStr">
        <is>
          <t>Servicii consultanță</t>
        </is>
      </c>
      <c r="H1119" t="n">
        <v>1</v>
      </c>
      <c r="I1119" t="n">
        <v>1084.22</v>
      </c>
      <c r="J1119" t="n">
        <v>1084.22</v>
      </c>
      <c r="K1119" s="13" t="n">
        <v>0.19</v>
      </c>
      <c r="L1119" t="n">
        <v>206</v>
      </c>
      <c r="M1119" t="n">
        <v>1290.22</v>
      </c>
      <c r="N1119" t="inlineStr">
        <is>
          <t>RON</t>
        </is>
      </c>
      <c r="O1119" t="inlineStr">
        <is>
          <t>București</t>
        </is>
      </c>
      <c r="P1119" s="12" t="n">
        <v>46310</v>
      </c>
      <c r="Q1119">
        <f>IF(COUNTIF(tbl_Localitati[oras_oficial],[@oras])=0,"ORAS NEALINIAT",IF(XLOOKUP([@oras],tbl_Localitati[oras_oficial],tbl_Localitati[judet],"?")&lt;&gt;[@judet],"JUDET NECORESPUNZATOR",""))</f>
        <v/>
      </c>
      <c r="R1119">
        <f>IF(XLOOKUP([@categorie],tbl_RegulriTVA[categorie],tbl_RegulriTVA[cota_legala],-1)&lt;&gt;[@cota_tva],"TVA GRESIT","")</f>
        <v/>
      </c>
      <c r="S1119">
        <f>IF([@data_scadentei]&lt;[@data_factura],"SCADENTA INAINTEA FACTURII","")</f>
        <v/>
      </c>
      <c r="T1119">
        <f>IF(NETWORKDAYS.INTL([@data_factura],[@data_factura],1,tbl_SarbatoriLegale[data])=0,"ZI NELUCRATOARE","")</f>
        <v/>
      </c>
      <c r="U1119">
        <f>IF([@motiv_anomalie]="","OK","DE INVESTIGAT")</f>
        <v/>
      </c>
      <c r="V1119">
        <f>TEXTJOIN("; ",TRUE,[@flag_oras],[@flag_tva],[@flag_scadenta],[@flag_zi])</f>
        <v/>
      </c>
    </row>
    <row r="1120">
      <c r="A1120" t="inlineStr">
        <is>
          <t>F-2025-01119</t>
        </is>
      </c>
      <c r="B1120" s="12" t="n">
        <v>46139</v>
      </c>
      <c r="C1120" t="inlineStr">
        <is>
          <t>SC NORDIS DISTRIBUTIE SRL</t>
        </is>
      </c>
      <c r="D1120" t="inlineStr">
        <is>
          <t>Constanța</t>
        </is>
      </c>
      <c r="E1120" t="inlineStr">
        <is>
          <t>PRD-007</t>
        </is>
      </c>
      <c r="F1120" t="inlineStr">
        <is>
          <t>Telefon IP birou</t>
        </is>
      </c>
      <c r="G1120" t="inlineStr">
        <is>
          <t>Echipamente birou</t>
        </is>
      </c>
      <c r="H1120" t="n">
        <v>10</v>
      </c>
      <c r="I1120" t="n">
        <v>178.36</v>
      </c>
      <c r="J1120" t="n">
        <v>1783.6</v>
      </c>
      <c r="K1120" s="13" t="n">
        <v>0.19</v>
      </c>
      <c r="L1120" t="n">
        <v>338.88</v>
      </c>
      <c r="M1120" t="n">
        <v>2122.48</v>
      </c>
      <c r="N1120" t="inlineStr">
        <is>
          <t>RON</t>
        </is>
      </c>
      <c r="O1120" t="inlineStr">
        <is>
          <t>Mangalia</t>
        </is>
      </c>
      <c r="P1120" s="12" t="n">
        <v>46154</v>
      </c>
      <c r="Q1120">
        <f>IF(COUNTIF(tbl_Localitati[oras_oficial],[@oras])=0,"ORAS NEALINIAT",IF(XLOOKUP([@oras],tbl_Localitati[oras_oficial],tbl_Localitati[judet],"?")&lt;&gt;[@judet],"JUDET NECORESPUNZATOR",""))</f>
        <v/>
      </c>
      <c r="R1120">
        <f>IF(XLOOKUP([@categorie],tbl_RegulriTVA[categorie],tbl_RegulriTVA[cota_legala],-1)&lt;&gt;[@cota_tva],"TVA GRESIT","")</f>
        <v/>
      </c>
      <c r="S1120">
        <f>IF([@data_scadentei]&lt;[@data_factura],"SCADENTA INAINTEA FACTURII","")</f>
        <v/>
      </c>
      <c r="T1120">
        <f>IF(NETWORKDAYS.INTL([@data_factura],[@data_factura],1,tbl_SarbatoriLegale[data])=0,"ZI NELUCRATOARE","")</f>
        <v/>
      </c>
      <c r="U1120">
        <f>IF([@motiv_anomalie]="","OK","DE INVESTIGAT")</f>
        <v/>
      </c>
      <c r="V1120">
        <f>TEXTJOIN("; ",TRUE,[@flag_oras],[@flag_tva],[@flag_scadenta],[@flag_zi])</f>
        <v/>
      </c>
    </row>
    <row r="1121">
      <c r="A1121" t="inlineStr">
        <is>
          <t>F-2025-01120</t>
        </is>
      </c>
      <c r="B1121" s="12" t="n">
        <v>46041</v>
      </c>
      <c r="C1121" t="inlineStr">
        <is>
          <t>SC ZENITH AUTO SRL</t>
        </is>
      </c>
      <c r="D1121" t="inlineStr">
        <is>
          <t>București</t>
        </is>
      </c>
      <c r="E1121" t="inlineStr">
        <is>
          <t>PRD-002</t>
        </is>
      </c>
      <c r="F1121" t="inlineStr">
        <is>
          <t>Dezinfectant maini 5L</t>
        </is>
      </c>
      <c r="G1121" t="inlineStr">
        <is>
          <t>Produse farmaceutice</t>
        </is>
      </c>
      <c r="H1121" t="n">
        <v>3</v>
      </c>
      <c r="I1121" t="n">
        <v>1150.28</v>
      </c>
      <c r="J1121" t="n">
        <v>3450.84</v>
      </c>
      <c r="K1121" s="13" t="n">
        <v>0.09</v>
      </c>
      <c r="L1121" t="n">
        <v>310.58</v>
      </c>
      <c r="M1121" t="n">
        <v>3761.42</v>
      </c>
      <c r="N1121" t="inlineStr">
        <is>
          <t>RON</t>
        </is>
      </c>
      <c r="O1121" t="inlineStr">
        <is>
          <t>București</t>
        </is>
      </c>
      <c r="P1121" s="12" t="n">
        <v>46086</v>
      </c>
      <c r="Q1121">
        <f>IF(COUNTIF(tbl_Localitati[oras_oficial],[@oras])=0,"ORAS NEALINIAT",IF(XLOOKUP([@oras],tbl_Localitati[oras_oficial],tbl_Localitati[judet],"?")&lt;&gt;[@judet],"JUDET NECORESPUNZATOR",""))</f>
        <v/>
      </c>
      <c r="R1121">
        <f>IF(XLOOKUP([@categorie],tbl_RegulriTVA[categorie],tbl_RegulriTVA[cota_legala],-1)&lt;&gt;[@cota_tva],"TVA GRESIT","")</f>
        <v/>
      </c>
      <c r="S1121">
        <f>IF([@data_scadentei]&lt;[@data_factura],"SCADENTA INAINTEA FACTURII","")</f>
        <v/>
      </c>
      <c r="T1121">
        <f>IF(NETWORKDAYS.INTL([@data_factura],[@data_factura],1,tbl_SarbatoriLegale[data])=0,"ZI NELUCRATOARE","")</f>
        <v/>
      </c>
      <c r="U1121">
        <f>IF([@motiv_anomalie]="","OK","DE INVESTIGAT")</f>
        <v/>
      </c>
      <c r="V1121">
        <f>TEXTJOIN("; ",TRUE,[@flag_oras],[@flag_tva],[@flag_scadenta],[@flag_zi])</f>
        <v/>
      </c>
    </row>
    <row r="1122">
      <c r="A1122" t="inlineStr">
        <is>
          <t>F-2025-01121</t>
        </is>
      </c>
      <c r="B1122" s="12" t="n">
        <v>46378</v>
      </c>
      <c r="C1122" t="inlineStr">
        <is>
          <t>SC INTEGROMED SA</t>
        </is>
      </c>
      <c r="D1122" t="inlineStr">
        <is>
          <t>Cluj</t>
        </is>
      </c>
      <c r="E1122" t="inlineStr">
        <is>
          <t>PRD-006</t>
        </is>
      </c>
      <c r="F1122" t="inlineStr">
        <is>
          <t>Statie de lucru desktop</t>
        </is>
      </c>
      <c r="G1122" t="inlineStr">
        <is>
          <t>Hardware IT</t>
        </is>
      </c>
      <c r="H1122" t="n">
        <v>1</v>
      </c>
      <c r="I1122" t="n">
        <v>764.73</v>
      </c>
      <c r="J1122" t="n">
        <v>764.73</v>
      </c>
      <c r="K1122" s="13" t="n">
        <v>0.19</v>
      </c>
      <c r="L1122" t="n">
        <v>145.3</v>
      </c>
      <c r="M1122" t="n">
        <v>910.03</v>
      </c>
      <c r="N1122" t="inlineStr">
        <is>
          <t>RON</t>
        </is>
      </c>
      <c r="O1122" t="inlineStr">
        <is>
          <t>Cluj-Napoca</t>
        </is>
      </c>
      <c r="P1122" s="12" t="n">
        <v>46408</v>
      </c>
      <c r="Q1122">
        <f>IF(COUNTIF(tbl_Localitati[oras_oficial],[@oras])=0,"ORAS NEALINIAT",IF(XLOOKUP([@oras],tbl_Localitati[oras_oficial],tbl_Localitati[judet],"?")&lt;&gt;[@judet],"JUDET NECORESPUNZATOR",""))</f>
        <v/>
      </c>
      <c r="R1122">
        <f>IF(XLOOKUP([@categorie],tbl_RegulriTVA[categorie],tbl_RegulriTVA[cota_legala],-1)&lt;&gt;[@cota_tva],"TVA GRESIT","")</f>
        <v/>
      </c>
      <c r="S1122">
        <f>IF([@data_scadentei]&lt;[@data_factura],"SCADENTA INAINTEA FACTURII","")</f>
        <v/>
      </c>
      <c r="T1122">
        <f>IF(NETWORKDAYS.INTL([@data_factura],[@data_factura],1,tbl_SarbatoriLegale[data])=0,"ZI NELUCRATOARE","")</f>
        <v/>
      </c>
      <c r="U1122">
        <f>IF([@motiv_anomalie]="","OK","DE INVESTIGAT")</f>
        <v/>
      </c>
      <c r="V1122">
        <f>TEXTJOIN("; ",TRUE,[@flag_oras],[@flag_tva],[@flag_scadenta],[@flag_zi])</f>
        <v/>
      </c>
    </row>
    <row r="1123">
      <c r="A1123" t="inlineStr">
        <is>
          <t>F-2025-01122</t>
        </is>
      </c>
      <c r="B1123" s="12" t="n">
        <v>46386</v>
      </c>
      <c r="C1123" t="inlineStr">
        <is>
          <t>SC AROMET TRADING SRL</t>
        </is>
      </c>
      <c r="D1123" t="inlineStr">
        <is>
          <t>Alba</t>
        </is>
      </c>
      <c r="E1123" t="inlineStr">
        <is>
          <t>PRD-004</t>
        </is>
      </c>
      <c r="F1123" t="inlineStr">
        <is>
          <t>Statie de lucru desktop</t>
        </is>
      </c>
      <c r="G1123" t="inlineStr">
        <is>
          <t>Hardware IT</t>
        </is>
      </c>
      <c r="H1123" t="n">
        <v>3</v>
      </c>
      <c r="I1123" t="n">
        <v>932.9299999999999</v>
      </c>
      <c r="J1123" t="n">
        <v>2798.79</v>
      </c>
      <c r="K1123" s="13" t="n">
        <v>0.19</v>
      </c>
      <c r="L1123" t="n">
        <v>531.77</v>
      </c>
      <c r="M1123" t="n">
        <v>3330.56</v>
      </c>
      <c r="N1123" t="inlineStr">
        <is>
          <t>RON</t>
        </is>
      </c>
      <c r="O1123" t="inlineStr">
        <is>
          <t>Alba Iulia</t>
        </is>
      </c>
      <c r="P1123" s="12" t="n">
        <v>46416</v>
      </c>
      <c r="Q1123">
        <f>IF(COUNTIF(tbl_Localitati[oras_oficial],[@oras])=0,"ORAS NEALINIAT",IF(XLOOKUP([@oras],tbl_Localitati[oras_oficial],tbl_Localitati[judet],"?")&lt;&gt;[@judet],"JUDET NECORESPUNZATOR",""))</f>
        <v/>
      </c>
      <c r="R1123">
        <f>IF(XLOOKUP([@categorie],tbl_RegulriTVA[categorie],tbl_RegulriTVA[cota_legala],-1)&lt;&gt;[@cota_tva],"TVA GRESIT","")</f>
        <v/>
      </c>
      <c r="S1123">
        <f>IF([@data_scadentei]&lt;[@data_factura],"SCADENTA INAINTEA FACTURII","")</f>
        <v/>
      </c>
      <c r="T1123">
        <f>IF(NETWORKDAYS.INTL([@data_factura],[@data_factura],1,tbl_SarbatoriLegale[data])=0,"ZI NELUCRATOARE","")</f>
        <v/>
      </c>
      <c r="U1123">
        <f>IF([@motiv_anomalie]="","OK","DE INVESTIGAT")</f>
        <v/>
      </c>
      <c r="V1123">
        <f>TEXTJOIN("; ",TRUE,[@flag_oras],[@flag_tva],[@flag_scadenta],[@flag_zi])</f>
        <v/>
      </c>
    </row>
    <row r="1124">
      <c r="A1124" t="inlineStr">
        <is>
          <t>F-2025-01123</t>
        </is>
      </c>
      <c r="B1124" s="12" t="n">
        <v>46043</v>
      </c>
      <c r="C1124" t="inlineStr">
        <is>
          <t>SC AROMET TRADING SRL</t>
        </is>
      </c>
      <c r="D1124" t="inlineStr">
        <is>
          <t>Alba</t>
        </is>
      </c>
      <c r="E1124" t="inlineStr">
        <is>
          <t>PRD-005</t>
        </is>
      </c>
      <c r="F1124" t="inlineStr">
        <is>
          <t>Laptop business 15"</t>
        </is>
      </c>
      <c r="G1124" t="inlineStr">
        <is>
          <t>Hardware IT</t>
        </is>
      </c>
      <c r="H1124" t="n">
        <v>1</v>
      </c>
      <c r="I1124" t="n">
        <v>242.16</v>
      </c>
      <c r="J1124" t="n">
        <v>242.16</v>
      </c>
      <c r="K1124" s="13" t="n">
        <v>0.19</v>
      </c>
      <c r="L1124" t="n">
        <v>46.01</v>
      </c>
      <c r="M1124" t="n">
        <v>288.17</v>
      </c>
      <c r="N1124" t="inlineStr">
        <is>
          <t>RON</t>
        </is>
      </c>
      <c r="O1124" t="inlineStr">
        <is>
          <t>Alba Iulia</t>
        </is>
      </c>
      <c r="P1124" s="12" t="n">
        <v>46073</v>
      </c>
      <c r="Q1124">
        <f>IF(COUNTIF(tbl_Localitati[oras_oficial],[@oras])=0,"ORAS NEALINIAT",IF(XLOOKUP([@oras],tbl_Localitati[oras_oficial],tbl_Localitati[judet],"?")&lt;&gt;[@judet],"JUDET NECORESPUNZATOR",""))</f>
        <v/>
      </c>
      <c r="R1124">
        <f>IF(XLOOKUP([@categorie],tbl_RegulriTVA[categorie],tbl_RegulriTVA[cota_legala],-1)&lt;&gt;[@cota_tva],"TVA GRESIT","")</f>
        <v/>
      </c>
      <c r="S1124">
        <f>IF([@data_scadentei]&lt;[@data_factura],"SCADENTA INAINTEA FACTURII","")</f>
        <v/>
      </c>
      <c r="T1124">
        <f>IF(NETWORKDAYS.INTL([@data_factura],[@data_factura],1,tbl_SarbatoriLegale[data])=0,"ZI NELUCRATOARE","")</f>
        <v/>
      </c>
      <c r="U1124">
        <f>IF([@motiv_anomalie]="","OK","DE INVESTIGAT")</f>
        <v/>
      </c>
      <c r="V1124">
        <f>TEXTJOIN("; ",TRUE,[@flag_oras],[@flag_tva],[@flag_scadenta],[@flag_zi])</f>
        <v/>
      </c>
    </row>
    <row r="1125">
      <c r="A1125" t="inlineStr">
        <is>
          <t>F-2025-01124</t>
        </is>
      </c>
      <c r="B1125" s="12" t="n">
        <v>46190</v>
      </c>
      <c r="C1125" t="inlineStr">
        <is>
          <t>SC UNIFOOD DISTRIBUTION SA</t>
        </is>
      </c>
      <c r="D1125" t="inlineStr">
        <is>
          <t>Sibiu</t>
        </is>
      </c>
      <c r="E1125" t="inlineStr">
        <is>
          <t>PRD-001</t>
        </is>
      </c>
      <c r="F1125" t="inlineStr">
        <is>
          <t>Dezinfectant maini 5L</t>
        </is>
      </c>
      <c r="G1125" t="inlineStr">
        <is>
          <t>Produse farmaceutice</t>
        </is>
      </c>
      <c r="H1125" t="n">
        <v>2</v>
      </c>
      <c r="I1125" t="n">
        <v>2435.08</v>
      </c>
      <c r="J1125" t="n">
        <v>4870.16</v>
      </c>
      <c r="K1125" s="13" t="n">
        <v>0.09</v>
      </c>
      <c r="L1125" t="n">
        <v>438.31</v>
      </c>
      <c r="M1125" t="n">
        <v>5308.47</v>
      </c>
      <c r="N1125" t="inlineStr">
        <is>
          <t>RON</t>
        </is>
      </c>
      <c r="O1125" t="inlineStr">
        <is>
          <t>Mediaș</t>
        </is>
      </c>
      <c r="P1125" s="12" t="n">
        <v>46220</v>
      </c>
      <c r="Q1125">
        <f>IF(COUNTIF(tbl_Localitati[oras_oficial],[@oras])=0,"ORAS NEALINIAT",IF(XLOOKUP([@oras],tbl_Localitati[oras_oficial],tbl_Localitati[judet],"?")&lt;&gt;[@judet],"JUDET NECORESPUNZATOR",""))</f>
        <v/>
      </c>
      <c r="R1125">
        <f>IF(XLOOKUP([@categorie],tbl_RegulriTVA[categorie],tbl_RegulriTVA[cota_legala],-1)&lt;&gt;[@cota_tva],"TVA GRESIT","")</f>
        <v/>
      </c>
      <c r="S1125">
        <f>IF([@data_scadentei]&lt;[@data_factura],"SCADENTA INAINTEA FACTURII","")</f>
        <v/>
      </c>
      <c r="T1125">
        <f>IF(NETWORKDAYS.INTL([@data_factura],[@data_factura],1,tbl_SarbatoriLegale[data])=0,"ZI NELUCRATOARE","")</f>
        <v/>
      </c>
      <c r="U1125">
        <f>IF([@motiv_anomalie]="","OK","DE INVESTIGAT")</f>
        <v/>
      </c>
      <c r="V1125">
        <f>TEXTJOIN("; ",TRUE,[@flag_oras],[@flag_tva],[@flag_scadenta],[@flag_zi])</f>
        <v/>
      </c>
    </row>
    <row r="1126">
      <c r="A1126" t="inlineStr">
        <is>
          <t>F-2025-01125</t>
        </is>
      </c>
      <c r="B1126" s="12" t="n">
        <v>46121</v>
      </c>
      <c r="C1126" t="inlineStr">
        <is>
          <t>SC INTEGROMED SA</t>
        </is>
      </c>
      <c r="D1126" t="inlineStr">
        <is>
          <t>Cluj</t>
        </is>
      </c>
      <c r="E1126" t="inlineStr">
        <is>
          <t>PRD-008</t>
        </is>
      </c>
      <c r="F1126" t="inlineStr">
        <is>
          <t>Consultanta implementare IT</t>
        </is>
      </c>
      <c r="G1126" t="inlineStr">
        <is>
          <t>Servicii consultanță</t>
        </is>
      </c>
      <c r="H1126" t="n">
        <v>1</v>
      </c>
      <c r="I1126" t="n">
        <v>461.41</v>
      </c>
      <c r="J1126" t="n">
        <v>461.41</v>
      </c>
      <c r="K1126" s="13" t="n">
        <v>0.19</v>
      </c>
      <c r="L1126" t="n">
        <v>87.67</v>
      </c>
      <c r="M1126" t="n">
        <v>549.08</v>
      </c>
      <c r="N1126" t="inlineStr">
        <is>
          <t>RON</t>
        </is>
      </c>
      <c r="O1126" t="inlineStr">
        <is>
          <t>Cluj-Napoca</t>
        </is>
      </c>
      <c r="P1126" s="12" t="n">
        <v>46151</v>
      </c>
      <c r="Q1126">
        <f>IF(COUNTIF(tbl_Localitati[oras_oficial],[@oras])=0,"ORAS NEALINIAT",IF(XLOOKUP([@oras],tbl_Localitati[oras_oficial],tbl_Localitati[judet],"?")&lt;&gt;[@judet],"JUDET NECORESPUNZATOR",""))</f>
        <v/>
      </c>
      <c r="R1126">
        <f>IF(XLOOKUP([@categorie],tbl_RegulriTVA[categorie],tbl_RegulriTVA[cota_legala],-1)&lt;&gt;[@cota_tva],"TVA GRESIT","")</f>
        <v/>
      </c>
      <c r="S1126">
        <f>IF([@data_scadentei]&lt;[@data_factura],"SCADENTA INAINTEA FACTURII","")</f>
        <v/>
      </c>
      <c r="T1126">
        <f>IF(NETWORKDAYS.INTL([@data_factura],[@data_factura],1,tbl_SarbatoriLegale[data])=0,"ZI NELUCRATOARE","")</f>
        <v/>
      </c>
      <c r="U1126">
        <f>IF([@motiv_anomalie]="","OK","DE INVESTIGAT")</f>
        <v/>
      </c>
      <c r="V1126">
        <f>TEXTJOIN("; ",TRUE,[@flag_oras],[@flag_tva],[@flag_scadenta],[@flag_zi])</f>
        <v/>
      </c>
    </row>
    <row r="1127">
      <c r="A1127" t="inlineStr">
        <is>
          <t>F-2025-01126</t>
        </is>
      </c>
      <c r="B1127" s="12" t="n">
        <v>46171</v>
      </c>
      <c r="C1127" t="inlineStr">
        <is>
          <t>SC OMEGA SOFT SRL</t>
        </is>
      </c>
      <c r="D1127" t="inlineStr">
        <is>
          <t>Dolj</t>
        </is>
      </c>
      <c r="E1127" t="inlineStr">
        <is>
          <t>PRD-011</t>
        </is>
      </c>
      <c r="F1127" t="inlineStr">
        <is>
          <t>Server rack 1U</t>
        </is>
      </c>
      <c r="G1127" t="inlineStr">
        <is>
          <t>Hardware IT</t>
        </is>
      </c>
      <c r="H1127" t="n">
        <v>5</v>
      </c>
      <c r="I1127" t="n">
        <v>45.24</v>
      </c>
      <c r="J1127" t="n">
        <v>226.2</v>
      </c>
      <c r="K1127" s="13" t="n">
        <v>0.19</v>
      </c>
      <c r="L1127" t="n">
        <v>42.98</v>
      </c>
      <c r="M1127" t="n">
        <v>269.18</v>
      </c>
      <c r="N1127" t="inlineStr">
        <is>
          <t>RON</t>
        </is>
      </c>
      <c r="O1127" t="inlineStr">
        <is>
          <t>Craiova</t>
        </is>
      </c>
      <c r="P1127" s="12" t="n">
        <v>46216</v>
      </c>
      <c r="Q1127">
        <f>IF(COUNTIF(tbl_Localitati[oras_oficial],[@oras])=0,"ORAS NEALINIAT",IF(XLOOKUP([@oras],tbl_Localitati[oras_oficial],tbl_Localitati[judet],"?")&lt;&gt;[@judet],"JUDET NECORESPUNZATOR",""))</f>
        <v/>
      </c>
      <c r="R1127">
        <f>IF(XLOOKUP([@categorie],tbl_RegulriTVA[categorie],tbl_RegulriTVA[cota_legala],-1)&lt;&gt;[@cota_tva],"TVA GRESIT","")</f>
        <v/>
      </c>
      <c r="S1127">
        <f>IF([@data_scadentei]&lt;[@data_factura],"SCADENTA INAINTEA FACTURII","")</f>
        <v/>
      </c>
      <c r="T1127">
        <f>IF(NETWORKDAYS.INTL([@data_factura],[@data_factura],1,tbl_SarbatoriLegale[data])=0,"ZI NELUCRATOARE","")</f>
        <v/>
      </c>
      <c r="U1127">
        <f>IF([@motiv_anomalie]="","OK","DE INVESTIGAT")</f>
        <v/>
      </c>
      <c r="V1127">
        <f>TEXTJOIN("; ",TRUE,[@flag_oras],[@flag_tva],[@flag_scadenta],[@flag_zi])</f>
        <v/>
      </c>
    </row>
    <row r="1128">
      <c r="A1128" t="inlineStr">
        <is>
          <t>F-2025-01127</t>
        </is>
      </c>
      <c r="B1128" s="12" t="n">
        <v>46149</v>
      </c>
      <c r="C1128" t="inlineStr">
        <is>
          <t>SC DACTECH SOLUTIONS SRL</t>
        </is>
      </c>
      <c r="D1128" t="inlineStr">
        <is>
          <t>Argeș</t>
        </is>
      </c>
      <c r="E1128" t="inlineStr">
        <is>
          <t>PRD-006</t>
        </is>
      </c>
      <c r="F1128" t="inlineStr">
        <is>
          <t>Training utilizatori</t>
        </is>
      </c>
      <c r="G1128" t="inlineStr">
        <is>
          <t>Servicii consultanță</t>
        </is>
      </c>
      <c r="H1128" t="n">
        <v>25</v>
      </c>
      <c r="I1128" t="n">
        <v>778.79</v>
      </c>
      <c r="J1128" t="n">
        <v>19469.75</v>
      </c>
      <c r="K1128" s="13" t="n">
        <v>0.19</v>
      </c>
      <c r="L1128" t="n">
        <v>3699.25</v>
      </c>
      <c r="M1128" t="n">
        <v>23169</v>
      </c>
      <c r="N1128" t="inlineStr">
        <is>
          <t>RON</t>
        </is>
      </c>
      <c r="O1128" t="inlineStr">
        <is>
          <t>Pitești</t>
        </is>
      </c>
      <c r="P1128" s="12" t="n">
        <v>46179</v>
      </c>
      <c r="Q1128">
        <f>IF(COUNTIF(tbl_Localitati[oras_oficial],[@oras])=0,"ORAS NEALINIAT",IF(XLOOKUP([@oras],tbl_Localitati[oras_oficial],tbl_Localitati[judet],"?")&lt;&gt;[@judet],"JUDET NECORESPUNZATOR",""))</f>
        <v/>
      </c>
      <c r="R1128">
        <f>IF(XLOOKUP([@categorie],tbl_RegulriTVA[categorie],tbl_RegulriTVA[cota_legala],-1)&lt;&gt;[@cota_tva],"TVA GRESIT","")</f>
        <v/>
      </c>
      <c r="S1128">
        <f>IF([@data_scadentei]&lt;[@data_factura],"SCADENTA INAINTEA FACTURII","")</f>
        <v/>
      </c>
      <c r="T1128">
        <f>IF(NETWORKDAYS.INTL([@data_factura],[@data_factura],1,tbl_SarbatoriLegale[data])=0,"ZI NELUCRATOARE","")</f>
        <v/>
      </c>
      <c r="U1128">
        <f>IF([@motiv_anomalie]="","OK","DE INVESTIGAT")</f>
        <v/>
      </c>
      <c r="V1128">
        <f>TEXTJOIN("; ",TRUE,[@flag_oras],[@flag_tva],[@flag_scadenta],[@flag_zi])</f>
        <v/>
      </c>
    </row>
    <row r="1129">
      <c r="A1129" t="inlineStr">
        <is>
          <t>F-2025-01128</t>
        </is>
      </c>
      <c r="B1129" s="12" t="n">
        <v>46316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Switch gigabit 24p</t>
        </is>
      </c>
      <c r="G1129" t="inlineStr">
        <is>
          <t>Hardware IT</t>
        </is>
      </c>
      <c r="H1129" t="n">
        <v>1</v>
      </c>
      <c r="I1129" t="n">
        <v>250.46</v>
      </c>
      <c r="J1129" t="n">
        <v>250.46</v>
      </c>
      <c r="K1129" s="13" t="n">
        <v>0.19</v>
      </c>
      <c r="L1129" t="n">
        <v>47.59</v>
      </c>
      <c r="M1129" t="n">
        <v>298.05</v>
      </c>
      <c r="N1129" t="inlineStr">
        <is>
          <t>RON</t>
        </is>
      </c>
      <c r="O1129" t="inlineStr">
        <is>
          <t>Sibiu</t>
        </is>
      </c>
      <c r="P1129" s="12" t="n">
        <v>46376</v>
      </c>
      <c r="Q1129">
        <f>IF(COUNTIF(tbl_Localitati[oras_oficial],[@oras])=0,"ORAS NEALINIAT",IF(XLOOKUP([@oras],tbl_Localitati[oras_oficial],tbl_Localitati[judet],"?")&lt;&gt;[@judet],"JUDET NECORESPUNZATOR",""))</f>
        <v/>
      </c>
      <c r="R1129">
        <f>IF(XLOOKUP([@categorie],tbl_RegulriTVA[categorie],tbl_RegulriTVA[cota_legala],-1)&lt;&gt;[@cota_tva],"TVA GRESIT","")</f>
        <v/>
      </c>
      <c r="S1129">
        <f>IF([@data_scadentei]&lt;[@data_factura],"SCADENTA INAINTEA FACTURII","")</f>
        <v/>
      </c>
      <c r="T1129">
        <f>IF(NETWORKDAYS.INTL([@data_factura],[@data_factura],1,tbl_SarbatoriLegale[data])=0,"ZI NELUCRATOARE","")</f>
        <v/>
      </c>
      <c r="U1129">
        <f>IF([@motiv_anomalie]="","OK","DE INVESTIGAT")</f>
        <v/>
      </c>
      <c r="V1129">
        <f>TEXTJOIN("; ",TRUE,[@flag_oras],[@flag_tva],[@flag_scadenta],[@flag_zi])</f>
        <v/>
      </c>
    </row>
    <row r="1130">
      <c r="A1130" t="inlineStr">
        <is>
          <t>F-2025-01129</t>
        </is>
      </c>
      <c r="B1130" s="12" t="n">
        <v>46220</v>
      </c>
      <c r="C1130" t="inlineStr">
        <is>
          <t>SC METALPLAST INVEST SA</t>
        </is>
      </c>
      <c r="D1130" t="inlineStr">
        <is>
          <t>Cluj</t>
        </is>
      </c>
      <c r="E1130" t="inlineStr">
        <is>
          <t>PRD-008</t>
        </is>
      </c>
      <c r="F1130" t="inlineStr">
        <is>
          <t>Consultanta implementare IT</t>
        </is>
      </c>
      <c r="G1130" t="inlineStr">
        <is>
          <t>Servicii consultanță</t>
        </is>
      </c>
      <c r="H1130" t="n">
        <v>5</v>
      </c>
      <c r="I1130" t="n">
        <v>453.76</v>
      </c>
      <c r="J1130" t="n">
        <v>2268.8</v>
      </c>
      <c r="K1130" s="13" t="n">
        <v>0.19</v>
      </c>
      <c r="L1130" t="n">
        <v>431.07</v>
      </c>
      <c r="M1130" t="n">
        <v>2699.87</v>
      </c>
      <c r="N1130" t="inlineStr">
        <is>
          <t>RON</t>
        </is>
      </c>
      <c r="O1130" t="inlineStr">
        <is>
          <t>Turda</t>
        </is>
      </c>
      <c r="P1130" s="12" t="n">
        <v>46250</v>
      </c>
      <c r="Q1130">
        <f>IF(COUNTIF(tbl_Localitati[oras_oficial],[@oras])=0,"ORAS NEALINIAT",IF(XLOOKUP([@oras],tbl_Localitati[oras_oficial],tbl_Localitati[judet],"?")&lt;&gt;[@judet],"JUDET NECORESPUNZATOR",""))</f>
        <v/>
      </c>
      <c r="R1130">
        <f>IF(XLOOKUP([@categorie],tbl_RegulriTVA[categorie],tbl_RegulriTVA[cota_legala],-1)&lt;&gt;[@cota_tva],"TVA GRESIT","")</f>
        <v/>
      </c>
      <c r="S1130">
        <f>IF([@data_scadentei]&lt;[@data_factura],"SCADENTA INAINTEA FACTURII","")</f>
        <v/>
      </c>
      <c r="T1130">
        <f>IF(NETWORKDAYS.INTL([@data_factura],[@data_factura],1,tbl_SarbatoriLegale[data])=0,"ZI NELUCRATOARE","")</f>
        <v/>
      </c>
      <c r="U1130">
        <f>IF([@motiv_anomalie]="","OK","DE INVESTIGAT")</f>
        <v/>
      </c>
      <c r="V1130">
        <f>TEXTJOIN("; ",TRUE,[@flag_oras],[@flag_tva],[@flag_scadenta],[@flag_zi])</f>
        <v/>
      </c>
    </row>
    <row r="1131">
      <c r="A1131" t="inlineStr">
        <is>
          <t>F-2025-01130</t>
        </is>
      </c>
      <c r="B1131" s="12" t="n">
        <v>46083</v>
      </c>
      <c r="C1131" t="inlineStr">
        <is>
          <t>SC DACTECH SOLUTIONS SRL</t>
        </is>
      </c>
      <c r="D1131" t="inlineStr">
        <is>
          <t>Argeș</t>
        </is>
      </c>
      <c r="E1131" t="inlineStr">
        <is>
          <t>PRD-005</t>
        </is>
      </c>
      <c r="F1131" t="inlineStr">
        <is>
          <t>Multifunctionala laser</t>
        </is>
      </c>
      <c r="G1131" t="inlineStr">
        <is>
          <t>Echipamente birou</t>
        </is>
      </c>
      <c r="H1131" t="n">
        <v>2</v>
      </c>
      <c r="I1131" t="n">
        <v>246.87</v>
      </c>
      <c r="J1131" t="n">
        <v>493.74</v>
      </c>
      <c r="K1131" s="13" t="n">
        <v>0.19</v>
      </c>
      <c r="L1131" t="n">
        <v>93.81</v>
      </c>
      <c r="M1131" t="n">
        <v>587.55</v>
      </c>
      <c r="N1131" t="inlineStr">
        <is>
          <t>RON</t>
        </is>
      </c>
      <c r="O1131" t="inlineStr">
        <is>
          <t>Ploiesti Centru</t>
        </is>
      </c>
      <c r="P1131" s="12" t="n">
        <v>46113</v>
      </c>
      <c r="Q1131">
        <f>IF(COUNTIF(tbl_Localitati[oras_oficial],[@oras])=0,"ORAS NEALINIAT",IF(XLOOKUP([@oras],tbl_Localitati[oras_oficial],tbl_Localitati[judet],"?")&lt;&gt;[@judet],"JUDET NECORESPUNZATOR",""))</f>
        <v/>
      </c>
      <c r="R1131">
        <f>IF(XLOOKUP([@categorie],tbl_RegulriTVA[categorie],tbl_RegulriTVA[cota_legala],-1)&lt;&gt;[@cota_tva],"TVA GRESIT","")</f>
        <v/>
      </c>
      <c r="S1131">
        <f>IF([@data_scadentei]&lt;[@data_factura],"SCADENTA INAINTEA FACTURII","")</f>
        <v/>
      </c>
      <c r="T1131">
        <f>IF(NETWORKDAYS.INTL([@data_factura],[@data_factura],1,tbl_SarbatoriLegale[data])=0,"ZI NELUCRATOARE","")</f>
        <v/>
      </c>
      <c r="U1131">
        <f>IF([@motiv_anomalie]="","OK","DE INVESTIGAT")</f>
        <v/>
      </c>
      <c r="V1131">
        <f>TEXTJOIN("; ",TRUE,[@flag_oras],[@flag_tva],[@flag_scadenta],[@flag_zi])</f>
        <v/>
      </c>
    </row>
    <row r="1132">
      <c r="A1132" t="inlineStr">
        <is>
          <t>F-2025-01131</t>
        </is>
      </c>
      <c r="B1132" s="12" t="n">
        <v>46237</v>
      </c>
      <c r="C1132" t="inlineStr">
        <is>
          <t>SC DACTECH SOLUTIONS SRL</t>
        </is>
      </c>
      <c r="D1132" t="inlineStr">
        <is>
          <t>Argeș</t>
        </is>
      </c>
      <c r="E1132" t="inlineStr">
        <is>
          <t>PRD-010</t>
        </is>
      </c>
      <c r="F1132" t="inlineStr">
        <is>
          <t>Monitor 27" 4K</t>
        </is>
      </c>
      <c r="G1132" t="inlineStr">
        <is>
          <t>Hardware IT</t>
        </is>
      </c>
      <c r="H1132" t="n">
        <v>20</v>
      </c>
      <c r="I1132" t="n">
        <v>348.52</v>
      </c>
      <c r="J1132" t="n">
        <v>6970.4</v>
      </c>
      <c r="K1132" s="13" t="n">
        <v>0.19</v>
      </c>
      <c r="L1132" t="n">
        <v>1324.38</v>
      </c>
      <c r="M1132" t="n">
        <v>8294.780000000001</v>
      </c>
      <c r="N1132" t="inlineStr">
        <is>
          <t>RON</t>
        </is>
      </c>
      <c r="O1132" t="inlineStr">
        <is>
          <t>Pitești</t>
        </is>
      </c>
      <c r="P1132" s="12" t="n">
        <v>46252</v>
      </c>
      <c r="Q1132">
        <f>IF(COUNTIF(tbl_Localitati[oras_oficial],[@oras])=0,"ORAS NEALINIAT",IF(XLOOKUP([@oras],tbl_Localitati[oras_oficial],tbl_Localitati[judet],"?")&lt;&gt;[@judet],"JUDET NECORESPUNZATOR",""))</f>
        <v/>
      </c>
      <c r="R1132">
        <f>IF(XLOOKUP([@categorie],tbl_RegulriTVA[categorie],tbl_RegulriTVA[cota_legala],-1)&lt;&gt;[@cota_tva],"TVA GRESIT","")</f>
        <v/>
      </c>
      <c r="S1132">
        <f>IF([@data_scadentei]&lt;[@data_factura],"SCADENTA INAINTEA FACTURII","")</f>
        <v/>
      </c>
      <c r="T1132">
        <f>IF(NETWORKDAYS.INTL([@data_factura],[@data_factura],1,tbl_SarbatoriLegale[data])=0,"ZI NELUCRATOARE","")</f>
        <v/>
      </c>
      <c r="U1132">
        <f>IF([@motiv_anomalie]="","OK","DE INVESTIGAT")</f>
        <v/>
      </c>
      <c r="V1132">
        <f>TEXTJOIN("; ",TRUE,[@flag_oras],[@flag_tva],[@flag_scadenta],[@flag_zi])</f>
        <v/>
      </c>
    </row>
    <row r="1133">
      <c r="A1133" t="inlineStr">
        <is>
          <t>F-2025-01132</t>
        </is>
      </c>
      <c r="B1133" s="12" t="n">
        <v>46350</v>
      </c>
      <c r="C1133" t="inlineStr">
        <is>
          <t>SC METALPLAST INVEST SA</t>
        </is>
      </c>
      <c r="D1133" t="inlineStr">
        <is>
          <t>Cluj</t>
        </is>
      </c>
      <c r="E1133" t="inlineStr">
        <is>
          <t>PRD-009</t>
        </is>
      </c>
      <c r="F1133" t="inlineStr">
        <is>
          <t>Training utilizatori</t>
        </is>
      </c>
      <c r="G1133" t="inlineStr">
        <is>
          <t>Servicii consultanță</t>
        </is>
      </c>
      <c r="H1133" t="n">
        <v>10</v>
      </c>
      <c r="I1133" t="n">
        <v>28.36</v>
      </c>
      <c r="J1133" t="n">
        <v>283.6</v>
      </c>
      <c r="K1133" s="13" t="n">
        <v>0.19</v>
      </c>
      <c r="L1133" t="n">
        <v>53.88</v>
      </c>
      <c r="M1133" t="n">
        <v>337.48</v>
      </c>
      <c r="N1133" t="inlineStr">
        <is>
          <t>RON</t>
        </is>
      </c>
      <c r="O1133" t="inlineStr">
        <is>
          <t>Turda</t>
        </is>
      </c>
      <c r="P1133" s="12" t="n">
        <v>46380</v>
      </c>
      <c r="Q1133">
        <f>IF(COUNTIF(tbl_Localitati[oras_oficial],[@oras])=0,"ORAS NEALINIAT",IF(XLOOKUP([@oras],tbl_Localitati[oras_oficial],tbl_Localitati[judet],"?")&lt;&gt;[@judet],"JUDET NECORESPUNZATOR",""))</f>
        <v/>
      </c>
      <c r="R1133">
        <f>IF(XLOOKUP([@categorie],tbl_RegulriTVA[categorie],tbl_RegulriTVA[cota_legala],-1)&lt;&gt;[@cota_tva],"TVA GRESIT","")</f>
        <v/>
      </c>
      <c r="S1133">
        <f>IF([@data_scadentei]&lt;[@data_factura],"SCADENTA INAINTEA FACTURII","")</f>
        <v/>
      </c>
      <c r="T1133">
        <f>IF(NETWORKDAYS.INTL([@data_factura],[@data_factura],1,tbl_SarbatoriLegale[data])=0,"ZI NELUCRATOARE","")</f>
        <v/>
      </c>
      <c r="U1133">
        <f>IF([@motiv_anomalie]="","OK","DE INVESTIGAT")</f>
        <v/>
      </c>
      <c r="V1133">
        <f>TEXTJOIN("; ",TRUE,[@flag_oras],[@flag_tva],[@flag_scadenta],[@flag_zi])</f>
        <v/>
      </c>
    </row>
    <row r="1134">
      <c r="A1134" t="inlineStr">
        <is>
          <t>F-2025-01133</t>
        </is>
      </c>
      <c r="B1134" s="12" t="n">
        <v>46170</v>
      </c>
      <c r="C1134" t="inlineStr">
        <is>
          <t>SC DACTECH SOLUTIONS SRL</t>
        </is>
      </c>
      <c r="D1134" t="inlineStr">
        <is>
          <t>Argeș</t>
        </is>
      </c>
      <c r="E1134" t="inlineStr">
        <is>
          <t>PRD-005</t>
        </is>
      </c>
      <c r="F1134" t="inlineStr">
        <is>
          <t>Abonament suita cloud</t>
        </is>
      </c>
      <c r="G1134" t="inlineStr">
        <is>
          <t>Licențe software</t>
        </is>
      </c>
      <c r="H1134" t="n">
        <v>3</v>
      </c>
      <c r="I1134" t="n">
        <v>257.41</v>
      </c>
      <c r="J1134" t="n">
        <v>772.23</v>
      </c>
      <c r="K1134" s="13" t="n">
        <v>0.19</v>
      </c>
      <c r="L1134" t="n">
        <v>146.72</v>
      </c>
      <c r="M1134" t="n">
        <v>918.95</v>
      </c>
      <c r="N1134" t="inlineStr">
        <is>
          <t>RON</t>
        </is>
      </c>
      <c r="O1134" t="inlineStr">
        <is>
          <t>Pitești</t>
        </is>
      </c>
      <c r="P1134" s="12" t="n">
        <v>46230</v>
      </c>
      <c r="Q1134">
        <f>IF(COUNTIF(tbl_Localitati[oras_oficial],[@oras])=0,"ORAS NEALINIAT",IF(XLOOKUP([@oras],tbl_Localitati[oras_oficial],tbl_Localitati[judet],"?")&lt;&gt;[@judet],"JUDET NECORESPUNZATOR",""))</f>
        <v/>
      </c>
      <c r="R1134">
        <f>IF(XLOOKUP([@categorie],tbl_RegulriTVA[categorie],tbl_RegulriTVA[cota_legala],-1)&lt;&gt;[@cota_tva],"TVA GRESIT","")</f>
        <v/>
      </c>
      <c r="S1134">
        <f>IF([@data_scadentei]&lt;[@data_factura],"SCADENTA INAINTEA FACTURII","")</f>
        <v/>
      </c>
      <c r="T1134">
        <f>IF(NETWORKDAYS.INTL([@data_factura],[@data_factura],1,tbl_SarbatoriLegale[data])=0,"ZI NELUCRATOARE","")</f>
        <v/>
      </c>
      <c r="U1134">
        <f>IF([@motiv_anomalie]="","OK","DE INVESTIGAT")</f>
        <v/>
      </c>
      <c r="V1134">
        <f>TEXTJOIN("; ",TRUE,[@flag_oras],[@flag_tva],[@flag_scadenta],[@flag_zi])</f>
        <v/>
      </c>
    </row>
    <row r="1135">
      <c r="A1135" t="inlineStr">
        <is>
          <t>F-2025-01134</t>
        </is>
      </c>
      <c r="B1135" s="12" t="n">
        <v>46252</v>
      </c>
      <c r="C1135" t="inlineStr">
        <is>
          <t>SC ELECTROBUILD SRL</t>
        </is>
      </c>
      <c r="D1135" t="inlineStr">
        <is>
          <t>Bacău</t>
        </is>
      </c>
      <c r="E1135" t="inlineStr">
        <is>
          <t>PRD-007</t>
        </is>
      </c>
      <c r="F1135" t="inlineStr">
        <is>
          <t>Consultanta implementare IT</t>
        </is>
      </c>
      <c r="G1135" t="inlineStr">
        <is>
          <t>Servicii consultanță</t>
        </is>
      </c>
      <c r="H1135" t="n">
        <v>5</v>
      </c>
      <c r="I1135" t="n">
        <v>171.61</v>
      </c>
      <c r="J1135" t="n">
        <v>858.05</v>
      </c>
      <c r="K1135" s="13" t="n">
        <v>0.19</v>
      </c>
      <c r="L1135" t="n">
        <v>163.03</v>
      </c>
      <c r="M1135" t="n">
        <v>1021.08</v>
      </c>
      <c r="N1135" t="inlineStr">
        <is>
          <t>RON</t>
        </is>
      </c>
      <c r="O1135" t="inlineStr">
        <is>
          <t>Bacău</t>
        </is>
      </c>
      <c r="P1135" s="12" t="n">
        <v>46282</v>
      </c>
      <c r="Q1135">
        <f>IF(COUNTIF(tbl_Localitati[oras_oficial],[@oras])=0,"ORAS NEALINIAT",IF(XLOOKUP([@oras],tbl_Localitati[oras_oficial],tbl_Localitati[judet],"?")&lt;&gt;[@judet],"JUDET NECORESPUNZATOR",""))</f>
        <v/>
      </c>
      <c r="R1135">
        <f>IF(XLOOKUP([@categorie],tbl_RegulriTVA[categorie],tbl_RegulriTVA[cota_legala],-1)&lt;&gt;[@cota_tva],"TVA GRESIT","")</f>
        <v/>
      </c>
      <c r="S1135">
        <f>IF([@data_scadentei]&lt;[@data_factura],"SCADENTA INAINTEA FACTURII","")</f>
        <v/>
      </c>
      <c r="T1135">
        <f>IF(NETWORKDAYS.INTL([@data_factura],[@data_factura],1,tbl_SarbatoriLegale[data])=0,"ZI NELUCRATOARE","")</f>
        <v/>
      </c>
      <c r="U1135">
        <f>IF([@motiv_anomalie]="","OK","DE INVESTIGAT")</f>
        <v/>
      </c>
      <c r="V1135">
        <f>TEXTJOIN("; ",TRUE,[@flag_oras],[@flag_tva],[@flag_scadenta],[@flag_zi])</f>
        <v/>
      </c>
    </row>
    <row r="1136">
      <c r="A1136" t="inlineStr">
        <is>
          <t>F-2025-01135</t>
        </is>
      </c>
      <c r="B1136" s="12" t="n">
        <v>46129</v>
      </c>
      <c r="C1136" t="inlineStr">
        <is>
          <t>SC RAPID LOGISTIC SA</t>
        </is>
      </c>
      <c r="D1136" t="inlineStr">
        <is>
          <t>Prahova</t>
        </is>
      </c>
      <c r="E1136" t="inlineStr">
        <is>
          <t>PRD-005</t>
        </is>
      </c>
      <c r="F1136" t="inlineStr">
        <is>
          <t>Statie de lucru desktop</t>
        </is>
      </c>
      <c r="G1136" t="inlineStr">
        <is>
          <t>Hardware IT</t>
        </is>
      </c>
      <c r="H1136" t="n">
        <v>5</v>
      </c>
      <c r="I1136" t="n">
        <v>246.03</v>
      </c>
      <c r="J1136" t="n">
        <v>1230.15</v>
      </c>
      <c r="K1136" s="13" t="n">
        <v>0.19</v>
      </c>
      <c r="L1136" t="n">
        <v>233.73</v>
      </c>
      <c r="M1136" t="n">
        <v>1463.88</v>
      </c>
      <c r="N1136" t="inlineStr">
        <is>
          <t>RON</t>
        </is>
      </c>
      <c r="O1136" t="inlineStr">
        <is>
          <t>Ploiești</t>
        </is>
      </c>
      <c r="P1136" s="12" t="n">
        <v>46159</v>
      </c>
      <c r="Q1136">
        <f>IF(COUNTIF(tbl_Localitati[oras_oficial],[@oras])=0,"ORAS NEALINIAT",IF(XLOOKUP([@oras],tbl_Localitati[oras_oficial],tbl_Localitati[judet],"?")&lt;&gt;[@judet],"JUDET NECORESPUNZATOR",""))</f>
        <v/>
      </c>
      <c r="R1136">
        <f>IF(XLOOKUP([@categorie],tbl_RegulriTVA[categorie],tbl_RegulriTVA[cota_legala],-1)&lt;&gt;[@cota_tva],"TVA GRESIT","")</f>
        <v/>
      </c>
      <c r="S1136">
        <f>IF([@data_scadentei]&lt;[@data_factura],"SCADENTA INAINTEA FACTURII","")</f>
        <v/>
      </c>
      <c r="T1136">
        <f>IF(NETWORKDAYS.INTL([@data_factura],[@data_factura],1,tbl_SarbatoriLegale[data])=0,"ZI NELUCRATOARE","")</f>
        <v/>
      </c>
      <c r="U1136">
        <f>IF([@motiv_anomalie]="","OK","DE INVESTIGAT")</f>
        <v/>
      </c>
      <c r="V1136">
        <f>TEXTJOIN("; ",TRUE,[@flag_oras],[@flag_tva],[@flag_scadenta],[@flag_zi])</f>
        <v/>
      </c>
    </row>
    <row r="1137">
      <c r="A1137" t="inlineStr">
        <is>
          <t>F-2025-01136</t>
        </is>
      </c>
      <c r="B1137" s="12" t="n">
        <v>46252</v>
      </c>
      <c r="C1137" t="inlineStr">
        <is>
          <t>SC ELECTROBUILD SRL</t>
        </is>
      </c>
      <c r="D1137" t="inlineStr">
        <is>
          <t>Bacău</t>
        </is>
      </c>
      <c r="E1137" t="inlineStr">
        <is>
          <t>PRD-009</t>
        </is>
      </c>
      <c r="F1137" t="inlineStr">
        <is>
          <t>Ceai cutie 100buc</t>
        </is>
      </c>
      <c r="G1137" t="inlineStr">
        <is>
          <t>Alimente</t>
        </is>
      </c>
      <c r="H1137" t="n">
        <v>100</v>
      </c>
      <c r="I1137" t="n">
        <v>28.79</v>
      </c>
      <c r="J1137" t="n">
        <v>2879</v>
      </c>
      <c r="K1137" s="13" t="n">
        <v>0.09</v>
      </c>
      <c r="L1137" t="n">
        <v>259.11</v>
      </c>
      <c r="M1137" t="n">
        <v>3138.11</v>
      </c>
      <c r="N1137" t="inlineStr">
        <is>
          <t>RON</t>
        </is>
      </c>
      <c r="O1137" t="inlineStr">
        <is>
          <t>Bacău</t>
        </is>
      </c>
      <c r="P1137" s="12" t="n">
        <v>46312</v>
      </c>
      <c r="Q1137">
        <f>IF(COUNTIF(tbl_Localitati[oras_oficial],[@oras])=0,"ORAS NEALINIAT",IF(XLOOKUP([@oras],tbl_Localitati[oras_oficial],tbl_Localitati[judet],"?")&lt;&gt;[@judet],"JUDET NECORESPUNZATOR",""))</f>
        <v/>
      </c>
      <c r="R1137">
        <f>IF(XLOOKUP([@categorie],tbl_RegulriTVA[categorie],tbl_RegulriTVA[cota_legala],-1)&lt;&gt;[@cota_tva],"TVA GRESIT","")</f>
        <v/>
      </c>
      <c r="S1137">
        <f>IF([@data_scadentei]&lt;[@data_factura],"SCADENTA INAINTEA FACTURII","")</f>
        <v/>
      </c>
      <c r="T1137">
        <f>IF(NETWORKDAYS.INTL([@data_factura],[@data_factura],1,tbl_SarbatoriLegale[data])=0,"ZI NELUCRATOARE","")</f>
        <v/>
      </c>
      <c r="U1137">
        <f>IF([@motiv_anomalie]="","OK","DE INVESTIGAT")</f>
        <v/>
      </c>
      <c r="V1137">
        <f>TEXTJOIN("; ",TRUE,[@flag_oras],[@flag_tva],[@flag_scadenta],[@flag_zi])</f>
        <v/>
      </c>
    </row>
    <row r="1138">
      <c r="A1138" t="inlineStr">
        <is>
          <t>F-2025-01137</t>
        </is>
      </c>
      <c r="B1138" s="12" t="n">
        <v>46176</v>
      </c>
      <c r="C1138" t="inlineStr">
        <is>
          <t>SC INTEGROMED SA</t>
        </is>
      </c>
      <c r="D1138" t="inlineStr">
        <is>
          <t>Cluj</t>
        </is>
      </c>
      <c r="E1138" t="inlineStr">
        <is>
          <t>PRD-003</t>
        </is>
      </c>
      <c r="F1138" t="inlineStr">
        <is>
          <t>Statie de lucru desktop</t>
        </is>
      </c>
      <c r="G1138" t="inlineStr">
        <is>
          <t>Hardware IT</t>
        </is>
      </c>
      <c r="H1138" t="n">
        <v>3</v>
      </c>
      <c r="I1138" t="n">
        <v>4234.27</v>
      </c>
      <c r="J1138" t="n">
        <v>12702.81</v>
      </c>
      <c r="K1138" s="13" t="n">
        <v>0.19</v>
      </c>
      <c r="L1138" t="n">
        <v>2413.53</v>
      </c>
      <c r="M1138" t="n">
        <v>15116.34</v>
      </c>
      <c r="N1138" t="inlineStr">
        <is>
          <t>RON</t>
        </is>
      </c>
      <c r="O1138" t="inlineStr">
        <is>
          <t>Cluj-Napoca</t>
        </is>
      </c>
      <c r="P1138" s="12" t="n">
        <v>46169</v>
      </c>
      <c r="Q1138">
        <f>IF(COUNTIF(tbl_Localitati[oras_oficial],[@oras])=0,"ORAS NEALINIAT",IF(XLOOKUP([@oras],tbl_Localitati[oras_oficial],tbl_Localitati[judet],"?")&lt;&gt;[@judet],"JUDET NECORESPUNZATOR",""))</f>
        <v/>
      </c>
      <c r="R1138">
        <f>IF(XLOOKUP([@categorie],tbl_RegulriTVA[categorie],tbl_RegulriTVA[cota_legala],-1)&lt;&gt;[@cota_tva],"TVA GRESIT","")</f>
        <v/>
      </c>
      <c r="S1138">
        <f>IF([@data_scadentei]&lt;[@data_factura],"SCADENTA INAINTEA FACTURII","")</f>
        <v/>
      </c>
      <c r="T1138">
        <f>IF(NETWORKDAYS.INTL([@data_factura],[@data_factura],1,tbl_SarbatoriLegale[data])=0,"ZI NELUCRATOARE","")</f>
        <v/>
      </c>
      <c r="U1138">
        <f>IF([@motiv_anomalie]="","OK","DE INVESTIGAT")</f>
        <v/>
      </c>
      <c r="V1138">
        <f>TEXTJOIN("; ",TRUE,[@flag_oras],[@flag_tva],[@flag_scadenta],[@flag_zi])</f>
        <v/>
      </c>
    </row>
    <row r="1139">
      <c r="A1139" t="inlineStr">
        <is>
          <t>F-2025-01138</t>
        </is>
      </c>
      <c r="B1139" s="12" t="n">
        <v>46301</v>
      </c>
      <c r="C1139" t="inlineStr">
        <is>
          <t>SC AROMET TRADING SRL</t>
        </is>
      </c>
      <c r="D1139" t="inlineStr">
        <is>
          <t>Alba</t>
        </is>
      </c>
      <c r="E1139" t="inlineStr">
        <is>
          <t>PRD-007</t>
        </is>
      </c>
      <c r="F1139" t="inlineStr">
        <is>
          <t>Monitor 27" 4K</t>
        </is>
      </c>
      <c r="G1139" t="inlineStr">
        <is>
          <t>Hardware IT</t>
        </is>
      </c>
      <c r="H1139" t="n">
        <v>5</v>
      </c>
      <c r="I1139" t="n">
        <v>172.83</v>
      </c>
      <c r="J1139" t="n">
        <v>864.15</v>
      </c>
      <c r="K1139" s="13" t="n">
        <v>0.19</v>
      </c>
      <c r="L1139" t="n">
        <v>164.19</v>
      </c>
      <c r="M1139" t="n">
        <v>1028.34</v>
      </c>
      <c r="N1139" t="inlineStr">
        <is>
          <t>RON</t>
        </is>
      </c>
      <c r="O1139" t="inlineStr">
        <is>
          <t>Alba Iulia</t>
        </is>
      </c>
      <c r="P1139" s="12" t="n">
        <v>46331</v>
      </c>
      <c r="Q1139">
        <f>IF(COUNTIF(tbl_Localitati[oras_oficial],[@oras])=0,"ORAS NEALINIAT",IF(XLOOKUP([@oras],tbl_Localitati[oras_oficial],tbl_Localitati[judet],"?")&lt;&gt;[@judet],"JUDET NECORESPUNZATOR",""))</f>
        <v/>
      </c>
      <c r="R1139">
        <f>IF(XLOOKUP([@categorie],tbl_RegulriTVA[categorie],tbl_RegulriTVA[cota_legala],-1)&lt;&gt;[@cota_tva],"TVA GRESIT","")</f>
        <v/>
      </c>
      <c r="S1139">
        <f>IF([@data_scadentei]&lt;[@data_factura],"SCADENTA INAINTEA FACTURII","")</f>
        <v/>
      </c>
      <c r="T1139">
        <f>IF(NETWORKDAYS.INTL([@data_factura],[@data_factura],1,tbl_SarbatoriLegale[data])=0,"ZI NELUCRATOARE","")</f>
        <v/>
      </c>
      <c r="U1139">
        <f>IF([@motiv_anomalie]="","OK","DE INVESTIGAT")</f>
        <v/>
      </c>
      <c r="V1139">
        <f>TEXTJOIN("; ",TRUE,[@flag_oras],[@flag_tva],[@flag_scadenta],[@flag_zi])</f>
        <v/>
      </c>
    </row>
    <row r="1140">
      <c r="A1140" t="inlineStr">
        <is>
          <t>F-2025-01139</t>
        </is>
      </c>
      <c r="B1140" s="12" t="n">
        <v>46036</v>
      </c>
      <c r="C1140" t="inlineStr">
        <is>
          <t>SC INTEGROMED SA</t>
        </is>
      </c>
      <c r="D1140" t="inlineStr">
        <is>
          <t>Cluj</t>
        </is>
      </c>
      <c r="E1140" t="inlineStr">
        <is>
          <t>PRD-010</t>
        </is>
      </c>
      <c r="F1140" t="inlineStr">
        <is>
          <t>Licenta ERP contabilitate</t>
        </is>
      </c>
      <c r="G1140" t="inlineStr">
        <is>
          <t>Licențe software</t>
        </is>
      </c>
      <c r="H1140" t="n">
        <v>50</v>
      </c>
      <c r="I1140" t="n">
        <v>346.19</v>
      </c>
      <c r="J1140" t="n">
        <v>17309.5</v>
      </c>
      <c r="K1140" s="13" t="n">
        <v>0.19</v>
      </c>
      <c r="L1140" t="n">
        <v>3288.8</v>
      </c>
      <c r="M1140" t="n">
        <v>20598.3</v>
      </c>
      <c r="N1140" t="inlineStr">
        <is>
          <t>RON</t>
        </is>
      </c>
      <c r="O1140" t="inlineStr">
        <is>
          <t>Cluj-Napoca</t>
        </is>
      </c>
      <c r="P1140" s="12" t="n">
        <v>46066</v>
      </c>
      <c r="Q1140">
        <f>IF(COUNTIF(tbl_Localitati[oras_oficial],[@oras])=0,"ORAS NEALINIAT",IF(XLOOKUP([@oras],tbl_Localitati[oras_oficial],tbl_Localitati[judet],"?")&lt;&gt;[@judet],"JUDET NECORESPUNZATOR",""))</f>
        <v/>
      </c>
      <c r="R1140">
        <f>IF(XLOOKUP([@categorie],tbl_RegulriTVA[categorie],tbl_RegulriTVA[cota_legala],-1)&lt;&gt;[@cota_tva],"TVA GRESIT","")</f>
        <v/>
      </c>
      <c r="S1140">
        <f>IF([@data_scadentei]&lt;[@data_factura],"SCADENTA INAINTEA FACTURII","")</f>
        <v/>
      </c>
      <c r="T1140">
        <f>IF(NETWORKDAYS.INTL([@data_factura],[@data_factura],1,tbl_SarbatoriLegale[data])=0,"ZI NELUCRATOARE","")</f>
        <v/>
      </c>
      <c r="U1140">
        <f>IF([@motiv_anomalie]="","OK","DE INVESTIGAT")</f>
        <v/>
      </c>
      <c r="V1140">
        <f>TEXTJOIN("; ",TRUE,[@flag_oras],[@flag_tva],[@flag_scadenta],[@flag_zi])</f>
        <v/>
      </c>
    </row>
    <row r="1141">
      <c r="A1141" t="inlineStr">
        <is>
          <t>F-2025-01140</t>
        </is>
      </c>
      <c r="B1141" s="12" t="n">
        <v>46132</v>
      </c>
      <c r="C1141" t="inlineStr">
        <is>
          <t>SC AROMET TRADING SRL</t>
        </is>
      </c>
      <c r="D1141" t="inlineStr">
        <is>
          <t>Alba</t>
        </is>
      </c>
      <c r="E1141" t="inlineStr">
        <is>
          <t>PRD-009</t>
        </is>
      </c>
      <c r="F1141" t="inlineStr">
        <is>
          <t>Licenta Office 365 anuala</t>
        </is>
      </c>
      <c r="G1141" t="inlineStr">
        <is>
          <t>Licențe software</t>
        </is>
      </c>
      <c r="H1141" t="n">
        <v>50</v>
      </c>
      <c r="I1141" t="n">
        <v>27.08</v>
      </c>
      <c r="J1141" t="n">
        <v>1354</v>
      </c>
      <c r="K1141" s="13" t="n">
        <v>0.19</v>
      </c>
      <c r="L1141" t="n">
        <v>257.26</v>
      </c>
      <c r="M1141" t="n">
        <v>1611.26</v>
      </c>
      <c r="N1141" t="inlineStr">
        <is>
          <t>RON</t>
        </is>
      </c>
      <c r="O1141" t="inlineStr">
        <is>
          <t>Alba Iulia</t>
        </is>
      </c>
      <c r="P1141" s="12" t="n">
        <v>46162</v>
      </c>
      <c r="Q1141">
        <f>IF(COUNTIF(tbl_Localitati[oras_oficial],[@oras])=0,"ORAS NEALINIAT",IF(XLOOKUP([@oras],tbl_Localitati[oras_oficial],tbl_Localitati[judet],"?")&lt;&gt;[@judet],"JUDET NECORESPUNZATOR",""))</f>
        <v/>
      </c>
      <c r="R1141">
        <f>IF(XLOOKUP([@categorie],tbl_RegulriTVA[categorie],tbl_RegulriTVA[cota_legala],-1)&lt;&gt;[@cota_tva],"TVA GRESIT","")</f>
        <v/>
      </c>
      <c r="S1141">
        <f>IF([@data_scadentei]&lt;[@data_factura],"SCADENTA INAINTEA FACTURII","")</f>
        <v/>
      </c>
      <c r="T1141">
        <f>IF(NETWORKDAYS.INTL([@data_factura],[@data_factura],1,tbl_SarbatoriLegale[data])=0,"ZI NELUCRATOARE","")</f>
        <v/>
      </c>
      <c r="U1141">
        <f>IF([@motiv_anomalie]="","OK","DE INVESTIGAT")</f>
        <v/>
      </c>
      <c r="V1141">
        <f>TEXTJOIN("; ",TRUE,[@flag_oras],[@flag_tva],[@flag_scadenta],[@flag_zi])</f>
        <v/>
      </c>
    </row>
    <row r="1142">
      <c r="A1142" t="inlineStr">
        <is>
          <t>F-2025-01141</t>
        </is>
      </c>
      <c r="B1142" s="12" t="n">
        <v>46077</v>
      </c>
      <c r="C1142" t="inlineStr">
        <is>
          <t>SC INTEGROMED SA</t>
        </is>
      </c>
      <c r="D1142" t="inlineStr">
        <is>
          <t>Cluj</t>
        </is>
      </c>
      <c r="E1142" t="inlineStr">
        <is>
          <t>PRD-002</t>
        </is>
      </c>
      <c r="F1142" t="inlineStr">
        <is>
          <t>Server rack 1U</t>
        </is>
      </c>
      <c r="G1142" t="inlineStr">
        <is>
          <t>Hardware IT</t>
        </is>
      </c>
      <c r="H1142" t="n">
        <v>1</v>
      </c>
      <c r="I1142" t="n">
        <v>1119.25</v>
      </c>
      <c r="J1142" t="n">
        <v>1119.25</v>
      </c>
      <c r="K1142" s="13" t="n">
        <v>0.19</v>
      </c>
      <c r="L1142" t="n">
        <v>212.66</v>
      </c>
      <c r="M1142" t="n">
        <v>1331.91</v>
      </c>
      <c r="N1142" t="inlineStr">
        <is>
          <t>RON</t>
        </is>
      </c>
      <c r="O1142" t="inlineStr">
        <is>
          <t>Cluj-Napoca</t>
        </is>
      </c>
      <c r="P1142" s="12" t="n">
        <v>46107</v>
      </c>
      <c r="Q1142">
        <f>IF(COUNTIF(tbl_Localitati[oras_oficial],[@oras])=0,"ORAS NEALINIAT",IF(XLOOKUP([@oras],tbl_Localitati[oras_oficial],tbl_Localitati[judet],"?")&lt;&gt;[@judet],"JUDET NECORESPUNZATOR",""))</f>
        <v/>
      </c>
      <c r="R1142">
        <f>IF(XLOOKUP([@categorie],tbl_RegulriTVA[categorie],tbl_RegulriTVA[cota_legala],-1)&lt;&gt;[@cota_tva],"TVA GRESIT","")</f>
        <v/>
      </c>
      <c r="S1142">
        <f>IF([@data_scadentei]&lt;[@data_factura],"SCADENTA INAINTEA FACTURII","")</f>
        <v/>
      </c>
      <c r="T1142">
        <f>IF(NETWORKDAYS.INTL([@data_factura],[@data_factura],1,tbl_SarbatoriLegale[data])=0,"ZI NELUCRATOARE","")</f>
        <v/>
      </c>
      <c r="U1142">
        <f>IF([@motiv_anomalie]="","OK","DE INVESTIGAT")</f>
        <v/>
      </c>
      <c r="V1142">
        <f>TEXTJOIN("; ",TRUE,[@flag_oras],[@flag_tva],[@flag_scadenta],[@flag_zi])</f>
        <v/>
      </c>
    </row>
    <row r="1143">
      <c r="A1143" t="inlineStr">
        <is>
          <t>F-2025-01142</t>
        </is>
      </c>
      <c r="B1143" s="12" t="n">
        <v>46330</v>
      </c>
      <c r="C1143" t="inlineStr">
        <is>
          <t>SC AROMET TRADING SRL</t>
        </is>
      </c>
      <c r="D1143" t="inlineStr">
        <is>
          <t>Alba</t>
        </is>
      </c>
      <c r="E1143" t="inlineStr">
        <is>
          <t>PRD-001</t>
        </is>
      </c>
      <c r="F1143" t="inlineStr">
        <is>
          <t>Ghid legislatie GDPR</t>
        </is>
      </c>
      <c r="G1143" t="inlineStr">
        <is>
          <t>Cărți și manuale</t>
        </is>
      </c>
      <c r="H1143" t="n">
        <v>3</v>
      </c>
      <c r="I1143" t="n">
        <v>2464.11</v>
      </c>
      <c r="J1143" t="n">
        <v>7392.33</v>
      </c>
      <c r="K1143" s="13" t="n">
        <v>0.05</v>
      </c>
      <c r="L1143" t="n">
        <v>369.62</v>
      </c>
      <c r="M1143" t="n">
        <v>7761.95</v>
      </c>
      <c r="N1143" t="inlineStr">
        <is>
          <t>RON</t>
        </is>
      </c>
      <c r="O1143" t="inlineStr">
        <is>
          <t>Alba Iulia</t>
        </is>
      </c>
      <c r="P1143" s="12" t="n">
        <v>46360</v>
      </c>
      <c r="Q1143">
        <f>IF(COUNTIF(tbl_Localitati[oras_oficial],[@oras])=0,"ORAS NEALINIAT",IF(XLOOKUP([@oras],tbl_Localitati[oras_oficial],tbl_Localitati[judet],"?")&lt;&gt;[@judet],"JUDET NECORESPUNZATOR",""))</f>
        <v/>
      </c>
      <c r="R1143">
        <f>IF(XLOOKUP([@categorie],tbl_RegulriTVA[categorie],tbl_RegulriTVA[cota_legala],-1)&lt;&gt;[@cota_tva],"TVA GRESIT","")</f>
        <v/>
      </c>
      <c r="S1143">
        <f>IF([@data_scadentei]&lt;[@data_factura],"SCADENTA INAINTEA FACTURII","")</f>
        <v/>
      </c>
      <c r="T1143">
        <f>IF(NETWORKDAYS.INTL([@data_factura],[@data_factura],1,tbl_SarbatoriLegale[data])=0,"ZI NELUCRATOARE","")</f>
        <v/>
      </c>
      <c r="U1143">
        <f>IF([@motiv_anomalie]="","OK","DE INVESTIGAT")</f>
        <v/>
      </c>
      <c r="V1143">
        <f>TEXTJOIN("; ",TRUE,[@flag_oras],[@flag_tva],[@flag_scadenta],[@flag_zi])</f>
        <v/>
      </c>
    </row>
    <row r="1144">
      <c r="A1144" t="inlineStr">
        <is>
          <t>F-2025-01143</t>
        </is>
      </c>
      <c r="B1144" s="12" t="n">
        <v>46183</v>
      </c>
      <c r="C1144" t="inlineStr">
        <is>
          <t>SC INTEGROMED SA</t>
        </is>
      </c>
      <c r="D1144" t="inlineStr">
        <is>
          <t>Cluj</t>
        </is>
      </c>
      <c r="E1144" t="inlineStr">
        <is>
          <t>PRD-007</t>
        </is>
      </c>
      <c r="F1144" t="inlineStr">
        <is>
          <t>Trusa prim ajutor</t>
        </is>
      </c>
      <c r="G1144" t="inlineStr">
        <is>
          <t>Produse farmaceutice</t>
        </is>
      </c>
      <c r="H1144" t="n">
        <v>1</v>
      </c>
      <c r="I1144" t="n">
        <v>181.57</v>
      </c>
      <c r="J1144" t="n">
        <v>181.57</v>
      </c>
      <c r="K1144" s="13" t="n">
        <v>0.09</v>
      </c>
      <c r="L1144" t="n">
        <v>16.34</v>
      </c>
      <c r="M1144" t="n">
        <v>197.91</v>
      </c>
      <c r="N1144" t="inlineStr">
        <is>
          <t>RON</t>
        </is>
      </c>
      <c r="O1144" t="inlineStr">
        <is>
          <t>Cluj-Napoca</t>
        </is>
      </c>
      <c r="P1144" s="12" t="n">
        <v>46228</v>
      </c>
      <c r="Q1144">
        <f>IF(COUNTIF(tbl_Localitati[oras_oficial],[@oras])=0,"ORAS NEALINIAT",IF(XLOOKUP([@oras],tbl_Localitati[oras_oficial],tbl_Localitati[judet],"?")&lt;&gt;[@judet],"JUDET NECORESPUNZATOR",""))</f>
        <v/>
      </c>
      <c r="R1144">
        <f>IF(XLOOKUP([@categorie],tbl_RegulriTVA[categorie],tbl_RegulriTVA[cota_legala],-1)&lt;&gt;[@cota_tva],"TVA GRESIT","")</f>
        <v/>
      </c>
      <c r="S1144">
        <f>IF([@data_scadentei]&lt;[@data_factura],"SCADENTA INAINTEA FACTURII","")</f>
        <v/>
      </c>
      <c r="T1144">
        <f>IF(NETWORKDAYS.INTL([@data_factura],[@data_factura],1,tbl_SarbatoriLegale[data])=0,"ZI NELUCRATOARE","")</f>
        <v/>
      </c>
      <c r="U1144">
        <f>IF([@motiv_anomalie]="","OK","DE INVESTIGAT")</f>
        <v/>
      </c>
      <c r="V1144">
        <f>TEXTJOIN("; ",TRUE,[@flag_oras],[@flag_tva],[@flag_scadenta],[@flag_zi])</f>
        <v/>
      </c>
    </row>
    <row r="1145">
      <c r="A1145" t="inlineStr">
        <is>
          <t>F-2025-01144</t>
        </is>
      </c>
      <c r="B1145" s="12" t="n">
        <v>46192</v>
      </c>
      <c r="C1145" t="inlineStr">
        <is>
          <t>SC PROVITA MEDICAL SRL</t>
        </is>
      </c>
      <c r="D1145" t="inlineStr">
        <is>
          <t>Mureș</t>
        </is>
      </c>
      <c r="E1145" t="inlineStr">
        <is>
          <t>PRD-010</t>
        </is>
      </c>
      <c r="F1145" t="inlineStr">
        <is>
          <t>Server rack 1U</t>
        </is>
      </c>
      <c r="G1145" t="inlineStr">
        <is>
          <t>Hardware IT</t>
        </is>
      </c>
      <c r="H1145" t="n">
        <v>5</v>
      </c>
      <c r="I1145" t="n">
        <v>356.35</v>
      </c>
      <c r="J1145" t="n">
        <v>1781.75</v>
      </c>
      <c r="K1145" s="13" t="n">
        <v>0.19</v>
      </c>
      <c r="L1145" t="n">
        <v>338.53</v>
      </c>
      <c r="M1145" t="n">
        <v>2120.28</v>
      </c>
      <c r="N1145" t="inlineStr">
        <is>
          <t>RON</t>
        </is>
      </c>
      <c r="O1145" t="inlineStr">
        <is>
          <t>Târgu Mureș</t>
        </is>
      </c>
      <c r="P1145" s="12" t="n">
        <v>46222</v>
      </c>
      <c r="Q1145">
        <f>IF(COUNTIF(tbl_Localitati[oras_oficial],[@oras])=0,"ORAS NEALINIAT",IF(XLOOKUP([@oras],tbl_Localitati[oras_oficial],tbl_Localitati[judet],"?")&lt;&gt;[@judet],"JUDET NECORESPUNZATOR",""))</f>
        <v/>
      </c>
      <c r="R1145">
        <f>IF(XLOOKUP([@categorie],tbl_RegulriTVA[categorie],tbl_RegulriTVA[cota_legala],-1)&lt;&gt;[@cota_tva],"TVA GRESIT","")</f>
        <v/>
      </c>
      <c r="S1145">
        <f>IF([@data_scadentei]&lt;[@data_factura],"SCADENTA INAINTEA FACTURII","")</f>
        <v/>
      </c>
      <c r="T1145">
        <f>IF(NETWORKDAYS.INTL([@data_factura],[@data_factura],1,tbl_SarbatoriLegale[data])=0,"ZI NELUCRATOARE","")</f>
        <v/>
      </c>
      <c r="U1145">
        <f>IF([@motiv_anomalie]="","OK","DE INVESTIGAT")</f>
        <v/>
      </c>
      <c r="V1145">
        <f>TEXTJOIN("; ",TRUE,[@flag_oras],[@flag_tva],[@flag_scadenta],[@flag_zi])</f>
        <v/>
      </c>
    </row>
    <row r="1146">
      <c r="A1146" t="inlineStr">
        <is>
          <t>F-2025-01145</t>
        </is>
      </c>
      <c r="B1146" s="12" t="n">
        <v>46209</v>
      </c>
      <c r="C1146" t="inlineStr">
        <is>
          <t>SC NORDIS DISTRIBUTIE SRL</t>
        </is>
      </c>
      <c r="D1146" t="inlineStr">
        <is>
          <t>Constanța</t>
        </is>
      </c>
      <c r="E1146" t="inlineStr">
        <is>
          <t>PRD-011</t>
        </is>
      </c>
      <c r="F1146" t="inlineStr">
        <is>
          <t>Masti protectie cutie</t>
        </is>
      </c>
      <c r="G1146" t="inlineStr">
        <is>
          <t>Produse farmaceutice</t>
        </is>
      </c>
      <c r="H1146" t="n">
        <v>20</v>
      </c>
      <c r="I1146" t="n">
        <v>42.78</v>
      </c>
      <c r="J1146" t="n">
        <v>855.6</v>
      </c>
      <c r="K1146" s="13" t="n">
        <v>0.09</v>
      </c>
      <c r="L1146" t="n">
        <v>77</v>
      </c>
      <c r="M1146" t="n">
        <v>932.6</v>
      </c>
      <c r="N1146" t="inlineStr">
        <is>
          <t>RON</t>
        </is>
      </c>
      <c r="O1146" t="inlineStr">
        <is>
          <t>Mangalia</t>
        </is>
      </c>
      <c r="P1146" s="12" t="n">
        <v>46254</v>
      </c>
      <c r="Q1146">
        <f>IF(COUNTIF(tbl_Localitati[oras_oficial],[@oras])=0,"ORAS NEALINIAT",IF(XLOOKUP([@oras],tbl_Localitati[oras_oficial],tbl_Localitati[judet],"?")&lt;&gt;[@judet],"JUDET NECORESPUNZATOR",""))</f>
        <v/>
      </c>
      <c r="R1146">
        <f>IF(XLOOKUP([@categorie],tbl_RegulriTVA[categorie],tbl_RegulriTVA[cota_legala],-1)&lt;&gt;[@cota_tva],"TVA GRESIT","")</f>
        <v/>
      </c>
      <c r="S1146">
        <f>IF([@data_scadentei]&lt;[@data_factura],"SCADENTA INAINTEA FACTURII","")</f>
        <v/>
      </c>
      <c r="T1146">
        <f>IF(NETWORKDAYS.INTL([@data_factura],[@data_factura],1,tbl_SarbatoriLegale[data])=0,"ZI NELUCRATOARE","")</f>
        <v/>
      </c>
      <c r="U1146">
        <f>IF([@motiv_anomalie]="","OK","DE INVESTIGAT")</f>
        <v/>
      </c>
      <c r="V1146">
        <f>TEXTJOIN("; ",TRUE,[@flag_oras],[@flag_tva],[@flag_scadenta],[@flag_zi])</f>
        <v/>
      </c>
    </row>
    <row r="1147">
      <c r="A1147" t="inlineStr">
        <is>
          <t>F-2025-01146</t>
        </is>
      </c>
      <c r="B1147" s="12" t="n">
        <v>46218</v>
      </c>
      <c r="C1147" t="inlineStr">
        <is>
          <t>SC SOLARIS ENERGY SRL</t>
        </is>
      </c>
      <c r="D1147" t="inlineStr">
        <is>
          <t>Prahova</t>
        </is>
      </c>
      <c r="E1147" t="inlineStr">
        <is>
          <t>PRD-009</t>
        </is>
      </c>
      <c r="F1147" t="inlineStr">
        <is>
          <t>Laptop business 15"</t>
        </is>
      </c>
      <c r="G1147" t="inlineStr">
        <is>
          <t>Hardware IT</t>
        </is>
      </c>
      <c r="H1147" t="n">
        <v>50</v>
      </c>
      <c r="I1147" t="n">
        <v>29.13</v>
      </c>
      <c r="J1147" t="n">
        <v>1456.5</v>
      </c>
      <c r="K1147" s="13" t="n">
        <v>0.19</v>
      </c>
      <c r="L1147" t="n">
        <v>276.74</v>
      </c>
      <c r="M1147" t="n">
        <v>1733.24</v>
      </c>
      <c r="N1147" t="inlineStr">
        <is>
          <t>RON</t>
        </is>
      </c>
      <c r="O1147" t="inlineStr">
        <is>
          <t>Câmpina</t>
        </is>
      </c>
      <c r="P1147" s="12" t="n">
        <v>46248</v>
      </c>
      <c r="Q1147">
        <f>IF(COUNTIF(tbl_Localitati[oras_oficial],[@oras])=0,"ORAS NEALINIAT",IF(XLOOKUP([@oras],tbl_Localitati[oras_oficial],tbl_Localitati[judet],"?")&lt;&gt;[@judet],"JUDET NECORESPUNZATOR",""))</f>
        <v/>
      </c>
      <c r="R1147">
        <f>IF(XLOOKUP([@categorie],tbl_RegulriTVA[categorie],tbl_RegulriTVA[cota_legala],-1)&lt;&gt;[@cota_tva],"TVA GRESIT","")</f>
        <v/>
      </c>
      <c r="S1147">
        <f>IF([@data_scadentei]&lt;[@data_factura],"SCADENTA INAINTEA FACTURII","")</f>
        <v/>
      </c>
      <c r="T1147">
        <f>IF(NETWORKDAYS.INTL([@data_factura],[@data_factura],1,tbl_SarbatoriLegale[data])=0,"ZI NELUCRATOARE","")</f>
        <v/>
      </c>
      <c r="U1147">
        <f>IF([@motiv_anomalie]="","OK","DE INVESTIGAT")</f>
        <v/>
      </c>
      <c r="V1147">
        <f>TEXTJOIN("; ",TRUE,[@flag_oras],[@flag_tva],[@flag_scadenta],[@flag_zi])</f>
        <v/>
      </c>
    </row>
    <row r="1148">
      <c r="A1148" t="inlineStr">
        <is>
          <t>F-2025-01147</t>
        </is>
      </c>
      <c r="B1148" s="12" t="n">
        <v>46288</v>
      </c>
      <c r="C1148" t="inlineStr">
        <is>
          <t>SC INTEGROMED SA</t>
        </is>
      </c>
      <c r="D1148" t="inlineStr">
        <is>
          <t>Cluj</t>
        </is>
      </c>
      <c r="E1148" t="inlineStr">
        <is>
          <t>PRD-006</t>
        </is>
      </c>
      <c r="F1148" t="inlineStr">
        <is>
          <t>Abonament suita cloud</t>
        </is>
      </c>
      <c r="G1148" t="inlineStr">
        <is>
          <t>Licențe software</t>
        </is>
      </c>
      <c r="H1148" t="n">
        <v>10</v>
      </c>
      <c r="I1148" t="n">
        <v>782.65</v>
      </c>
      <c r="J1148" t="n">
        <v>7826.5</v>
      </c>
      <c r="K1148" s="13" t="n">
        <v>0.19</v>
      </c>
      <c r="L1148" t="n">
        <v>1487.04</v>
      </c>
      <c r="M1148" t="n">
        <v>9313.540000000001</v>
      </c>
      <c r="N1148" t="inlineStr">
        <is>
          <t>RON</t>
        </is>
      </c>
      <c r="O1148" t="inlineStr">
        <is>
          <t>Cluj-Napoca</t>
        </is>
      </c>
      <c r="P1148" s="12" t="n">
        <v>46333</v>
      </c>
      <c r="Q1148">
        <f>IF(COUNTIF(tbl_Localitati[oras_oficial],[@oras])=0,"ORAS NEALINIAT",IF(XLOOKUP([@oras],tbl_Localitati[oras_oficial],tbl_Localitati[judet],"?")&lt;&gt;[@judet],"JUDET NECORESPUNZATOR",""))</f>
        <v/>
      </c>
      <c r="R1148">
        <f>IF(XLOOKUP([@categorie],tbl_RegulriTVA[categorie],tbl_RegulriTVA[cota_legala],-1)&lt;&gt;[@cota_tva],"TVA GRESIT","")</f>
        <v/>
      </c>
      <c r="S1148">
        <f>IF([@data_scadentei]&lt;[@data_factura],"SCADENTA INAINTEA FACTURII","")</f>
        <v/>
      </c>
      <c r="T1148">
        <f>IF(NETWORKDAYS.INTL([@data_factura],[@data_factura],1,tbl_SarbatoriLegale[data])=0,"ZI NELUCRATOARE","")</f>
        <v/>
      </c>
      <c r="U1148">
        <f>IF([@motiv_anomalie]="","OK","DE INVESTIGAT")</f>
        <v/>
      </c>
      <c r="V1148">
        <f>TEXTJOIN("; ",TRUE,[@flag_oras],[@flag_tva],[@flag_scadenta],[@flag_zi])</f>
        <v/>
      </c>
    </row>
    <row r="1149">
      <c r="A1149" t="inlineStr">
        <is>
          <t>F-2025-01148</t>
        </is>
      </c>
      <c r="B1149" s="12" t="n">
        <v>46159</v>
      </c>
      <c r="C1149" t="inlineStr">
        <is>
          <t>SC RAPID LOGISTIC SA</t>
        </is>
      </c>
      <c r="D1149" t="inlineStr">
        <is>
          <t>Prahova</t>
        </is>
      </c>
      <c r="E1149" t="inlineStr">
        <is>
          <t>PRD-005</t>
        </is>
      </c>
      <c r="F1149" t="inlineStr">
        <is>
          <t>Switch gigabit 24p</t>
        </is>
      </c>
      <c r="G1149" t="inlineStr">
        <is>
          <t>Hardware IT</t>
        </is>
      </c>
      <c r="H1149" t="n">
        <v>1</v>
      </c>
      <c r="I1149" t="n">
        <v>250.14</v>
      </c>
      <c r="J1149" t="n">
        <v>250.14</v>
      </c>
      <c r="K1149" s="13" t="n">
        <v>0.19</v>
      </c>
      <c r="L1149" t="n">
        <v>47.53</v>
      </c>
      <c r="M1149" t="n">
        <v>297.67</v>
      </c>
      <c r="N1149" t="inlineStr">
        <is>
          <t>RON</t>
        </is>
      </c>
      <c r="O1149" t="inlineStr">
        <is>
          <t>Ploiești</t>
        </is>
      </c>
      <c r="P1149" s="12" t="n">
        <v>46189</v>
      </c>
      <c r="Q1149">
        <f>IF(COUNTIF(tbl_Localitati[oras_oficial],[@oras])=0,"ORAS NEALINIAT",IF(XLOOKUP([@oras],tbl_Localitati[oras_oficial],tbl_Localitati[judet],"?")&lt;&gt;[@judet],"JUDET NECORESPUNZATOR",""))</f>
        <v/>
      </c>
      <c r="R1149">
        <f>IF(XLOOKUP([@categorie],tbl_RegulriTVA[categorie],tbl_RegulriTVA[cota_legala],-1)&lt;&gt;[@cota_tva],"TVA GRESIT","")</f>
        <v/>
      </c>
      <c r="S1149">
        <f>IF([@data_scadentei]&lt;[@data_factura],"SCADENTA INAINTEA FACTURII","")</f>
        <v/>
      </c>
      <c r="T1149">
        <f>IF(NETWORKDAYS.INTL([@data_factura],[@data_factura],1,tbl_SarbatoriLegale[data])=0,"ZI NELUCRATOARE","")</f>
        <v/>
      </c>
      <c r="U1149">
        <f>IF([@motiv_anomalie]="","OK","DE INVESTIGAT")</f>
        <v/>
      </c>
      <c r="V1149">
        <f>TEXTJOIN("; ",TRUE,[@flag_oras],[@flag_tva],[@flag_scadenta],[@flag_zi])</f>
        <v/>
      </c>
    </row>
    <row r="1150">
      <c r="A1150" t="inlineStr">
        <is>
          <t>F-2025-01149</t>
        </is>
      </c>
      <c r="B1150" s="12" t="n">
        <v>46091</v>
      </c>
      <c r="C1150" t="inlineStr">
        <is>
          <t>SC NORDIS DISTRIBUTIE SRL</t>
        </is>
      </c>
      <c r="D1150" t="inlineStr">
        <is>
          <t>Constanța</t>
        </is>
      </c>
      <c r="E1150" t="inlineStr">
        <is>
          <t>PRD-001</t>
        </is>
      </c>
      <c r="F1150" t="inlineStr">
        <is>
          <t>Statie de lucru desktop</t>
        </is>
      </c>
      <c r="G1150" t="inlineStr">
        <is>
          <t>Hardware IT</t>
        </is>
      </c>
      <c r="H1150" t="n">
        <v>3</v>
      </c>
      <c r="I1150" t="n">
        <v>2504.41</v>
      </c>
      <c r="J1150" t="n">
        <v>7513.23</v>
      </c>
      <c r="K1150" s="13" t="n">
        <v>0.19</v>
      </c>
      <c r="L1150" t="n">
        <v>1427.51</v>
      </c>
      <c r="M1150" t="n">
        <v>8940.74</v>
      </c>
      <c r="N1150" t="inlineStr">
        <is>
          <t>RON</t>
        </is>
      </c>
      <c r="O1150" t="inlineStr">
        <is>
          <t>Mangalia</t>
        </is>
      </c>
      <c r="P1150" s="12" t="n">
        <v>46121</v>
      </c>
      <c r="Q1150">
        <f>IF(COUNTIF(tbl_Localitati[oras_oficial],[@oras])=0,"ORAS NEALINIAT",IF(XLOOKUP([@oras],tbl_Localitati[oras_oficial],tbl_Localitati[judet],"?")&lt;&gt;[@judet],"JUDET NECORESPUNZATOR",""))</f>
        <v/>
      </c>
      <c r="R1150">
        <f>IF(XLOOKUP([@categorie],tbl_RegulriTVA[categorie],tbl_RegulriTVA[cota_legala],-1)&lt;&gt;[@cota_tva],"TVA GRESIT","")</f>
        <v/>
      </c>
      <c r="S1150">
        <f>IF([@data_scadentei]&lt;[@data_factura],"SCADENTA INAINTEA FACTURII","")</f>
        <v/>
      </c>
      <c r="T1150">
        <f>IF(NETWORKDAYS.INTL([@data_factura],[@data_factura],1,tbl_SarbatoriLegale[data])=0,"ZI NELUCRATOARE","")</f>
        <v/>
      </c>
      <c r="U1150">
        <f>IF([@motiv_anomalie]="","OK","DE INVESTIGAT")</f>
        <v/>
      </c>
      <c r="V1150">
        <f>TEXTJOIN("; ",TRUE,[@flag_oras],[@flag_tva],[@flag_scadenta],[@flag_zi])</f>
        <v/>
      </c>
    </row>
    <row r="1151">
      <c r="A1151" t="inlineStr">
        <is>
          <t>F-2025-01150</t>
        </is>
      </c>
      <c r="B1151" s="12" t="n">
        <v>46118</v>
      </c>
      <c r="C1151" t="inlineStr">
        <is>
          <t>SC DACTECH SOLUTIONS SRL</t>
        </is>
      </c>
      <c r="D1151" t="inlineStr">
        <is>
          <t>Argeș</t>
        </is>
      </c>
      <c r="E1151" t="inlineStr">
        <is>
          <t>PRD-004</t>
        </is>
      </c>
      <c r="F1151" t="inlineStr">
        <is>
          <t>Server rack 1U</t>
        </is>
      </c>
      <c r="G1151" t="inlineStr">
        <is>
          <t>Hardware IT</t>
        </is>
      </c>
      <c r="H1151" t="n">
        <v>1</v>
      </c>
      <c r="I1151" t="n">
        <v>885.02</v>
      </c>
      <c r="J1151" t="n">
        <v>885.02</v>
      </c>
      <c r="K1151" s="13" t="n">
        <v>0.19</v>
      </c>
      <c r="L1151" t="n">
        <v>168.15</v>
      </c>
      <c r="M1151" t="n">
        <v>1053.17</v>
      </c>
      <c r="N1151" t="inlineStr">
        <is>
          <t>RON</t>
        </is>
      </c>
      <c r="O1151" t="inlineStr">
        <is>
          <t>Pitești</t>
        </is>
      </c>
      <c r="P1151" s="12" t="n">
        <v>46133</v>
      </c>
      <c r="Q1151">
        <f>IF(COUNTIF(tbl_Localitati[oras_oficial],[@oras])=0,"ORAS NEALINIAT",IF(XLOOKUP([@oras],tbl_Localitati[oras_oficial],tbl_Localitati[judet],"?")&lt;&gt;[@judet],"JUDET NECORESPUNZATOR",""))</f>
        <v/>
      </c>
      <c r="R1151">
        <f>IF(XLOOKUP([@categorie],tbl_RegulriTVA[categorie],tbl_RegulriTVA[cota_legala],-1)&lt;&gt;[@cota_tva],"TVA GRESIT","")</f>
        <v/>
      </c>
      <c r="S1151">
        <f>IF([@data_scadentei]&lt;[@data_factura],"SCADENTA INAINTEA FACTURII","")</f>
        <v/>
      </c>
      <c r="T1151">
        <f>IF(NETWORKDAYS.INTL([@data_factura],[@data_factura],1,tbl_SarbatoriLegale[data])=0,"ZI NELUCRATOARE","")</f>
        <v/>
      </c>
      <c r="U1151">
        <f>IF([@motiv_anomalie]="","OK","DE INVESTIGAT")</f>
        <v/>
      </c>
      <c r="V1151">
        <f>TEXTJOIN("; ",TRUE,[@flag_oras],[@flag_tva],[@flag_scadenta],[@flag_zi])</f>
        <v/>
      </c>
    </row>
    <row r="1152">
      <c r="A1152" t="inlineStr">
        <is>
          <t>F-2025-01151</t>
        </is>
      </c>
      <c r="B1152" s="12" t="n">
        <v>46366</v>
      </c>
      <c r="C1152" t="inlineStr">
        <is>
          <t>SC RAPID LOGISTIC SA</t>
        </is>
      </c>
      <c r="D1152" t="inlineStr">
        <is>
          <t>Prahova</t>
        </is>
      </c>
      <c r="E1152" t="inlineStr">
        <is>
          <t>PRD-005</t>
        </is>
      </c>
      <c r="F1152" t="inlineStr">
        <is>
          <t>Statie de lucru desktop</t>
        </is>
      </c>
      <c r="G1152" t="inlineStr">
        <is>
          <t>Hardware IT</t>
        </is>
      </c>
      <c r="H1152" t="n">
        <v>1</v>
      </c>
      <c r="I1152" t="n">
        <v>257.43</v>
      </c>
      <c r="J1152" t="n">
        <v>257.43</v>
      </c>
      <c r="K1152" s="13" t="n">
        <v>0.19</v>
      </c>
      <c r="L1152" t="n">
        <v>48.91</v>
      </c>
      <c r="M1152" t="n">
        <v>306.34</v>
      </c>
      <c r="N1152" t="inlineStr">
        <is>
          <t>RON</t>
        </is>
      </c>
      <c r="O1152" t="inlineStr">
        <is>
          <t>Ploiești</t>
        </is>
      </c>
      <c r="P1152" s="12" t="n">
        <v>46396</v>
      </c>
      <c r="Q1152">
        <f>IF(COUNTIF(tbl_Localitati[oras_oficial],[@oras])=0,"ORAS NEALINIAT",IF(XLOOKUP([@oras],tbl_Localitati[oras_oficial],tbl_Localitati[judet],"?")&lt;&gt;[@judet],"JUDET NECORESPUNZATOR",""))</f>
        <v/>
      </c>
      <c r="R1152">
        <f>IF(XLOOKUP([@categorie],tbl_RegulriTVA[categorie],tbl_RegulriTVA[cota_legala],-1)&lt;&gt;[@cota_tva],"TVA GRESIT","")</f>
        <v/>
      </c>
      <c r="S1152">
        <f>IF([@data_scadentei]&lt;[@data_factura],"SCADENTA INAINTEA FACTURII","")</f>
        <v/>
      </c>
      <c r="T1152">
        <f>IF(NETWORKDAYS.INTL([@data_factura],[@data_factura],1,tbl_SarbatoriLegale[data])=0,"ZI NELUCRATOARE","")</f>
        <v/>
      </c>
      <c r="U1152">
        <f>IF([@motiv_anomalie]="","OK","DE INVESTIGAT")</f>
        <v/>
      </c>
      <c r="V1152">
        <f>TEXTJOIN("; ",TRUE,[@flag_oras],[@flag_tva],[@flag_scadenta],[@flag_zi])</f>
        <v/>
      </c>
    </row>
    <row r="1153">
      <c r="A1153" t="inlineStr">
        <is>
          <t>F-2025-01152</t>
        </is>
      </c>
      <c r="B1153" s="12" t="n">
        <v>46164</v>
      </c>
      <c r="C1153" t="inlineStr">
        <is>
          <t>SC DACTECH SOLUTIONS SRL</t>
        </is>
      </c>
      <c r="D1153" t="inlineStr">
        <is>
          <t>Argeș</t>
        </is>
      </c>
      <c r="E1153" t="inlineStr">
        <is>
          <t>PRD-004</t>
        </is>
      </c>
      <c r="F1153" t="inlineStr">
        <is>
          <t>Abonament suita cloud</t>
        </is>
      </c>
      <c r="G1153" t="inlineStr">
        <is>
          <t>Licențe software</t>
        </is>
      </c>
      <c r="H1153" t="n">
        <v>1</v>
      </c>
      <c r="I1153" t="n">
        <v>855.73</v>
      </c>
      <c r="J1153" t="n">
        <v>855.73</v>
      </c>
      <c r="K1153" s="13" t="n">
        <v>0.19</v>
      </c>
      <c r="L1153" t="n">
        <v>162.59</v>
      </c>
      <c r="M1153" t="n">
        <v>1018.32</v>
      </c>
      <c r="N1153" t="inlineStr">
        <is>
          <t>RON</t>
        </is>
      </c>
      <c r="O1153" t="inlineStr">
        <is>
          <t>Pitești</t>
        </is>
      </c>
      <c r="P1153" s="12" t="n">
        <v>46194</v>
      </c>
      <c r="Q1153">
        <f>IF(COUNTIF(tbl_Localitati[oras_oficial],[@oras])=0,"ORAS NEALINIAT",IF(XLOOKUP([@oras],tbl_Localitati[oras_oficial],tbl_Localitati[judet],"?")&lt;&gt;[@judet],"JUDET NECORESPUNZATOR",""))</f>
        <v/>
      </c>
      <c r="R1153">
        <f>IF(XLOOKUP([@categorie],tbl_RegulriTVA[categorie],tbl_RegulriTVA[cota_legala],-1)&lt;&gt;[@cota_tva],"TVA GRESIT","")</f>
        <v/>
      </c>
      <c r="S1153">
        <f>IF([@data_scadentei]&lt;[@data_factura],"SCADENTA INAINTEA FACTURII","")</f>
        <v/>
      </c>
      <c r="T1153">
        <f>IF(NETWORKDAYS.INTL([@data_factura],[@data_factura],1,tbl_SarbatoriLegale[data])=0,"ZI NELUCRATOARE","")</f>
        <v/>
      </c>
      <c r="U1153">
        <f>IF([@motiv_anomalie]="","OK","DE INVESTIGAT")</f>
        <v/>
      </c>
      <c r="V1153">
        <f>TEXTJOIN("; ",TRUE,[@flag_oras],[@flag_tva],[@flag_scadenta],[@flag_zi])</f>
        <v/>
      </c>
    </row>
    <row r="1154">
      <c r="A1154" t="inlineStr">
        <is>
          <t>F-2025-01153</t>
        </is>
      </c>
      <c r="B1154" s="12" t="n">
        <v>46367</v>
      </c>
      <c r="C1154" t="inlineStr">
        <is>
          <t>SC AROMET TRADING SRL</t>
        </is>
      </c>
      <c r="D1154" t="inlineStr">
        <is>
          <t>Alba</t>
        </is>
      </c>
      <c r="E1154" t="inlineStr">
        <is>
          <t>PRD-005</t>
        </is>
      </c>
      <c r="F1154" t="inlineStr">
        <is>
          <t>Cafea boabe 1kg</t>
        </is>
      </c>
      <c r="G1154" t="inlineStr">
        <is>
          <t>Alimente</t>
        </is>
      </c>
      <c r="H1154" t="n">
        <v>5</v>
      </c>
      <c r="I1154" t="n">
        <v>256.47</v>
      </c>
      <c r="J1154" t="n">
        <v>1282.35</v>
      </c>
      <c r="K1154" s="13" t="n">
        <v>0.09</v>
      </c>
      <c r="L1154" t="n">
        <v>115.41</v>
      </c>
      <c r="M1154" t="n">
        <v>1397.76</v>
      </c>
      <c r="N1154" t="inlineStr">
        <is>
          <t>RON</t>
        </is>
      </c>
      <c r="O1154" t="inlineStr">
        <is>
          <t>Alba Iulia</t>
        </is>
      </c>
      <c r="P1154" s="12" t="n">
        <v>46382</v>
      </c>
      <c r="Q1154">
        <f>IF(COUNTIF(tbl_Localitati[oras_oficial],[@oras])=0,"ORAS NEALINIAT",IF(XLOOKUP([@oras],tbl_Localitati[oras_oficial],tbl_Localitati[judet],"?")&lt;&gt;[@judet],"JUDET NECORESPUNZATOR",""))</f>
        <v/>
      </c>
      <c r="R1154">
        <f>IF(XLOOKUP([@categorie],tbl_RegulriTVA[categorie],tbl_RegulriTVA[cota_legala],-1)&lt;&gt;[@cota_tva],"TVA GRESIT","")</f>
        <v/>
      </c>
      <c r="S1154">
        <f>IF([@data_scadentei]&lt;[@data_factura],"SCADENTA INAINTEA FACTURII","")</f>
        <v/>
      </c>
      <c r="T1154">
        <f>IF(NETWORKDAYS.INTL([@data_factura],[@data_factura],1,tbl_SarbatoriLegale[data])=0,"ZI NELUCRATOARE","")</f>
        <v/>
      </c>
      <c r="U1154">
        <f>IF([@motiv_anomalie]="","OK","DE INVESTIGAT")</f>
        <v/>
      </c>
      <c r="V1154">
        <f>TEXTJOIN("; ",TRUE,[@flag_oras],[@flag_tva],[@flag_scadenta],[@flag_zi])</f>
        <v/>
      </c>
    </row>
    <row r="1155">
      <c r="A1155" t="inlineStr">
        <is>
          <t>F-2025-01154</t>
        </is>
      </c>
      <c r="B1155" s="12" t="n">
        <v>46167</v>
      </c>
      <c r="C1155" t="inlineStr">
        <is>
          <t>SC AROMET TRADING SRL</t>
        </is>
      </c>
      <c r="D1155" t="inlineStr">
        <is>
          <t>Alba</t>
        </is>
      </c>
      <c r="E1155" t="inlineStr">
        <is>
          <t>PRD-002</t>
        </is>
      </c>
      <c r="F1155" t="inlineStr">
        <is>
          <t>Abonament suita cloud</t>
        </is>
      </c>
      <c r="G1155" t="inlineStr">
        <is>
          <t>Licențe software</t>
        </is>
      </c>
      <c r="H1155" t="n">
        <v>2</v>
      </c>
      <c r="I1155" t="n">
        <v>1062.02</v>
      </c>
      <c r="J1155" t="n">
        <v>2124.04</v>
      </c>
      <c r="K1155" s="13" t="n">
        <v>0.19</v>
      </c>
      <c r="L1155" t="n">
        <v>403.57</v>
      </c>
      <c r="M1155" t="n">
        <v>2527.61</v>
      </c>
      <c r="N1155" t="inlineStr">
        <is>
          <t>RON</t>
        </is>
      </c>
      <c r="O1155" t="inlineStr">
        <is>
          <t>Alba Iulia</t>
        </is>
      </c>
      <c r="P1155" s="12" t="n">
        <v>46197</v>
      </c>
      <c r="Q1155">
        <f>IF(COUNTIF(tbl_Localitati[oras_oficial],[@oras])=0,"ORAS NEALINIAT",IF(XLOOKUP([@oras],tbl_Localitati[oras_oficial],tbl_Localitati[judet],"?")&lt;&gt;[@judet],"JUDET NECORESPUNZATOR",""))</f>
        <v/>
      </c>
      <c r="R1155">
        <f>IF(XLOOKUP([@categorie],tbl_RegulriTVA[categorie],tbl_RegulriTVA[cota_legala],-1)&lt;&gt;[@cota_tva],"TVA GRESIT","")</f>
        <v/>
      </c>
      <c r="S1155">
        <f>IF([@data_scadentei]&lt;[@data_factura],"SCADENTA INAINTEA FACTURII","")</f>
        <v/>
      </c>
      <c r="T1155">
        <f>IF(NETWORKDAYS.INTL([@data_factura],[@data_factura],1,tbl_SarbatoriLegale[data])=0,"ZI NELUCRATOARE","")</f>
        <v/>
      </c>
      <c r="U1155">
        <f>IF([@motiv_anomalie]="","OK","DE INVESTIGAT")</f>
        <v/>
      </c>
      <c r="V1155">
        <f>TEXTJOIN("; ",TRUE,[@flag_oras],[@flag_tva],[@flag_scadenta],[@flag_zi])</f>
        <v/>
      </c>
    </row>
    <row r="1156">
      <c r="A1156" t="inlineStr">
        <is>
          <t>F-2025-01155</t>
        </is>
      </c>
      <c r="B1156" s="12" t="n">
        <v>46249</v>
      </c>
      <c r="C1156" t="inlineStr">
        <is>
          <t>SC AROMET TRADING SRL</t>
        </is>
      </c>
      <c r="D1156" t="inlineStr">
        <is>
          <t>Alba</t>
        </is>
      </c>
      <c r="E1156" t="inlineStr">
        <is>
          <t>PRD-001</t>
        </is>
      </c>
      <c r="F1156" t="inlineStr">
        <is>
          <t>Switch gigabit 24p</t>
        </is>
      </c>
      <c r="G1156" t="inlineStr">
        <is>
          <t>Hardware IT</t>
        </is>
      </c>
      <c r="H1156" t="n">
        <v>3</v>
      </c>
      <c r="I1156" t="n">
        <v>2405.99</v>
      </c>
      <c r="J1156" t="n">
        <v>7217.97</v>
      </c>
      <c r="K1156" s="13" t="n">
        <v>0.19</v>
      </c>
      <c r="L1156" t="n">
        <v>1371.41</v>
      </c>
      <c r="M1156" t="n">
        <v>8589.379999999999</v>
      </c>
      <c r="N1156" t="inlineStr">
        <is>
          <t>RON</t>
        </is>
      </c>
      <c r="O1156" t="inlineStr">
        <is>
          <t>Alba Iulia</t>
        </is>
      </c>
      <c r="P1156" s="12" t="n">
        <v>46279</v>
      </c>
      <c r="Q1156">
        <f>IF(COUNTIF(tbl_Localitati[oras_oficial],[@oras])=0,"ORAS NEALINIAT",IF(XLOOKUP([@oras],tbl_Localitati[oras_oficial],tbl_Localitati[judet],"?")&lt;&gt;[@judet],"JUDET NECORESPUNZATOR",""))</f>
        <v/>
      </c>
      <c r="R1156">
        <f>IF(XLOOKUP([@categorie],tbl_RegulriTVA[categorie],tbl_RegulriTVA[cota_legala],-1)&lt;&gt;[@cota_tva],"TVA GRESIT","")</f>
        <v/>
      </c>
      <c r="S1156">
        <f>IF([@data_scadentei]&lt;[@data_factura],"SCADENTA INAINTEA FACTURII","")</f>
        <v/>
      </c>
      <c r="T1156">
        <f>IF(NETWORKDAYS.INTL([@data_factura],[@data_factura],1,tbl_SarbatoriLegale[data])=0,"ZI NELUCRATOARE","")</f>
        <v/>
      </c>
      <c r="U1156">
        <f>IF([@motiv_anomalie]="","OK","DE INVESTIGAT")</f>
        <v/>
      </c>
      <c r="V1156">
        <f>TEXTJOIN("; ",TRUE,[@flag_oras],[@flag_tva],[@flag_scadenta],[@flag_zi])</f>
        <v/>
      </c>
    </row>
    <row r="1157">
      <c r="A1157" t="inlineStr">
        <is>
          <t>F-2025-01156</t>
        </is>
      </c>
      <c r="B1157" s="12" t="n">
        <v>46157</v>
      </c>
      <c r="C1157" t="inlineStr">
        <is>
          <t>SC RAPID LOGISTIC SA</t>
        </is>
      </c>
      <c r="D1157" t="inlineStr">
        <is>
          <t>Prahova</t>
        </is>
      </c>
      <c r="E1157" t="inlineStr">
        <is>
          <t>PRD-007</t>
        </is>
      </c>
      <c r="F1157" t="inlineStr">
        <is>
          <t>Audit infrastructura</t>
        </is>
      </c>
      <c r="G1157" t="inlineStr">
        <is>
          <t>Servicii consultanță</t>
        </is>
      </c>
      <c r="H1157" t="n">
        <v>5</v>
      </c>
      <c r="I1157" t="n">
        <v>183.27</v>
      </c>
      <c r="J1157" t="n">
        <v>916.35</v>
      </c>
      <c r="K1157" s="13" t="n">
        <v>0.19</v>
      </c>
      <c r="L1157" t="n">
        <v>174.11</v>
      </c>
      <c r="M1157" t="n">
        <v>1090.46</v>
      </c>
      <c r="N1157" t="inlineStr">
        <is>
          <t>RON</t>
        </is>
      </c>
      <c r="O1157" t="inlineStr">
        <is>
          <t>Ploiești</t>
        </is>
      </c>
      <c r="P1157" s="12" t="n">
        <v>46187</v>
      </c>
      <c r="Q1157">
        <f>IF(COUNTIF(tbl_Localitati[oras_oficial],[@oras])=0,"ORAS NEALINIAT",IF(XLOOKUP([@oras],tbl_Localitati[oras_oficial],tbl_Localitati[judet],"?")&lt;&gt;[@judet],"JUDET NECORESPUNZATOR",""))</f>
        <v/>
      </c>
      <c r="R1157">
        <f>IF(XLOOKUP([@categorie],tbl_RegulriTVA[categorie],tbl_RegulriTVA[cota_legala],-1)&lt;&gt;[@cota_tva],"TVA GRESIT","")</f>
        <v/>
      </c>
      <c r="S1157">
        <f>IF([@data_scadentei]&lt;[@data_factura],"SCADENTA INAINTEA FACTURII","")</f>
        <v/>
      </c>
      <c r="T1157">
        <f>IF(NETWORKDAYS.INTL([@data_factura],[@data_factura],1,tbl_SarbatoriLegale[data])=0,"ZI NELUCRATOARE","")</f>
        <v/>
      </c>
      <c r="U1157">
        <f>IF([@motiv_anomalie]="","OK","DE INVESTIGAT")</f>
        <v/>
      </c>
      <c r="V1157">
        <f>TEXTJOIN("; ",TRUE,[@flag_oras],[@flag_tva],[@flag_scadenta],[@flag_zi])</f>
        <v/>
      </c>
    </row>
    <row r="1158">
      <c r="A1158" t="inlineStr">
        <is>
          <t>F-2025-01157</t>
        </is>
      </c>
      <c r="B1158" s="12" t="n">
        <v>46302</v>
      </c>
      <c r="C1158" t="inlineStr">
        <is>
          <t>SC FARMAVITAL DISTRIBUTIE SA</t>
        </is>
      </c>
      <c r="D1158" t="inlineStr">
        <is>
          <t>Bihor</t>
        </is>
      </c>
      <c r="E1158" t="inlineStr">
        <is>
          <t>PRD-010</t>
        </is>
      </c>
      <c r="F1158" t="inlineStr">
        <is>
          <t>Licenta Office 365 anuala</t>
        </is>
      </c>
      <c r="G1158" t="inlineStr">
        <is>
          <t>Licențe software</t>
        </is>
      </c>
      <c r="H1158" t="n">
        <v>50</v>
      </c>
      <c r="I1158" t="n">
        <v>358.2</v>
      </c>
      <c r="J1158" t="n">
        <v>17910</v>
      </c>
      <c r="K1158" s="13" t="n">
        <v>0.19</v>
      </c>
      <c r="L1158" t="n">
        <v>3402.9</v>
      </c>
      <c r="M1158" t="n">
        <v>21312.9</v>
      </c>
      <c r="N1158" t="inlineStr">
        <is>
          <t>RON</t>
        </is>
      </c>
      <c r="O1158" t="inlineStr">
        <is>
          <t>Oradea</t>
        </is>
      </c>
      <c r="P1158" s="12" t="n">
        <v>46362</v>
      </c>
      <c r="Q1158">
        <f>IF(COUNTIF(tbl_Localitati[oras_oficial],[@oras])=0,"ORAS NEALINIAT",IF(XLOOKUP([@oras],tbl_Localitati[oras_oficial],tbl_Localitati[judet],"?")&lt;&gt;[@judet],"JUDET NECORESPUNZATOR",""))</f>
        <v/>
      </c>
      <c r="R1158">
        <f>IF(XLOOKUP([@categorie],tbl_RegulriTVA[categorie],tbl_RegulriTVA[cota_legala],-1)&lt;&gt;[@cota_tva],"TVA GRESIT","")</f>
        <v/>
      </c>
      <c r="S1158">
        <f>IF([@data_scadentei]&lt;[@data_factura],"SCADENTA INAINTEA FACTURII","")</f>
        <v/>
      </c>
      <c r="T1158">
        <f>IF(NETWORKDAYS.INTL([@data_factura],[@data_factura],1,tbl_SarbatoriLegale[data])=0,"ZI NELUCRATOARE","")</f>
        <v/>
      </c>
      <c r="U1158">
        <f>IF([@motiv_anomalie]="","OK","DE INVESTIGAT")</f>
        <v/>
      </c>
      <c r="V1158">
        <f>TEXTJOIN("; ",TRUE,[@flag_oras],[@flag_tva],[@flag_scadenta],[@flag_zi])</f>
        <v/>
      </c>
    </row>
    <row r="1159">
      <c r="A1159" t="inlineStr">
        <is>
          <t>F-2025-01158</t>
        </is>
      </c>
      <c r="B1159" s="12" t="n">
        <v>46038</v>
      </c>
      <c r="C1159" t="inlineStr">
        <is>
          <t>SC INTEGROMED SA</t>
        </is>
      </c>
      <c r="D1159" t="inlineStr">
        <is>
          <t>Cluj</t>
        </is>
      </c>
      <c r="E1159" t="inlineStr">
        <is>
          <t>PRD-005</t>
        </is>
      </c>
      <c r="F1159" t="inlineStr">
        <is>
          <t>Licenta Office 365 anuala</t>
        </is>
      </c>
      <c r="G1159" t="inlineStr">
        <is>
          <t>Licențe software</t>
        </is>
      </c>
      <c r="H1159" t="n">
        <v>1</v>
      </c>
      <c r="I1159" t="n">
        <v>254.66</v>
      </c>
      <c r="J1159" t="n">
        <v>254.66</v>
      </c>
      <c r="K1159" s="13" t="n">
        <v>0.19</v>
      </c>
      <c r="L1159" t="n">
        <v>48.39</v>
      </c>
      <c r="M1159" t="n">
        <v>303.05</v>
      </c>
      <c r="N1159" t="inlineStr">
        <is>
          <t>RON</t>
        </is>
      </c>
      <c r="O1159" t="inlineStr">
        <is>
          <t>Cluj-Napoca</t>
        </is>
      </c>
      <c r="P1159" s="12" t="n">
        <v>46068</v>
      </c>
      <c r="Q1159">
        <f>IF(COUNTIF(tbl_Localitati[oras_oficial],[@oras])=0,"ORAS NEALINIAT",IF(XLOOKUP([@oras],tbl_Localitati[oras_oficial],tbl_Localitati[judet],"?")&lt;&gt;[@judet],"JUDET NECORESPUNZATOR",""))</f>
        <v/>
      </c>
      <c r="R1159">
        <f>IF(XLOOKUP([@categorie],tbl_RegulriTVA[categorie],tbl_RegulriTVA[cota_legala],-1)&lt;&gt;[@cota_tva],"TVA GRESIT","")</f>
        <v/>
      </c>
      <c r="S1159">
        <f>IF([@data_scadentei]&lt;[@data_factura],"SCADENTA INAINTEA FACTURII","")</f>
        <v/>
      </c>
      <c r="T1159">
        <f>IF(NETWORKDAYS.INTL([@data_factura],[@data_factura],1,tbl_SarbatoriLegale[data])=0,"ZI NELUCRATOARE","")</f>
        <v/>
      </c>
      <c r="U1159">
        <f>IF([@motiv_anomalie]="","OK","DE INVESTIGAT")</f>
        <v/>
      </c>
      <c r="V1159">
        <f>TEXTJOIN("; ",TRUE,[@flag_oras],[@flag_tva],[@flag_scadenta],[@flag_zi])</f>
        <v/>
      </c>
    </row>
    <row r="1160">
      <c r="A1160" t="inlineStr">
        <is>
          <t>F-2025-01159</t>
        </is>
      </c>
      <c r="B1160" s="12" t="n">
        <v>46339</v>
      </c>
      <c r="C1160" t="inlineStr">
        <is>
          <t>SC AROMET TRADING SRL</t>
        </is>
      </c>
      <c r="D1160" t="inlineStr">
        <is>
          <t>Alba</t>
        </is>
      </c>
      <c r="E1160" t="inlineStr">
        <is>
          <t>PRD-001</t>
        </is>
      </c>
      <c r="F1160" t="inlineStr">
        <is>
          <t>Statie de lucru desktop</t>
        </is>
      </c>
      <c r="G1160" t="inlineStr">
        <is>
          <t>Hardware IT</t>
        </is>
      </c>
      <c r="H1160" t="n">
        <v>2</v>
      </c>
      <c r="I1160" t="n">
        <v>2428.22</v>
      </c>
      <c r="J1160" t="n">
        <v>4856.44</v>
      </c>
      <c r="K1160" s="13" t="n">
        <v>0.19</v>
      </c>
      <c r="L1160" t="n">
        <v>922.72</v>
      </c>
      <c r="M1160" t="n">
        <v>5779.16</v>
      </c>
      <c r="N1160" t="inlineStr">
        <is>
          <t>RON</t>
        </is>
      </c>
      <c r="O1160" t="inlineStr">
        <is>
          <t>Alba Iulia</t>
        </is>
      </c>
      <c r="P1160" s="12" t="n">
        <v>46384</v>
      </c>
      <c r="Q1160">
        <f>IF(COUNTIF(tbl_Localitati[oras_oficial],[@oras])=0,"ORAS NEALINIAT",IF(XLOOKUP([@oras],tbl_Localitati[oras_oficial],tbl_Localitati[judet],"?")&lt;&gt;[@judet],"JUDET NECORESPUNZATOR",""))</f>
        <v/>
      </c>
      <c r="R1160">
        <f>IF(XLOOKUP([@categorie],tbl_RegulriTVA[categorie],tbl_RegulriTVA[cota_legala],-1)&lt;&gt;[@cota_tva],"TVA GRESIT","")</f>
        <v/>
      </c>
      <c r="S1160">
        <f>IF([@data_scadentei]&lt;[@data_factura],"SCADENTA INAINTEA FACTURII","")</f>
        <v/>
      </c>
      <c r="T1160">
        <f>IF(NETWORKDAYS.INTL([@data_factura],[@data_factura],1,tbl_SarbatoriLegale[data])=0,"ZI NELUCRATOARE","")</f>
        <v/>
      </c>
      <c r="U1160">
        <f>IF([@motiv_anomalie]="","OK","DE INVESTIGAT")</f>
        <v/>
      </c>
      <c r="V1160">
        <f>TEXTJOIN("; ",TRUE,[@flag_oras],[@flag_tva],[@flag_scadenta],[@flag_zi])</f>
        <v/>
      </c>
    </row>
    <row r="1161">
      <c r="A1161" t="inlineStr">
        <is>
          <t>F-2025-01160</t>
        </is>
      </c>
      <c r="B1161" s="12" t="n">
        <v>46266</v>
      </c>
      <c r="C1161" t="inlineStr">
        <is>
          <t>SC INTEGROMED SA</t>
        </is>
      </c>
      <c r="D1161" t="inlineStr">
        <is>
          <t>Cluj</t>
        </is>
      </c>
      <c r="E1161" t="inlineStr">
        <is>
          <t>PRD-001</t>
        </is>
      </c>
      <c r="F1161" t="inlineStr">
        <is>
          <t>Statie de lucru desktop</t>
        </is>
      </c>
      <c r="G1161" t="inlineStr">
        <is>
          <t>Hardware IT</t>
        </is>
      </c>
      <c r="H1161" t="n">
        <v>3</v>
      </c>
      <c r="I1161" t="n">
        <v>2309.94</v>
      </c>
      <c r="J1161" t="n">
        <v>6929.82</v>
      </c>
      <c r="K1161" s="13" t="n">
        <v>0.19</v>
      </c>
      <c r="L1161" t="n">
        <v>1316.67</v>
      </c>
      <c r="M1161" t="n">
        <v>8246.49</v>
      </c>
      <c r="N1161" t="inlineStr">
        <is>
          <t>RON</t>
        </is>
      </c>
      <c r="O1161" t="inlineStr">
        <is>
          <t>Cluj-Napoca</t>
        </is>
      </c>
      <c r="P1161" s="12" t="n">
        <v>46296</v>
      </c>
      <c r="Q1161">
        <f>IF(COUNTIF(tbl_Localitati[oras_oficial],[@oras])=0,"ORAS NEALINIAT",IF(XLOOKUP([@oras],tbl_Localitati[oras_oficial],tbl_Localitati[judet],"?")&lt;&gt;[@judet],"JUDET NECORESPUNZATOR",""))</f>
        <v/>
      </c>
      <c r="R1161">
        <f>IF(XLOOKUP([@categorie],tbl_RegulriTVA[categorie],tbl_RegulriTVA[cota_legala],-1)&lt;&gt;[@cota_tva],"TVA GRESIT","")</f>
        <v/>
      </c>
      <c r="S1161">
        <f>IF([@data_scadentei]&lt;[@data_factura],"SCADENTA INAINTEA FACTURII","")</f>
        <v/>
      </c>
      <c r="T1161">
        <f>IF(NETWORKDAYS.INTL([@data_factura],[@data_factura],1,tbl_SarbatoriLegale[data])=0,"ZI NELUCRATOARE","")</f>
        <v/>
      </c>
      <c r="U1161">
        <f>IF([@motiv_anomalie]="","OK","DE INVESTIGAT")</f>
        <v/>
      </c>
      <c r="V1161">
        <f>TEXTJOIN("; ",TRUE,[@flag_oras],[@flag_tva],[@flag_scadenta],[@flag_zi])</f>
        <v/>
      </c>
    </row>
    <row r="1162">
      <c r="A1162" t="inlineStr">
        <is>
          <t>F-2025-01161</t>
        </is>
      </c>
      <c r="B1162" s="12" t="n">
        <v>46267</v>
      </c>
      <c r="C1162" t="inlineStr">
        <is>
          <t>SC INTEGROMED SA</t>
        </is>
      </c>
      <c r="D1162" t="inlineStr">
        <is>
          <t>Cluj</t>
        </is>
      </c>
      <c r="E1162" t="inlineStr">
        <is>
          <t>PRD-001</t>
        </is>
      </c>
      <c r="F1162" t="inlineStr">
        <is>
          <t>Licenta Office 365 anuala</t>
        </is>
      </c>
      <c r="G1162" t="inlineStr">
        <is>
          <t>Licențe software</t>
        </is>
      </c>
      <c r="H1162" t="n">
        <v>1</v>
      </c>
      <c r="I1162" t="n">
        <v>2391.56</v>
      </c>
      <c r="J1162" t="n">
        <v>2391.56</v>
      </c>
      <c r="K1162" s="13" t="n">
        <v>0.19</v>
      </c>
      <c r="L1162" t="n">
        <v>454.4</v>
      </c>
      <c r="M1162" t="n">
        <v>2845.96</v>
      </c>
      <c r="N1162" t="inlineStr">
        <is>
          <t>RON</t>
        </is>
      </c>
      <c r="O1162" t="inlineStr">
        <is>
          <t>Cluj-Napoca</t>
        </is>
      </c>
      <c r="P1162" s="12" t="n">
        <v>46297</v>
      </c>
      <c r="Q1162">
        <f>IF(COUNTIF(tbl_Localitati[oras_oficial],[@oras])=0,"ORAS NEALINIAT",IF(XLOOKUP([@oras],tbl_Localitati[oras_oficial],tbl_Localitati[judet],"?")&lt;&gt;[@judet],"JUDET NECORESPUNZATOR",""))</f>
        <v/>
      </c>
      <c r="R1162">
        <f>IF(XLOOKUP([@categorie],tbl_RegulriTVA[categorie],tbl_RegulriTVA[cota_legala],-1)&lt;&gt;[@cota_tva],"TVA GRESIT","")</f>
        <v/>
      </c>
      <c r="S1162">
        <f>IF([@data_scadentei]&lt;[@data_factura],"SCADENTA INAINTEA FACTURII","")</f>
        <v/>
      </c>
      <c r="T1162">
        <f>IF(NETWORKDAYS.INTL([@data_factura],[@data_factura],1,tbl_SarbatoriLegale[data])=0,"ZI NELUCRATOARE","")</f>
        <v/>
      </c>
      <c r="U1162">
        <f>IF([@motiv_anomalie]="","OK","DE INVESTIGAT")</f>
        <v/>
      </c>
      <c r="V1162">
        <f>TEXTJOIN("; ",TRUE,[@flag_oras],[@flag_tva],[@flag_scadenta],[@flag_zi])</f>
        <v/>
      </c>
    </row>
    <row r="1163">
      <c r="A1163" t="inlineStr">
        <is>
          <t>F-2025-01162</t>
        </is>
      </c>
      <c r="B1163" s="12" t="n">
        <v>46385</v>
      </c>
      <c r="C1163" t="inlineStr">
        <is>
          <t>SC METALPLAST INVEST SA</t>
        </is>
      </c>
      <c r="D1163" t="inlineStr">
        <is>
          <t>Cluj</t>
        </is>
      </c>
      <c r="E1163" t="inlineStr">
        <is>
          <t>PRD-001</t>
        </is>
      </c>
      <c r="F1163" t="inlineStr">
        <is>
          <t>Manual proceduri interne</t>
        </is>
      </c>
      <c r="G1163" t="inlineStr">
        <is>
          <t>Cărți și manuale</t>
        </is>
      </c>
      <c r="H1163" t="n">
        <v>1</v>
      </c>
      <c r="I1163" t="n">
        <v>2334.66</v>
      </c>
      <c r="J1163" t="n">
        <v>2334.66</v>
      </c>
      <c r="K1163" s="13" t="n">
        <v>0.05</v>
      </c>
      <c r="L1163" t="n">
        <v>116.73</v>
      </c>
      <c r="M1163" t="n">
        <v>2451.39</v>
      </c>
      <c r="N1163" t="inlineStr">
        <is>
          <t>RON</t>
        </is>
      </c>
      <c r="O1163" t="inlineStr">
        <is>
          <t>Turda</t>
        </is>
      </c>
      <c r="P1163" s="12" t="n">
        <v>46445</v>
      </c>
      <c r="Q1163">
        <f>IF(COUNTIF(tbl_Localitati[oras_oficial],[@oras])=0,"ORAS NEALINIAT",IF(XLOOKUP([@oras],tbl_Localitati[oras_oficial],tbl_Localitati[judet],"?")&lt;&gt;[@judet],"JUDET NECORESPUNZATOR",""))</f>
        <v/>
      </c>
      <c r="R1163">
        <f>IF(XLOOKUP([@categorie],tbl_RegulriTVA[categorie],tbl_RegulriTVA[cota_legala],-1)&lt;&gt;[@cota_tva],"TVA GRESIT","")</f>
        <v/>
      </c>
      <c r="S1163">
        <f>IF([@data_scadentei]&lt;[@data_factura],"SCADENTA INAINTEA FACTURII","")</f>
        <v/>
      </c>
      <c r="T1163">
        <f>IF(NETWORKDAYS.INTL([@data_factura],[@data_factura],1,tbl_SarbatoriLegale[data])=0,"ZI NELUCRATOARE","")</f>
        <v/>
      </c>
      <c r="U1163">
        <f>IF([@motiv_anomalie]="","OK","DE INVESTIGAT")</f>
        <v/>
      </c>
      <c r="V1163">
        <f>TEXTJOIN("; ",TRUE,[@flag_oras],[@flag_tva],[@flag_scadenta],[@flag_zi])</f>
        <v/>
      </c>
    </row>
    <row r="1164">
      <c r="A1164" t="inlineStr">
        <is>
          <t>F-2025-01163</t>
        </is>
      </c>
      <c r="B1164" s="12" t="n">
        <v>46364</v>
      </c>
      <c r="C1164" t="inlineStr">
        <is>
          <t>SC RAPID LOGISTIC SA</t>
        </is>
      </c>
      <c r="D1164" t="inlineStr">
        <is>
          <t>Prahova</t>
        </is>
      </c>
      <c r="E1164" t="inlineStr">
        <is>
          <t>PRD-005</t>
        </is>
      </c>
      <c r="F1164" t="inlineStr">
        <is>
          <t>Tocator documente</t>
        </is>
      </c>
      <c r="G1164" t="inlineStr">
        <is>
          <t>Echipamente birou</t>
        </is>
      </c>
      <c r="H1164" t="n">
        <v>2</v>
      </c>
      <c r="I1164" t="n">
        <v>247.9</v>
      </c>
      <c r="J1164" t="n">
        <v>495.8</v>
      </c>
      <c r="K1164" s="13" t="n">
        <v>0.19</v>
      </c>
      <c r="L1164" t="n">
        <v>94.2</v>
      </c>
      <c r="M1164" t="n">
        <v>590</v>
      </c>
      <c r="N1164" t="inlineStr">
        <is>
          <t>RON</t>
        </is>
      </c>
      <c r="O1164" t="inlineStr">
        <is>
          <t>Ploiești</t>
        </is>
      </c>
      <c r="P1164" s="12" t="n">
        <v>46394</v>
      </c>
      <c r="Q1164">
        <f>IF(COUNTIF(tbl_Localitati[oras_oficial],[@oras])=0,"ORAS NEALINIAT",IF(XLOOKUP([@oras],tbl_Localitati[oras_oficial],tbl_Localitati[judet],"?")&lt;&gt;[@judet],"JUDET NECORESPUNZATOR",""))</f>
        <v/>
      </c>
      <c r="R1164">
        <f>IF(XLOOKUP([@categorie],tbl_RegulriTVA[categorie],tbl_RegulriTVA[cota_legala],-1)&lt;&gt;[@cota_tva],"TVA GRESIT","")</f>
        <v/>
      </c>
      <c r="S1164">
        <f>IF([@data_scadentei]&lt;[@data_factura],"SCADENTA INAINTEA FACTURII","")</f>
        <v/>
      </c>
      <c r="T1164">
        <f>IF(NETWORKDAYS.INTL([@data_factura],[@data_factura],1,tbl_SarbatoriLegale[data])=0,"ZI NELUCRATOARE","")</f>
        <v/>
      </c>
      <c r="U1164">
        <f>IF([@motiv_anomalie]="","OK","DE INVESTIGAT")</f>
        <v/>
      </c>
      <c r="V1164">
        <f>TEXTJOIN("; ",TRUE,[@flag_oras],[@flag_tva],[@flag_scadenta],[@flag_zi])</f>
        <v/>
      </c>
    </row>
    <row r="1165">
      <c r="A1165" t="inlineStr">
        <is>
          <t>F-2025-01164</t>
        </is>
      </c>
      <c r="B1165" s="12" t="n">
        <v>46322</v>
      </c>
      <c r="C1165" t="inlineStr">
        <is>
          <t>SC DACTECH SOLUTIONS SRL</t>
        </is>
      </c>
      <c r="D1165" t="inlineStr">
        <is>
          <t>Argeș</t>
        </is>
      </c>
      <c r="E1165" t="inlineStr">
        <is>
          <t>PRD-009</t>
        </is>
      </c>
      <c r="F1165" t="inlineStr">
        <is>
          <t>Audit infrastructura</t>
        </is>
      </c>
      <c r="G1165" t="inlineStr">
        <is>
          <t>Servicii consultanță</t>
        </is>
      </c>
      <c r="H1165" t="n">
        <v>20</v>
      </c>
      <c r="I1165" t="n">
        <v>28.29</v>
      </c>
      <c r="J1165" t="n">
        <v>565.8</v>
      </c>
      <c r="K1165" s="13" t="n">
        <v>0.19</v>
      </c>
      <c r="L1165" t="n">
        <v>107.5</v>
      </c>
      <c r="M1165" t="n">
        <v>673.3</v>
      </c>
      <c r="N1165" t="inlineStr">
        <is>
          <t>RON</t>
        </is>
      </c>
      <c r="O1165" t="inlineStr">
        <is>
          <t>Pitești</t>
        </is>
      </c>
      <c r="P1165" s="12" t="n">
        <v>46337</v>
      </c>
      <c r="Q1165">
        <f>IF(COUNTIF(tbl_Localitati[oras_oficial],[@oras])=0,"ORAS NEALINIAT",IF(XLOOKUP([@oras],tbl_Localitati[oras_oficial],tbl_Localitati[judet],"?")&lt;&gt;[@judet],"JUDET NECORESPUNZATOR",""))</f>
        <v/>
      </c>
      <c r="R1165">
        <f>IF(XLOOKUP([@categorie],tbl_RegulriTVA[categorie],tbl_RegulriTVA[cota_legala],-1)&lt;&gt;[@cota_tva],"TVA GRESIT","")</f>
        <v/>
      </c>
      <c r="S1165">
        <f>IF([@data_scadentei]&lt;[@data_factura],"SCADENTA INAINTEA FACTURII","")</f>
        <v/>
      </c>
      <c r="T1165">
        <f>IF(NETWORKDAYS.INTL([@data_factura],[@data_factura],1,tbl_SarbatoriLegale[data])=0,"ZI NELUCRATOARE","")</f>
        <v/>
      </c>
      <c r="U1165">
        <f>IF([@motiv_anomalie]="","OK","DE INVESTIGAT")</f>
        <v/>
      </c>
      <c r="V1165">
        <f>TEXTJOIN("; ",TRUE,[@flag_oras],[@flag_tva],[@flag_scadenta],[@flag_zi])</f>
        <v/>
      </c>
    </row>
    <row r="1166">
      <c r="A1166" t="inlineStr">
        <is>
          <t>F-2025-01165</t>
        </is>
      </c>
      <c r="B1166" s="12" t="n">
        <v>46252</v>
      </c>
      <c r="C1166" t="inlineStr">
        <is>
          <t>SC DACTECH SOLUTIONS SRL</t>
        </is>
      </c>
      <c r="D1166" t="inlineStr">
        <is>
          <t>Argeș</t>
        </is>
      </c>
      <c r="E1166" t="inlineStr">
        <is>
          <t>PRD-002</t>
        </is>
      </c>
      <c r="F1166" t="inlineStr">
        <is>
          <t>Licenta ERP contabilitate</t>
        </is>
      </c>
      <c r="G1166" t="inlineStr">
        <is>
          <t>Licențe software</t>
        </is>
      </c>
      <c r="H1166" t="n">
        <v>1</v>
      </c>
      <c r="I1166" t="n">
        <v>1078.3</v>
      </c>
      <c r="J1166" t="n">
        <v>1078.3</v>
      </c>
      <c r="K1166" s="13" t="n">
        <v>0.19</v>
      </c>
      <c r="L1166" t="n">
        <v>204.88</v>
      </c>
      <c r="M1166" t="n">
        <v>1283.18</v>
      </c>
      <c r="N1166" t="inlineStr">
        <is>
          <t>RON</t>
        </is>
      </c>
      <c r="O1166" t="inlineStr">
        <is>
          <t>Pitești</t>
        </is>
      </c>
      <c r="P1166" s="12" t="n">
        <v>46282</v>
      </c>
      <c r="Q1166">
        <f>IF(COUNTIF(tbl_Localitati[oras_oficial],[@oras])=0,"ORAS NEALINIAT",IF(XLOOKUP([@oras],tbl_Localitati[oras_oficial],tbl_Localitati[judet],"?")&lt;&gt;[@judet],"JUDET NECORESPUNZATOR",""))</f>
        <v/>
      </c>
      <c r="R1166">
        <f>IF(XLOOKUP([@categorie],tbl_RegulriTVA[categorie],tbl_RegulriTVA[cota_legala],-1)&lt;&gt;[@cota_tva],"TVA GRESIT","")</f>
        <v/>
      </c>
      <c r="S1166">
        <f>IF([@data_scadentei]&lt;[@data_factura],"SCADENTA INAINTEA FACTURII","")</f>
        <v/>
      </c>
      <c r="T1166">
        <f>IF(NETWORKDAYS.INTL([@data_factura],[@data_factura],1,tbl_SarbatoriLegale[data])=0,"ZI NELUCRATOARE","")</f>
        <v/>
      </c>
      <c r="U1166">
        <f>IF([@motiv_anomalie]="","OK","DE INVESTIGAT")</f>
        <v/>
      </c>
      <c r="V1166">
        <f>TEXTJOIN("; ",TRUE,[@flag_oras],[@flag_tva],[@flag_scadenta],[@flag_zi])</f>
        <v/>
      </c>
    </row>
    <row r="1167">
      <c r="A1167" t="inlineStr">
        <is>
          <t>F-2025-01166</t>
        </is>
      </c>
      <c r="B1167" s="12" t="n">
        <v>46358</v>
      </c>
      <c r="C1167" t="inlineStr">
        <is>
          <t>SC DACTECH SOLUTIONS SRL</t>
        </is>
      </c>
      <c r="D1167" t="inlineStr">
        <is>
          <t>Argeș</t>
        </is>
      </c>
      <c r="E1167" t="inlineStr">
        <is>
          <t>PRD-011</t>
        </is>
      </c>
      <c r="F1167" t="inlineStr">
        <is>
          <t>Videoproiector sala</t>
        </is>
      </c>
      <c r="G1167" t="inlineStr">
        <is>
          <t>Echipamente birou</t>
        </is>
      </c>
      <c r="H1167" t="n">
        <v>20</v>
      </c>
      <c r="I1167" t="n">
        <v>46</v>
      </c>
      <c r="J1167" t="n">
        <v>920</v>
      </c>
      <c r="K1167" s="13" t="n">
        <v>0.19</v>
      </c>
      <c r="L1167" t="n">
        <v>174.8</v>
      </c>
      <c r="M1167" t="n">
        <v>1094.8</v>
      </c>
      <c r="N1167" t="inlineStr">
        <is>
          <t>RON</t>
        </is>
      </c>
      <c r="O1167" t="inlineStr">
        <is>
          <t>Pitești</t>
        </is>
      </c>
      <c r="P1167" s="12" t="n">
        <v>46388</v>
      </c>
      <c r="Q1167">
        <f>IF(COUNTIF(tbl_Localitati[oras_oficial],[@oras])=0,"ORAS NEALINIAT",IF(XLOOKUP([@oras],tbl_Localitati[oras_oficial],tbl_Localitati[judet],"?")&lt;&gt;[@judet],"JUDET NECORESPUNZATOR",""))</f>
        <v/>
      </c>
      <c r="R1167">
        <f>IF(XLOOKUP([@categorie],tbl_RegulriTVA[categorie],tbl_RegulriTVA[cota_legala],-1)&lt;&gt;[@cota_tva],"TVA GRESIT","")</f>
        <v/>
      </c>
      <c r="S1167">
        <f>IF([@data_scadentei]&lt;[@data_factura],"SCADENTA INAINTEA FACTURII","")</f>
        <v/>
      </c>
      <c r="T1167">
        <f>IF(NETWORKDAYS.INTL([@data_factura],[@data_factura],1,tbl_SarbatoriLegale[data])=0,"ZI NELUCRATOARE","")</f>
        <v/>
      </c>
      <c r="U1167">
        <f>IF([@motiv_anomalie]="","OK","DE INVESTIGAT")</f>
        <v/>
      </c>
      <c r="V1167">
        <f>TEXTJOIN("; ",TRUE,[@flag_oras],[@flag_tva],[@flag_scadenta],[@flag_zi])</f>
        <v/>
      </c>
    </row>
    <row r="1168">
      <c r="A1168" t="inlineStr">
        <is>
          <t>F-2025-01167</t>
        </is>
      </c>
      <c r="B1168" s="12" t="n">
        <v>46119</v>
      </c>
      <c r="C1168" t="inlineStr">
        <is>
          <t>SC SOLARIS ENERGY SRL</t>
        </is>
      </c>
      <c r="D1168" t="inlineStr">
        <is>
          <t>Prahova</t>
        </is>
      </c>
      <c r="E1168" t="inlineStr">
        <is>
          <t>PRD-011</t>
        </is>
      </c>
      <c r="F1168" t="inlineStr">
        <is>
          <t>Telefon IP birou</t>
        </is>
      </c>
      <c r="G1168" t="inlineStr">
        <is>
          <t>Echipamente birou</t>
        </is>
      </c>
      <c r="H1168" t="n">
        <v>20</v>
      </c>
      <c r="I1168" t="n">
        <v>43.88</v>
      </c>
      <c r="J1168" t="n">
        <v>877.6</v>
      </c>
      <c r="K1168" s="13" t="n">
        <v>0.19</v>
      </c>
      <c r="L1168" t="n">
        <v>166.74</v>
      </c>
      <c r="M1168" t="n">
        <v>1044.34</v>
      </c>
      <c r="N1168" t="inlineStr">
        <is>
          <t>RON</t>
        </is>
      </c>
      <c r="O1168" t="inlineStr">
        <is>
          <t>Câmpina</t>
        </is>
      </c>
      <c r="P1168" s="12" t="n">
        <v>46149</v>
      </c>
      <c r="Q1168">
        <f>IF(COUNTIF(tbl_Localitati[oras_oficial],[@oras])=0,"ORAS NEALINIAT",IF(XLOOKUP([@oras],tbl_Localitati[oras_oficial],tbl_Localitati[judet],"?")&lt;&gt;[@judet],"JUDET NECORESPUNZATOR",""))</f>
        <v/>
      </c>
      <c r="R1168">
        <f>IF(XLOOKUP([@categorie],tbl_RegulriTVA[categorie],tbl_RegulriTVA[cota_legala],-1)&lt;&gt;[@cota_tva],"TVA GRESIT","")</f>
        <v/>
      </c>
      <c r="S1168">
        <f>IF([@data_scadentei]&lt;[@data_factura],"SCADENTA INAINTEA FACTURII","")</f>
        <v/>
      </c>
      <c r="T1168">
        <f>IF(NETWORKDAYS.INTL([@data_factura],[@data_factura],1,tbl_SarbatoriLegale[data])=0,"ZI NELUCRATOARE","")</f>
        <v/>
      </c>
      <c r="U1168">
        <f>IF([@motiv_anomalie]="","OK","DE INVESTIGAT")</f>
        <v/>
      </c>
      <c r="V1168">
        <f>TEXTJOIN("; ",TRUE,[@flag_oras],[@flag_tva],[@flag_scadenta],[@flag_zi])</f>
        <v/>
      </c>
    </row>
    <row r="1169">
      <c r="A1169" t="inlineStr">
        <is>
          <t>F-2025-01168</t>
        </is>
      </c>
      <c r="B1169" s="12" t="n">
        <v>46276</v>
      </c>
      <c r="C1169" t="inlineStr">
        <is>
          <t>SC DACTECH SOLUTIONS SRL</t>
        </is>
      </c>
      <c r="D1169" t="inlineStr">
        <is>
          <t>Argeș</t>
        </is>
      </c>
      <c r="E1169" t="inlineStr">
        <is>
          <t>PRD-013</t>
        </is>
      </c>
      <c r="F1169" t="inlineStr">
        <is>
          <t>Abonament suita cloud</t>
        </is>
      </c>
      <c r="G1169" t="inlineStr">
        <is>
          <t>Licențe software</t>
        </is>
      </c>
      <c r="H1169" t="n">
        <v>1</v>
      </c>
      <c r="I1169" t="n">
        <v>1232.02</v>
      </c>
      <c r="J1169" t="n">
        <v>1232.02</v>
      </c>
      <c r="K1169" s="13" t="n">
        <v>0.19</v>
      </c>
      <c r="L1169" t="n">
        <v>234.08</v>
      </c>
      <c r="M1169" t="n">
        <v>1466.1</v>
      </c>
      <c r="N1169" t="inlineStr">
        <is>
          <t>RON</t>
        </is>
      </c>
      <c r="O1169" t="inlineStr">
        <is>
          <t>Pitești</t>
        </is>
      </c>
      <c r="P1169" s="12" t="n">
        <v>46321</v>
      </c>
      <c r="Q1169">
        <f>IF(COUNTIF(tbl_Localitati[oras_oficial],[@oras])=0,"ORAS NEALINIAT",IF(XLOOKUP([@oras],tbl_Localitati[oras_oficial],tbl_Localitati[judet],"?")&lt;&gt;[@judet],"JUDET NECORESPUNZATOR",""))</f>
        <v/>
      </c>
      <c r="R1169">
        <f>IF(XLOOKUP([@categorie],tbl_RegulriTVA[categorie],tbl_RegulriTVA[cota_legala],-1)&lt;&gt;[@cota_tva],"TVA GRESIT","")</f>
        <v/>
      </c>
      <c r="S1169">
        <f>IF([@data_scadentei]&lt;[@data_factura],"SCADENTA INAINTEA FACTURII","")</f>
        <v/>
      </c>
      <c r="T1169">
        <f>IF(NETWORKDAYS.INTL([@data_factura],[@data_factura],1,tbl_SarbatoriLegale[data])=0,"ZI NELUCRATOARE","")</f>
        <v/>
      </c>
      <c r="U1169">
        <f>IF([@motiv_anomalie]="","OK","DE INVESTIGAT")</f>
        <v/>
      </c>
      <c r="V1169">
        <f>TEXTJOIN("; ",TRUE,[@flag_oras],[@flag_tva],[@flag_scadenta],[@flag_zi])</f>
        <v/>
      </c>
    </row>
    <row r="1170">
      <c r="A1170" t="inlineStr">
        <is>
          <t>F-2025-01169</t>
        </is>
      </c>
      <c r="B1170" s="12" t="n">
        <v>46065</v>
      </c>
      <c r="C1170" t="inlineStr">
        <is>
          <t>SC ZENITH AUTO SRL</t>
        </is>
      </c>
      <c r="D1170" t="inlineStr">
        <is>
          <t>București</t>
        </is>
      </c>
      <c r="E1170" t="inlineStr">
        <is>
          <t>PRD-001</t>
        </is>
      </c>
      <c r="F1170" t="inlineStr">
        <is>
          <t>Suport tehnic anual</t>
        </is>
      </c>
      <c r="G1170" t="inlineStr">
        <is>
          <t>Servicii consultanță</t>
        </is>
      </c>
      <c r="H1170" t="n">
        <v>1</v>
      </c>
      <c r="I1170" t="n">
        <v>2286.93</v>
      </c>
      <c r="J1170" t="n">
        <v>2286.93</v>
      </c>
      <c r="K1170" s="13" t="n">
        <v>0.19</v>
      </c>
      <c r="L1170" t="n">
        <v>434.52</v>
      </c>
      <c r="M1170" t="n">
        <v>2721.45</v>
      </c>
      <c r="N1170" t="inlineStr">
        <is>
          <t>RON</t>
        </is>
      </c>
      <c r="O1170" t="inlineStr">
        <is>
          <t>București</t>
        </is>
      </c>
      <c r="P1170" s="12" t="n">
        <v>46080</v>
      </c>
      <c r="Q1170">
        <f>IF(COUNTIF(tbl_Localitati[oras_oficial],[@oras])=0,"ORAS NEALINIAT",IF(XLOOKUP([@oras],tbl_Localitati[oras_oficial],tbl_Localitati[judet],"?")&lt;&gt;[@judet],"JUDET NECORESPUNZATOR",""))</f>
        <v/>
      </c>
      <c r="R1170">
        <f>IF(XLOOKUP([@categorie],tbl_RegulriTVA[categorie],tbl_RegulriTVA[cota_legala],-1)&lt;&gt;[@cota_tva],"TVA GRESIT","")</f>
        <v/>
      </c>
      <c r="S1170">
        <f>IF([@data_scadentei]&lt;[@data_factura],"SCADENTA INAINTEA FACTURII","")</f>
        <v/>
      </c>
      <c r="T1170">
        <f>IF(NETWORKDAYS.INTL([@data_factura],[@data_factura],1,tbl_SarbatoriLegale[data])=0,"ZI NELUCRATOARE","")</f>
        <v/>
      </c>
      <c r="U1170">
        <f>IF([@motiv_anomalie]="","OK","DE INVESTIGAT")</f>
        <v/>
      </c>
      <c r="V1170">
        <f>TEXTJOIN("; ",TRUE,[@flag_oras],[@flag_tva],[@flag_scadenta],[@flag_zi])</f>
        <v/>
      </c>
    </row>
    <row r="1171">
      <c r="A1171" t="inlineStr">
        <is>
          <t>F-2025-01170</t>
        </is>
      </c>
      <c r="B1171" s="12" t="n">
        <v>46266</v>
      </c>
      <c r="C1171" t="inlineStr">
        <is>
          <t>SC DACTECH SOLUTIONS SRL</t>
        </is>
      </c>
      <c r="D1171" t="inlineStr">
        <is>
          <t>Argeș</t>
        </is>
      </c>
      <c r="E1171" t="inlineStr">
        <is>
          <t>PRD-004</t>
        </is>
      </c>
      <c r="F1171" t="inlineStr">
        <is>
          <t>Suport tehnic anual</t>
        </is>
      </c>
      <c r="G1171" t="inlineStr">
        <is>
          <t>Servicii consultanță</t>
        </is>
      </c>
      <c r="H1171" t="n">
        <v>5</v>
      </c>
      <c r="I1171" t="n">
        <v>890.26</v>
      </c>
      <c r="J1171" t="n">
        <v>4451.3</v>
      </c>
      <c r="K1171" s="13" t="n">
        <v>0.19</v>
      </c>
      <c r="L1171" t="n">
        <v>845.75</v>
      </c>
      <c r="M1171" t="n">
        <v>5297.05</v>
      </c>
      <c r="N1171" t="inlineStr">
        <is>
          <t>RON</t>
        </is>
      </c>
      <c r="O1171" t="inlineStr">
        <is>
          <t>Pitești</t>
        </is>
      </c>
      <c r="P1171" s="12" t="n">
        <v>46311</v>
      </c>
      <c r="Q1171">
        <f>IF(COUNTIF(tbl_Localitati[oras_oficial],[@oras])=0,"ORAS NEALINIAT",IF(XLOOKUP([@oras],tbl_Localitati[oras_oficial],tbl_Localitati[judet],"?")&lt;&gt;[@judet],"JUDET NECORESPUNZATOR",""))</f>
        <v/>
      </c>
      <c r="R1171">
        <f>IF(XLOOKUP([@categorie],tbl_RegulriTVA[categorie],tbl_RegulriTVA[cota_legala],-1)&lt;&gt;[@cota_tva],"TVA GRESIT","")</f>
        <v/>
      </c>
      <c r="S1171">
        <f>IF([@data_scadentei]&lt;[@data_factura],"SCADENTA INAINTEA FACTURII","")</f>
        <v/>
      </c>
      <c r="T1171">
        <f>IF(NETWORKDAYS.INTL([@data_factura],[@data_factura],1,tbl_SarbatoriLegale[data])=0,"ZI NELUCRATOARE","")</f>
        <v/>
      </c>
      <c r="U1171">
        <f>IF([@motiv_anomalie]="","OK","DE INVESTIGAT")</f>
        <v/>
      </c>
      <c r="V1171">
        <f>TEXTJOIN("; ",TRUE,[@flag_oras],[@flag_tva],[@flag_scadenta],[@flag_zi])</f>
        <v/>
      </c>
    </row>
    <row r="1172">
      <c r="A1172" t="inlineStr">
        <is>
          <t>F-2025-01171</t>
        </is>
      </c>
      <c r="B1172" s="12" t="n">
        <v>46280</v>
      </c>
      <c r="C1172" t="inlineStr">
        <is>
          <t>SC DACTECH SOLUTIONS SRL</t>
        </is>
      </c>
      <c r="D1172" t="inlineStr">
        <is>
          <t>Argeș</t>
        </is>
      </c>
      <c r="E1172" t="inlineStr">
        <is>
          <t>PRD-005</t>
        </is>
      </c>
      <c r="F1172" t="inlineStr">
        <is>
          <t>Abonament suita cloud</t>
        </is>
      </c>
      <c r="G1172" t="inlineStr">
        <is>
          <t>Licențe software</t>
        </is>
      </c>
      <c r="H1172" t="n">
        <v>1</v>
      </c>
      <c r="I1172" t="n">
        <v>246.93</v>
      </c>
      <c r="J1172" t="n">
        <v>246.93</v>
      </c>
      <c r="K1172" s="13" t="n">
        <v>0.19</v>
      </c>
      <c r="L1172" t="n">
        <v>46.92</v>
      </c>
      <c r="M1172" t="n">
        <v>293.85</v>
      </c>
      <c r="N1172" t="inlineStr">
        <is>
          <t>RON</t>
        </is>
      </c>
      <c r="O1172" t="inlineStr">
        <is>
          <t>Pitești</t>
        </is>
      </c>
      <c r="P1172" s="12" t="n">
        <v>46295</v>
      </c>
      <c r="Q1172">
        <f>IF(COUNTIF(tbl_Localitati[oras_oficial],[@oras])=0,"ORAS NEALINIAT",IF(XLOOKUP([@oras],tbl_Localitati[oras_oficial],tbl_Localitati[judet],"?")&lt;&gt;[@judet],"JUDET NECORESPUNZATOR",""))</f>
        <v/>
      </c>
      <c r="R1172">
        <f>IF(XLOOKUP([@categorie],tbl_RegulriTVA[categorie],tbl_RegulriTVA[cota_legala],-1)&lt;&gt;[@cota_tva],"TVA GRESIT","")</f>
        <v/>
      </c>
      <c r="S1172">
        <f>IF([@data_scadentei]&lt;[@data_factura],"SCADENTA INAINTEA FACTURII","")</f>
        <v/>
      </c>
      <c r="T1172">
        <f>IF(NETWORKDAYS.INTL([@data_factura],[@data_factura],1,tbl_SarbatoriLegale[data])=0,"ZI NELUCRATOARE","")</f>
        <v/>
      </c>
      <c r="U1172">
        <f>IF([@motiv_anomalie]="","OK","DE INVESTIGAT")</f>
        <v/>
      </c>
      <c r="V1172">
        <f>TEXTJOIN("; ",TRUE,[@flag_oras],[@flag_tva],[@flag_scadenta],[@flag_zi])</f>
        <v/>
      </c>
    </row>
    <row r="1173">
      <c r="A1173" t="inlineStr">
        <is>
          <t>F-2025-01172</t>
        </is>
      </c>
      <c r="B1173" s="12" t="n">
        <v>46154</v>
      </c>
      <c r="C1173" t="inlineStr">
        <is>
          <t>SC OMEGA SOFT SRL</t>
        </is>
      </c>
      <c r="D1173" t="inlineStr">
        <is>
          <t>Dolj</t>
        </is>
      </c>
      <c r="E1173" t="inlineStr">
        <is>
          <t>PRD-009</t>
        </is>
      </c>
      <c r="F1173" t="inlineStr">
        <is>
          <t>Monitor 27" 4K</t>
        </is>
      </c>
      <c r="G1173" t="inlineStr">
        <is>
          <t>Hardware IT</t>
        </is>
      </c>
      <c r="H1173" t="n">
        <v>10</v>
      </c>
      <c r="I1173" t="n">
        <v>28.41</v>
      </c>
      <c r="J1173" t="n">
        <v>284.1</v>
      </c>
      <c r="K1173" s="13" t="n">
        <v>0.19</v>
      </c>
      <c r="L1173" t="n">
        <v>53.98</v>
      </c>
      <c r="M1173" t="n">
        <v>338.08</v>
      </c>
      <c r="N1173" t="inlineStr">
        <is>
          <t>RON</t>
        </is>
      </c>
      <c r="O1173" t="inlineStr">
        <is>
          <t>Craiova</t>
        </is>
      </c>
      <c r="P1173" s="12" t="n">
        <v>46151</v>
      </c>
      <c r="Q1173">
        <f>IF(COUNTIF(tbl_Localitati[oras_oficial],[@oras])=0,"ORAS NEALINIAT",IF(XLOOKUP([@oras],tbl_Localitati[oras_oficial],tbl_Localitati[judet],"?")&lt;&gt;[@judet],"JUDET NECORESPUNZATOR",""))</f>
        <v/>
      </c>
      <c r="R1173">
        <f>IF(XLOOKUP([@categorie],tbl_RegulriTVA[categorie],tbl_RegulriTVA[cota_legala],-1)&lt;&gt;[@cota_tva],"TVA GRESIT","")</f>
        <v/>
      </c>
      <c r="S1173">
        <f>IF([@data_scadentei]&lt;[@data_factura],"SCADENTA INAINTEA FACTURII","")</f>
        <v/>
      </c>
      <c r="T1173">
        <f>IF(NETWORKDAYS.INTL([@data_factura],[@data_factura],1,tbl_SarbatoriLegale[data])=0,"ZI NELUCRATOARE","")</f>
        <v/>
      </c>
      <c r="U1173">
        <f>IF([@motiv_anomalie]="","OK","DE INVESTIGAT")</f>
        <v/>
      </c>
      <c r="V1173">
        <f>TEXTJOIN("; ",TRUE,[@flag_oras],[@flag_tva],[@flag_scadenta],[@flag_zi])</f>
        <v/>
      </c>
    </row>
    <row r="1174">
      <c r="A1174" t="inlineStr">
        <is>
          <t>F-2025-01173</t>
        </is>
      </c>
      <c r="B1174" s="12" t="n">
        <v>46121</v>
      </c>
      <c r="C1174" t="inlineStr">
        <is>
          <t>SC RAPID LOGISTIC SA</t>
        </is>
      </c>
      <c r="D1174" t="inlineStr">
        <is>
          <t>Prahova</t>
        </is>
      </c>
      <c r="E1174" t="inlineStr">
        <is>
          <t>PRD-001</t>
        </is>
      </c>
      <c r="F1174" t="inlineStr">
        <is>
          <t>Licenta ERP contabilitate</t>
        </is>
      </c>
      <c r="G1174" t="inlineStr">
        <is>
          <t>Licențe software</t>
        </is>
      </c>
      <c r="H1174" t="n">
        <v>3</v>
      </c>
      <c r="I1174" t="n">
        <v>2517.43</v>
      </c>
      <c r="J1174" t="n">
        <v>7552.29</v>
      </c>
      <c r="K1174" s="13" t="n">
        <v>0.19</v>
      </c>
      <c r="L1174" t="n">
        <v>1434.94</v>
      </c>
      <c r="M1174" t="n">
        <v>8987.23</v>
      </c>
      <c r="N1174" t="inlineStr">
        <is>
          <t>RON</t>
        </is>
      </c>
      <c r="O1174" t="inlineStr">
        <is>
          <t>Ploiești</t>
        </is>
      </c>
      <c r="P1174" s="12" t="n">
        <v>46181</v>
      </c>
      <c r="Q1174">
        <f>IF(COUNTIF(tbl_Localitati[oras_oficial],[@oras])=0,"ORAS NEALINIAT",IF(XLOOKUP([@oras],tbl_Localitati[oras_oficial],tbl_Localitati[judet],"?")&lt;&gt;[@judet],"JUDET NECORESPUNZATOR",""))</f>
        <v/>
      </c>
      <c r="R1174">
        <f>IF(XLOOKUP([@categorie],tbl_RegulriTVA[categorie],tbl_RegulriTVA[cota_legala],-1)&lt;&gt;[@cota_tva],"TVA GRESIT","")</f>
        <v/>
      </c>
      <c r="S1174">
        <f>IF([@data_scadentei]&lt;[@data_factura],"SCADENTA INAINTEA FACTURII","")</f>
        <v/>
      </c>
      <c r="T1174">
        <f>IF(NETWORKDAYS.INTL([@data_factura],[@data_factura],1,tbl_SarbatoriLegale[data])=0,"ZI NELUCRATOARE","")</f>
        <v/>
      </c>
      <c r="U1174">
        <f>IF([@motiv_anomalie]="","OK","DE INVESTIGAT")</f>
        <v/>
      </c>
      <c r="V1174">
        <f>TEXTJOIN("; ",TRUE,[@flag_oras],[@flag_tva],[@flag_scadenta],[@flag_zi])</f>
        <v/>
      </c>
    </row>
    <row r="1175">
      <c r="A1175" t="inlineStr">
        <is>
          <t>F-2025-01174</t>
        </is>
      </c>
      <c r="B1175" s="12" t="n">
        <v>46083</v>
      </c>
      <c r="C1175" t="inlineStr">
        <is>
          <t>SC ELECTROBUILD SRL</t>
        </is>
      </c>
      <c r="D1175" t="inlineStr">
        <is>
          <t>Bacău</t>
        </is>
      </c>
      <c r="E1175" t="inlineStr">
        <is>
          <t>PRD-007</t>
        </is>
      </c>
      <c r="F1175" t="inlineStr">
        <is>
          <t>Statie de lucru desktop</t>
        </is>
      </c>
      <c r="G1175" t="inlineStr">
        <is>
          <t>Hardware IT</t>
        </is>
      </c>
      <c r="H1175" t="n">
        <v>5</v>
      </c>
      <c r="I1175" t="n">
        <v>174.09</v>
      </c>
      <c r="J1175" t="n">
        <v>870.45</v>
      </c>
      <c r="K1175" s="13" t="n">
        <v>0.19</v>
      </c>
      <c r="L1175" t="n">
        <v>165.39</v>
      </c>
      <c r="M1175" t="n">
        <v>1035.84</v>
      </c>
      <c r="N1175" t="inlineStr">
        <is>
          <t>RON</t>
        </is>
      </c>
      <c r="O1175" t="inlineStr">
        <is>
          <t>Bacău</t>
        </is>
      </c>
      <c r="P1175" s="12" t="n">
        <v>46128</v>
      </c>
      <c r="Q1175">
        <f>IF(COUNTIF(tbl_Localitati[oras_oficial],[@oras])=0,"ORAS NEALINIAT",IF(XLOOKUP([@oras],tbl_Localitati[oras_oficial],tbl_Localitati[judet],"?")&lt;&gt;[@judet],"JUDET NECORESPUNZATOR",""))</f>
        <v/>
      </c>
      <c r="R1175">
        <f>IF(XLOOKUP([@categorie],tbl_RegulriTVA[categorie],tbl_RegulriTVA[cota_legala],-1)&lt;&gt;[@cota_tva],"TVA GRESIT","")</f>
        <v/>
      </c>
      <c r="S1175">
        <f>IF([@data_scadentei]&lt;[@data_factura],"SCADENTA INAINTEA FACTURII","")</f>
        <v/>
      </c>
      <c r="T1175">
        <f>IF(NETWORKDAYS.INTL([@data_factura],[@data_factura],1,tbl_SarbatoriLegale[data])=0,"ZI NELUCRATOARE","")</f>
        <v/>
      </c>
      <c r="U1175">
        <f>IF([@motiv_anomalie]="","OK","DE INVESTIGAT")</f>
        <v/>
      </c>
      <c r="V1175">
        <f>TEXTJOIN("; ",TRUE,[@flag_oras],[@flag_tva],[@flag_scadenta],[@flag_zi])</f>
        <v/>
      </c>
    </row>
    <row r="1176">
      <c r="A1176" t="inlineStr">
        <is>
          <t>F-2025-01175</t>
        </is>
      </c>
      <c r="B1176" s="12" t="n">
        <v>46323</v>
      </c>
      <c r="C1176" t="inlineStr">
        <is>
          <t>SC UNIFOOD DISTRIBUTION SA</t>
        </is>
      </c>
      <c r="D1176" t="inlineStr">
        <is>
          <t>Sibiu</t>
        </is>
      </c>
      <c r="E1176" t="inlineStr">
        <is>
          <t>PRD-005</t>
        </is>
      </c>
      <c r="F1176" t="inlineStr">
        <is>
          <t>Server rack 1U</t>
        </is>
      </c>
      <c r="G1176" t="inlineStr">
        <is>
          <t>Hardware IT</t>
        </is>
      </c>
      <c r="H1176" t="n">
        <v>2</v>
      </c>
      <c r="I1176" t="n">
        <v>255.93</v>
      </c>
      <c r="J1176" t="n">
        <v>511.86</v>
      </c>
      <c r="K1176" s="13" t="n">
        <v>0.19</v>
      </c>
      <c r="L1176" t="n">
        <v>97.25</v>
      </c>
      <c r="M1176" t="n">
        <v>609.11</v>
      </c>
      <c r="N1176" t="inlineStr">
        <is>
          <t>RON</t>
        </is>
      </c>
      <c r="O1176" t="inlineStr">
        <is>
          <t>Mediaș</t>
        </is>
      </c>
      <c r="P1176" s="12" t="n">
        <v>46368</v>
      </c>
      <c r="Q1176">
        <f>IF(COUNTIF(tbl_Localitati[oras_oficial],[@oras])=0,"ORAS NEALINIAT",IF(XLOOKUP([@oras],tbl_Localitati[oras_oficial],tbl_Localitati[judet],"?")&lt;&gt;[@judet],"JUDET NECORESPUNZATOR",""))</f>
        <v/>
      </c>
      <c r="R1176">
        <f>IF(XLOOKUP([@categorie],tbl_RegulriTVA[categorie],tbl_RegulriTVA[cota_legala],-1)&lt;&gt;[@cota_tva],"TVA GRESIT","")</f>
        <v/>
      </c>
      <c r="S1176">
        <f>IF([@data_scadentei]&lt;[@data_factura],"SCADENTA INAINTEA FACTURII","")</f>
        <v/>
      </c>
      <c r="T1176">
        <f>IF(NETWORKDAYS.INTL([@data_factura],[@data_factura],1,tbl_SarbatoriLegale[data])=0,"ZI NELUCRATOARE","")</f>
        <v/>
      </c>
      <c r="U1176">
        <f>IF([@motiv_anomalie]="","OK","DE INVESTIGAT")</f>
        <v/>
      </c>
      <c r="V1176">
        <f>TEXTJOIN("; ",TRUE,[@flag_oras],[@flag_tva],[@flag_scadenta],[@flag_zi])</f>
        <v/>
      </c>
    </row>
    <row r="1177">
      <c r="A1177" t="inlineStr">
        <is>
          <t>F-2025-01176</t>
        </is>
      </c>
      <c r="B1177" s="12" t="n">
        <v>46147</v>
      </c>
      <c r="C1177" t="inlineStr">
        <is>
          <t>SC AROMET TRADING SRL</t>
        </is>
      </c>
      <c r="D1177" t="inlineStr">
        <is>
          <t>Alba</t>
        </is>
      </c>
      <c r="E1177" t="inlineStr">
        <is>
          <t>PRD-008</t>
        </is>
      </c>
      <c r="F1177" t="inlineStr">
        <is>
          <t>Apa plata bax</t>
        </is>
      </c>
      <c r="G1177" t="inlineStr">
        <is>
          <t>Alimente</t>
        </is>
      </c>
      <c r="H1177" t="n">
        <v>1</v>
      </c>
      <c r="I1177" t="n">
        <v>467.35</v>
      </c>
      <c r="J1177" t="n">
        <v>467.35</v>
      </c>
      <c r="K1177" s="13" t="n">
        <v>0.09</v>
      </c>
      <c r="L1177" t="n">
        <v>42.06</v>
      </c>
      <c r="M1177" t="n">
        <v>509.41</v>
      </c>
      <c r="N1177" t="inlineStr">
        <is>
          <t>RON</t>
        </is>
      </c>
      <c r="O1177" t="inlineStr">
        <is>
          <t>Alba Iulia</t>
        </is>
      </c>
      <c r="P1177" s="12" t="n">
        <v>46207</v>
      </c>
      <c r="Q1177">
        <f>IF(COUNTIF(tbl_Localitati[oras_oficial],[@oras])=0,"ORAS NEALINIAT",IF(XLOOKUP([@oras],tbl_Localitati[oras_oficial],tbl_Localitati[judet],"?")&lt;&gt;[@judet],"JUDET NECORESPUNZATOR",""))</f>
        <v/>
      </c>
      <c r="R1177">
        <f>IF(XLOOKUP([@categorie],tbl_RegulriTVA[categorie],tbl_RegulriTVA[cota_legala],-1)&lt;&gt;[@cota_tva],"TVA GRESIT","")</f>
        <v/>
      </c>
      <c r="S1177">
        <f>IF([@data_scadentei]&lt;[@data_factura],"SCADENTA INAINTEA FACTURII","")</f>
        <v/>
      </c>
      <c r="T1177">
        <f>IF(NETWORKDAYS.INTL([@data_factura],[@data_factura],1,tbl_SarbatoriLegale[data])=0,"ZI NELUCRATOARE","")</f>
        <v/>
      </c>
      <c r="U1177">
        <f>IF([@motiv_anomalie]="","OK","DE INVESTIGAT")</f>
        <v/>
      </c>
      <c r="V1177">
        <f>TEXTJOIN("; ",TRUE,[@flag_oras],[@flag_tva],[@flag_scadenta],[@flag_zi])</f>
        <v/>
      </c>
    </row>
    <row r="1178">
      <c r="A1178" t="inlineStr">
        <is>
          <t>F-2025-01177</t>
        </is>
      </c>
      <c r="B1178" s="12" t="n">
        <v>46037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Termometru digital</t>
        </is>
      </c>
      <c r="G1178" t="inlineStr">
        <is>
          <t>Produse farmaceutice</t>
        </is>
      </c>
      <c r="H1178" t="n">
        <v>1</v>
      </c>
      <c r="I1178" t="n">
        <v>1065.1</v>
      </c>
      <c r="J1178" t="n">
        <v>1065.1</v>
      </c>
      <c r="K1178" s="13" t="n">
        <v>0.09</v>
      </c>
      <c r="L1178" t="n">
        <v>95.86</v>
      </c>
      <c r="M1178" t="n">
        <v>1160.96</v>
      </c>
      <c r="N1178" t="inlineStr">
        <is>
          <t>RON</t>
        </is>
      </c>
      <c r="O1178" t="inlineStr">
        <is>
          <t>Sibiu</t>
        </is>
      </c>
      <c r="P1178" s="12" t="n">
        <v>46097</v>
      </c>
      <c r="Q1178">
        <f>IF(COUNTIF(tbl_Localitati[oras_oficial],[@oras])=0,"ORAS NEALINIAT",IF(XLOOKUP([@oras],tbl_Localitati[oras_oficial],tbl_Localitati[judet],"?")&lt;&gt;[@judet],"JUDET NECORESPUNZATOR",""))</f>
        <v/>
      </c>
      <c r="R1178">
        <f>IF(XLOOKUP([@categorie],tbl_RegulriTVA[categorie],tbl_RegulriTVA[cota_legala],-1)&lt;&gt;[@cota_tva],"TVA GRESIT","")</f>
        <v/>
      </c>
      <c r="S1178">
        <f>IF([@data_scadentei]&lt;[@data_factura],"SCADENTA INAINTEA FACTURII","")</f>
        <v/>
      </c>
      <c r="T1178">
        <f>IF(NETWORKDAYS.INTL([@data_factura],[@data_factura],1,tbl_SarbatoriLegale[data])=0,"ZI NELUCRATOARE","")</f>
        <v/>
      </c>
      <c r="U1178">
        <f>IF([@motiv_anomalie]="","OK","DE INVESTIGAT")</f>
        <v/>
      </c>
      <c r="V1178">
        <f>TEXTJOIN("; ",TRUE,[@flag_oras],[@flag_tva],[@flag_scadenta],[@flag_zi])</f>
        <v/>
      </c>
    </row>
    <row r="1179">
      <c r="A1179" t="inlineStr">
        <is>
          <t>F-2025-01178</t>
        </is>
      </c>
      <c r="B1179" s="12" t="n">
        <v>46121</v>
      </c>
      <c r="C1179" t="inlineStr">
        <is>
          <t>SC NORDIS DISTRIBUTIE SRL</t>
        </is>
      </c>
      <c r="D1179" t="inlineStr">
        <is>
          <t>Constanța</t>
        </is>
      </c>
      <c r="E1179" t="inlineStr">
        <is>
          <t>PRD-010</t>
        </is>
      </c>
      <c r="F1179" t="inlineStr">
        <is>
          <t>Abonament suita cloud</t>
        </is>
      </c>
      <c r="G1179" t="inlineStr">
        <is>
          <t>Licențe software</t>
        </is>
      </c>
      <c r="H1179" t="n">
        <v>10</v>
      </c>
      <c r="I1179" t="n">
        <v>357.14</v>
      </c>
      <c r="J1179" t="n">
        <v>3571.4</v>
      </c>
      <c r="K1179" s="13" t="n">
        <v>0.19</v>
      </c>
      <c r="L1179" t="n">
        <v>678.5700000000001</v>
      </c>
      <c r="M1179" t="n">
        <v>4249.97</v>
      </c>
      <c r="N1179" t="inlineStr">
        <is>
          <t>EUR</t>
        </is>
      </c>
      <c r="O1179" t="inlineStr">
        <is>
          <t>Mangalia</t>
        </is>
      </c>
      <c r="P1179" s="12" t="n">
        <v>46151</v>
      </c>
      <c r="Q1179">
        <f>IF(COUNTIF(tbl_Localitati[oras_oficial],[@oras])=0,"ORAS NEALINIAT",IF(XLOOKUP([@oras],tbl_Localitati[oras_oficial],tbl_Localitati[judet],"?")&lt;&gt;[@judet],"JUDET NECORESPUNZATOR",""))</f>
        <v/>
      </c>
      <c r="R1179">
        <f>IF(XLOOKUP([@categorie],tbl_RegulriTVA[categorie],tbl_RegulriTVA[cota_legala],-1)&lt;&gt;[@cota_tva],"TVA GRESIT","")</f>
        <v/>
      </c>
      <c r="S1179">
        <f>IF([@data_scadentei]&lt;[@data_factura],"SCADENTA INAINTEA FACTURII","")</f>
        <v/>
      </c>
      <c r="T1179">
        <f>IF(NETWORKDAYS.INTL([@data_factura],[@data_factura],1,tbl_SarbatoriLegale[data])=0,"ZI NELUCRATOARE","")</f>
        <v/>
      </c>
      <c r="U1179">
        <f>IF([@motiv_anomalie]="","OK","DE INVESTIGAT")</f>
        <v/>
      </c>
      <c r="V1179">
        <f>TEXTJOIN("; ",TRUE,[@flag_oras],[@flag_tva],[@flag_scadenta],[@flag_zi])</f>
        <v/>
      </c>
    </row>
    <row r="1180">
      <c r="A1180" t="inlineStr">
        <is>
          <t>F-2025-01179</t>
        </is>
      </c>
      <c r="B1180" s="12" t="n">
        <v>46297</v>
      </c>
      <c r="C1180" t="inlineStr">
        <is>
          <t>SC PROVITA MEDICAL SRL</t>
        </is>
      </c>
      <c r="D1180" t="inlineStr">
        <is>
          <t>Mureș</t>
        </is>
      </c>
      <c r="E1180" t="inlineStr">
        <is>
          <t>PRD-010</t>
        </is>
      </c>
      <c r="F1180" t="inlineStr">
        <is>
          <t>Tocator documente</t>
        </is>
      </c>
      <c r="G1180" t="inlineStr">
        <is>
          <t>Echipamente birou</t>
        </is>
      </c>
      <c r="H1180" t="n">
        <v>20</v>
      </c>
      <c r="I1180" t="n">
        <v>344.25</v>
      </c>
      <c r="J1180" t="n">
        <v>6885</v>
      </c>
      <c r="K1180" s="13" t="n">
        <v>0.19</v>
      </c>
      <c r="L1180" t="n">
        <v>1308.15</v>
      </c>
      <c r="M1180" t="n">
        <v>8193.15</v>
      </c>
      <c r="N1180" t="inlineStr">
        <is>
          <t>RON</t>
        </is>
      </c>
      <c r="O1180" t="inlineStr">
        <is>
          <t>Târgu Mureș</t>
        </is>
      </c>
      <c r="P1180" s="12" t="n">
        <v>46312</v>
      </c>
      <c r="Q1180">
        <f>IF(COUNTIF(tbl_Localitati[oras_oficial],[@oras])=0,"ORAS NEALINIAT",IF(XLOOKUP([@oras],tbl_Localitati[oras_oficial],tbl_Localitati[judet],"?")&lt;&gt;[@judet],"JUDET NECORESPUNZATOR",""))</f>
        <v/>
      </c>
      <c r="R1180">
        <f>IF(XLOOKUP([@categorie],tbl_RegulriTVA[categorie],tbl_RegulriTVA[cota_legala],-1)&lt;&gt;[@cota_tva],"TVA GRESIT","")</f>
        <v/>
      </c>
      <c r="S1180">
        <f>IF([@data_scadentei]&lt;[@data_factura],"SCADENTA INAINTEA FACTURII","")</f>
        <v/>
      </c>
      <c r="T1180">
        <f>IF(NETWORKDAYS.INTL([@data_factura],[@data_factura],1,tbl_SarbatoriLegale[data])=0,"ZI NELUCRATOARE","")</f>
        <v/>
      </c>
      <c r="U1180">
        <f>IF([@motiv_anomalie]="","OK","DE INVESTIGAT")</f>
        <v/>
      </c>
      <c r="V1180">
        <f>TEXTJOIN("; ",TRUE,[@flag_oras],[@flag_tva],[@flag_scadenta],[@flag_zi])</f>
        <v/>
      </c>
    </row>
    <row r="1181">
      <c r="A1181" t="inlineStr">
        <is>
          <t>F-2025-01180</t>
        </is>
      </c>
      <c r="B1181" s="12" t="n">
        <v>46294</v>
      </c>
      <c r="C1181" t="inlineStr">
        <is>
          <t>SC NORDIS DISTRIBUTIE SRL</t>
        </is>
      </c>
      <c r="D1181" t="inlineStr">
        <is>
          <t>Constanța</t>
        </is>
      </c>
      <c r="E1181" t="inlineStr">
        <is>
          <t>PRD-007</t>
        </is>
      </c>
      <c r="F1181" t="inlineStr">
        <is>
          <t>Licenta antivirus enterprise</t>
        </is>
      </c>
      <c r="G1181" t="inlineStr">
        <is>
          <t>Licențe software</t>
        </is>
      </c>
      <c r="H1181" t="n">
        <v>25</v>
      </c>
      <c r="I1181" t="n">
        <v>184.74</v>
      </c>
      <c r="J1181" t="n">
        <v>4618.5</v>
      </c>
      <c r="K1181" s="13" t="n">
        <v>0.19</v>
      </c>
      <c r="L1181" t="n">
        <v>877.51</v>
      </c>
      <c r="M1181" t="n">
        <v>5496.01</v>
      </c>
      <c r="N1181" t="inlineStr">
        <is>
          <t>RON</t>
        </is>
      </c>
      <c r="O1181" t="inlineStr">
        <is>
          <t>Mangalia</t>
        </is>
      </c>
      <c r="P1181" s="12" t="n">
        <v>46354</v>
      </c>
      <c r="Q1181">
        <f>IF(COUNTIF(tbl_Localitati[oras_oficial],[@oras])=0,"ORAS NEALINIAT",IF(XLOOKUP([@oras],tbl_Localitati[oras_oficial],tbl_Localitati[judet],"?")&lt;&gt;[@judet],"JUDET NECORESPUNZATOR",""))</f>
        <v/>
      </c>
      <c r="R1181">
        <f>IF(XLOOKUP([@categorie],tbl_RegulriTVA[categorie],tbl_RegulriTVA[cota_legala],-1)&lt;&gt;[@cota_tva],"TVA GRESIT","")</f>
        <v/>
      </c>
      <c r="S1181">
        <f>IF([@data_scadentei]&lt;[@data_factura],"SCADENTA INAINTEA FACTURII","")</f>
        <v/>
      </c>
      <c r="T1181">
        <f>IF(NETWORKDAYS.INTL([@data_factura],[@data_factura],1,tbl_SarbatoriLegale[data])=0,"ZI NELUCRATOARE","")</f>
        <v/>
      </c>
      <c r="U1181">
        <f>IF([@motiv_anomalie]="","OK","DE INVESTIGAT")</f>
        <v/>
      </c>
      <c r="V1181">
        <f>TEXTJOIN("; ",TRUE,[@flag_oras],[@flag_tva],[@flag_scadenta],[@flag_zi])</f>
        <v/>
      </c>
    </row>
    <row r="1182">
      <c r="A1182" t="inlineStr">
        <is>
          <t>F-2025-01181</t>
        </is>
      </c>
      <c r="B1182" s="12" t="n">
        <v>46225</v>
      </c>
      <c r="C1182" t="inlineStr">
        <is>
          <t>SC INTEGROMED SA</t>
        </is>
      </c>
      <c r="D1182" t="inlineStr">
        <is>
          <t>Cluj</t>
        </is>
      </c>
      <c r="E1182" t="inlineStr">
        <is>
          <t>PRD-005</t>
        </is>
      </c>
      <c r="F1182" t="inlineStr">
        <is>
          <t>Termometru digital</t>
        </is>
      </c>
      <c r="G1182" t="inlineStr">
        <is>
          <t>Produse farmaceutice</t>
        </is>
      </c>
      <c r="H1182" t="n">
        <v>2</v>
      </c>
      <c r="I1182" t="n">
        <v>246.69</v>
      </c>
      <c r="J1182" t="n">
        <v>493.38</v>
      </c>
      <c r="K1182" s="13" t="n">
        <v>0.09</v>
      </c>
      <c r="L1182" t="n">
        <v>44.4</v>
      </c>
      <c r="M1182" t="n">
        <v>537.78</v>
      </c>
      <c r="N1182" t="inlineStr">
        <is>
          <t>RON</t>
        </is>
      </c>
      <c r="O1182" t="inlineStr">
        <is>
          <t>Cluj-Napoca</t>
        </is>
      </c>
      <c r="P1182" s="12" t="n">
        <v>46285</v>
      </c>
      <c r="Q1182">
        <f>IF(COUNTIF(tbl_Localitati[oras_oficial],[@oras])=0,"ORAS NEALINIAT",IF(XLOOKUP([@oras],tbl_Localitati[oras_oficial],tbl_Localitati[judet],"?")&lt;&gt;[@judet],"JUDET NECORESPUNZATOR",""))</f>
        <v/>
      </c>
      <c r="R1182">
        <f>IF(XLOOKUP([@categorie],tbl_RegulriTVA[categorie],tbl_RegulriTVA[cota_legala],-1)&lt;&gt;[@cota_tva],"TVA GRESIT","")</f>
        <v/>
      </c>
      <c r="S1182">
        <f>IF([@data_scadentei]&lt;[@data_factura],"SCADENTA INAINTEA FACTURII","")</f>
        <v/>
      </c>
      <c r="T1182">
        <f>IF(NETWORKDAYS.INTL([@data_factura],[@data_factura],1,tbl_SarbatoriLegale[data])=0,"ZI NELUCRATOARE","")</f>
        <v/>
      </c>
      <c r="U1182">
        <f>IF([@motiv_anomalie]="","OK","DE INVESTIGAT")</f>
        <v/>
      </c>
      <c r="V1182">
        <f>TEXTJOIN("; ",TRUE,[@flag_oras],[@flag_tva],[@flag_scadenta],[@flag_zi])</f>
        <v/>
      </c>
    </row>
    <row r="1183">
      <c r="A1183" t="inlineStr">
        <is>
          <t>F-2025-01182</t>
        </is>
      </c>
      <c r="B1183" s="12" t="n">
        <v>46161</v>
      </c>
      <c r="C1183" t="inlineStr">
        <is>
          <t>SC RAPID LOGISTIC SA</t>
        </is>
      </c>
      <c r="D1183" t="inlineStr">
        <is>
          <t>Prahova</t>
        </is>
      </c>
      <c r="E1183" t="inlineStr">
        <is>
          <t>PRD-002</t>
        </is>
      </c>
      <c r="F1183" t="inlineStr">
        <is>
          <t>Pachet protocol sedinte</t>
        </is>
      </c>
      <c r="G1183" t="inlineStr">
        <is>
          <t>Alimente</t>
        </is>
      </c>
      <c r="H1183" t="n">
        <v>1</v>
      </c>
      <c r="I1183" t="n">
        <v>1092.13</v>
      </c>
      <c r="J1183" t="n">
        <v>1092.13</v>
      </c>
      <c r="K1183" s="13" t="n">
        <v>0.09</v>
      </c>
      <c r="L1183" t="n">
        <v>98.29000000000001</v>
      </c>
      <c r="M1183" t="n">
        <v>1190.42</v>
      </c>
      <c r="N1183" t="inlineStr">
        <is>
          <t>RON</t>
        </is>
      </c>
      <c r="O1183" t="inlineStr">
        <is>
          <t>Ploiești</t>
        </is>
      </c>
      <c r="P1183" s="12" t="n">
        <v>46206</v>
      </c>
      <c r="Q1183">
        <f>IF(COUNTIF(tbl_Localitati[oras_oficial],[@oras])=0,"ORAS NEALINIAT",IF(XLOOKUP([@oras],tbl_Localitati[oras_oficial],tbl_Localitati[judet],"?")&lt;&gt;[@judet],"JUDET NECORESPUNZATOR",""))</f>
        <v/>
      </c>
      <c r="R1183">
        <f>IF(XLOOKUP([@categorie],tbl_RegulriTVA[categorie],tbl_RegulriTVA[cota_legala],-1)&lt;&gt;[@cota_tva],"TVA GRESIT","")</f>
        <v/>
      </c>
      <c r="S1183">
        <f>IF([@data_scadentei]&lt;[@data_factura],"SCADENTA INAINTEA FACTURII","")</f>
        <v/>
      </c>
      <c r="T1183">
        <f>IF(NETWORKDAYS.INTL([@data_factura],[@data_factura],1,tbl_SarbatoriLegale[data])=0,"ZI NELUCRATOARE","")</f>
        <v/>
      </c>
      <c r="U1183">
        <f>IF([@motiv_anomalie]="","OK","DE INVESTIGAT")</f>
        <v/>
      </c>
      <c r="V1183">
        <f>TEXTJOIN("; ",TRUE,[@flag_oras],[@flag_tva],[@flag_scadenta],[@flag_zi])</f>
        <v/>
      </c>
    </row>
    <row r="1184">
      <c r="A1184" t="inlineStr">
        <is>
          <t>F-2025-01183</t>
        </is>
      </c>
      <c r="B1184" s="12" t="n">
        <v>46336</v>
      </c>
      <c r="C1184" t="inlineStr">
        <is>
          <t>SC FARMAVITAL DISTRIBUTIE SA</t>
        </is>
      </c>
      <c r="D1184" t="inlineStr">
        <is>
          <t>Bihor</t>
        </is>
      </c>
      <c r="E1184" t="inlineStr">
        <is>
          <t>PRD-005</t>
        </is>
      </c>
      <c r="F1184" t="inlineStr">
        <is>
          <t>Switch gigabit 24p</t>
        </is>
      </c>
      <c r="G1184" t="inlineStr">
        <is>
          <t>Hardware IT</t>
        </is>
      </c>
      <c r="H1184" t="n">
        <v>5</v>
      </c>
      <c r="I1184" t="n">
        <v>240.86</v>
      </c>
      <c r="J1184" t="n">
        <v>1204.3</v>
      </c>
      <c r="K1184" s="13" t="n">
        <v>0.09</v>
      </c>
      <c r="L1184" t="n">
        <v>108.39</v>
      </c>
      <c r="M1184" t="n">
        <v>1312.69</v>
      </c>
      <c r="N1184" t="inlineStr">
        <is>
          <t>RON</t>
        </is>
      </c>
      <c r="O1184" t="inlineStr">
        <is>
          <t>Oradea</t>
        </is>
      </c>
      <c r="P1184" s="12" t="n">
        <v>46396</v>
      </c>
      <c r="Q1184">
        <f>IF(COUNTIF(tbl_Localitati[oras_oficial],[@oras])=0,"ORAS NEALINIAT",IF(XLOOKUP([@oras],tbl_Localitati[oras_oficial],tbl_Localitati[judet],"?")&lt;&gt;[@judet],"JUDET NECORESPUNZATOR",""))</f>
        <v/>
      </c>
      <c r="R1184">
        <f>IF(XLOOKUP([@categorie],tbl_RegulriTVA[categorie],tbl_RegulriTVA[cota_legala],-1)&lt;&gt;[@cota_tva],"TVA GRESIT","")</f>
        <v/>
      </c>
      <c r="S1184">
        <f>IF([@data_scadentei]&lt;[@data_factura],"SCADENTA INAINTEA FACTURII","")</f>
        <v/>
      </c>
      <c r="T1184">
        <f>IF(NETWORKDAYS.INTL([@data_factura],[@data_factura],1,tbl_SarbatoriLegale[data])=0,"ZI NELUCRATOARE","")</f>
        <v/>
      </c>
      <c r="U1184">
        <f>IF([@motiv_anomalie]="","OK","DE INVESTIGAT")</f>
        <v/>
      </c>
      <c r="V1184">
        <f>TEXTJOIN("; ",TRUE,[@flag_oras],[@flag_tva],[@flag_scadenta],[@flag_zi])</f>
        <v/>
      </c>
    </row>
    <row r="1185">
      <c r="A1185" t="inlineStr">
        <is>
          <t>F-2025-01184</t>
        </is>
      </c>
      <c r="B1185" s="12" t="n">
        <v>46136</v>
      </c>
      <c r="C1185" t="inlineStr">
        <is>
          <t>SC NORDIS DISTRIBUTIE SRL</t>
        </is>
      </c>
      <c r="D1185" t="inlineStr">
        <is>
          <t>Constanța</t>
        </is>
      </c>
      <c r="E1185" t="inlineStr">
        <is>
          <t>PRD-009</t>
        </is>
      </c>
      <c r="F1185" t="inlineStr">
        <is>
          <t>Server rack 1U</t>
        </is>
      </c>
      <c r="G1185" t="inlineStr">
        <is>
          <t>Hardware IT</t>
        </is>
      </c>
      <c r="H1185" t="n">
        <v>50</v>
      </c>
      <c r="I1185" t="n">
        <v>27.58</v>
      </c>
      <c r="J1185" t="n">
        <v>1379</v>
      </c>
      <c r="K1185" s="13" t="n">
        <v>0.19</v>
      </c>
      <c r="L1185" t="n">
        <v>262.01</v>
      </c>
      <c r="M1185" t="n">
        <v>1641.01</v>
      </c>
      <c r="N1185" t="inlineStr">
        <is>
          <t>RON</t>
        </is>
      </c>
      <c r="O1185" t="inlineStr">
        <is>
          <t>Mangalia</t>
        </is>
      </c>
      <c r="P1185" s="12" t="n">
        <v>46151</v>
      </c>
      <c r="Q1185">
        <f>IF(COUNTIF(tbl_Localitati[oras_oficial],[@oras])=0,"ORAS NEALINIAT",IF(XLOOKUP([@oras],tbl_Localitati[oras_oficial],tbl_Localitati[judet],"?")&lt;&gt;[@judet],"JUDET NECORESPUNZATOR",""))</f>
        <v/>
      </c>
      <c r="R1185">
        <f>IF(XLOOKUP([@categorie],tbl_RegulriTVA[categorie],tbl_RegulriTVA[cota_legala],-1)&lt;&gt;[@cota_tva],"TVA GRESIT","")</f>
        <v/>
      </c>
      <c r="S1185">
        <f>IF([@data_scadentei]&lt;[@data_factura],"SCADENTA INAINTEA FACTURII","")</f>
        <v/>
      </c>
      <c r="T1185">
        <f>IF(NETWORKDAYS.INTL([@data_factura],[@data_factura],1,tbl_SarbatoriLegale[data])=0,"ZI NELUCRATOARE","")</f>
        <v/>
      </c>
      <c r="U1185">
        <f>IF([@motiv_anomalie]="","OK","DE INVESTIGAT")</f>
        <v/>
      </c>
      <c r="V1185">
        <f>TEXTJOIN("; ",TRUE,[@flag_oras],[@flag_tva],[@flag_scadenta],[@flag_zi])</f>
        <v/>
      </c>
    </row>
    <row r="1186">
      <c r="A1186" t="inlineStr">
        <is>
          <t>F-2025-01185</t>
        </is>
      </c>
      <c r="B1186" s="12" t="n">
        <v>46300</v>
      </c>
      <c r="C1186" t="inlineStr">
        <is>
          <t>SC AROMET TRADING SRL</t>
        </is>
      </c>
      <c r="D1186" t="inlineStr">
        <is>
          <t>Alba</t>
        </is>
      </c>
      <c r="E1186" t="inlineStr">
        <is>
          <t>PRD-004</t>
        </is>
      </c>
      <c r="F1186" t="inlineStr">
        <is>
          <t>Switch gigabit 24p</t>
        </is>
      </c>
      <c r="G1186" t="inlineStr">
        <is>
          <t>Hardware IT</t>
        </is>
      </c>
      <c r="H1186" t="n">
        <v>5</v>
      </c>
      <c r="I1186" t="n">
        <v>921.87</v>
      </c>
      <c r="J1186" t="n">
        <v>4609.35</v>
      </c>
      <c r="K1186" s="13" t="n">
        <v>0.19</v>
      </c>
      <c r="L1186" t="n">
        <v>875.78</v>
      </c>
      <c r="M1186" t="n">
        <v>5485.13</v>
      </c>
      <c r="N1186" t="inlineStr">
        <is>
          <t>RON</t>
        </is>
      </c>
      <c r="O1186" t="inlineStr">
        <is>
          <t>Alba Iulia</t>
        </is>
      </c>
      <c r="P1186" s="12" t="n">
        <v>46330</v>
      </c>
      <c r="Q1186">
        <f>IF(COUNTIF(tbl_Localitati[oras_oficial],[@oras])=0,"ORAS NEALINIAT",IF(XLOOKUP([@oras],tbl_Localitati[oras_oficial],tbl_Localitati[judet],"?")&lt;&gt;[@judet],"JUDET NECORESPUNZATOR",""))</f>
        <v/>
      </c>
      <c r="R1186">
        <f>IF(XLOOKUP([@categorie],tbl_RegulriTVA[categorie],tbl_RegulriTVA[cota_legala],-1)&lt;&gt;[@cota_tva],"TVA GRESIT","")</f>
        <v/>
      </c>
      <c r="S1186">
        <f>IF([@data_scadentei]&lt;[@data_factura],"SCADENTA INAINTEA FACTURII","")</f>
        <v/>
      </c>
      <c r="T1186">
        <f>IF(NETWORKDAYS.INTL([@data_factura],[@data_factura],1,tbl_SarbatoriLegale[data])=0,"ZI NELUCRATOARE","")</f>
        <v/>
      </c>
      <c r="U1186">
        <f>IF([@motiv_anomalie]="","OK","DE INVESTIGAT")</f>
        <v/>
      </c>
      <c r="V1186">
        <f>TEXTJOIN("; ",TRUE,[@flag_oras],[@flag_tva],[@flag_scadenta],[@flag_zi])</f>
        <v/>
      </c>
    </row>
    <row r="1187">
      <c r="A1187" t="inlineStr">
        <is>
          <t>F-2025-01186</t>
        </is>
      </c>
      <c r="B1187" s="12" t="n">
        <v>46364</v>
      </c>
      <c r="C1187" t="inlineStr">
        <is>
          <t>SC PROVITA MEDICAL SRL</t>
        </is>
      </c>
      <c r="D1187" t="inlineStr">
        <is>
          <t>Mureș</t>
        </is>
      </c>
      <c r="E1187" t="inlineStr">
        <is>
          <t>PRD-001</t>
        </is>
      </c>
      <c r="F1187" t="inlineStr">
        <is>
          <t>Ghid legislatie GDPR</t>
        </is>
      </c>
      <c r="G1187" t="inlineStr">
        <is>
          <t>Cărți și manuale</t>
        </is>
      </c>
      <c r="H1187" t="n">
        <v>2</v>
      </c>
      <c r="I1187" t="n">
        <v>2299</v>
      </c>
      <c r="J1187" t="n">
        <v>4598</v>
      </c>
      <c r="K1187" s="13" t="n">
        <v>0.05</v>
      </c>
      <c r="L1187" t="n">
        <v>229.9</v>
      </c>
      <c r="M1187" t="n">
        <v>4827.9</v>
      </c>
      <c r="N1187" t="inlineStr">
        <is>
          <t>RON</t>
        </is>
      </c>
      <c r="O1187" t="inlineStr">
        <is>
          <t>Târgu Mureș</t>
        </is>
      </c>
      <c r="P1187" s="12" t="n">
        <v>46394</v>
      </c>
      <c r="Q1187">
        <f>IF(COUNTIF(tbl_Localitati[oras_oficial],[@oras])=0,"ORAS NEALINIAT",IF(XLOOKUP([@oras],tbl_Localitati[oras_oficial],tbl_Localitati[judet],"?")&lt;&gt;[@judet],"JUDET NECORESPUNZATOR",""))</f>
        <v/>
      </c>
      <c r="R1187">
        <f>IF(XLOOKUP([@categorie],tbl_RegulriTVA[categorie],tbl_RegulriTVA[cota_legala],-1)&lt;&gt;[@cota_tva],"TVA GRESIT","")</f>
        <v/>
      </c>
      <c r="S1187">
        <f>IF([@data_scadentei]&lt;[@data_factura],"SCADENTA INAINTEA FACTURII","")</f>
        <v/>
      </c>
      <c r="T1187">
        <f>IF(NETWORKDAYS.INTL([@data_factura],[@data_factura],1,tbl_SarbatoriLegale[data])=0,"ZI NELUCRATOARE","")</f>
        <v/>
      </c>
      <c r="U1187">
        <f>IF([@motiv_anomalie]="","OK","DE INVESTIGAT")</f>
        <v/>
      </c>
      <c r="V1187">
        <f>TEXTJOIN("; ",TRUE,[@flag_oras],[@flag_tva],[@flag_scadenta],[@flag_zi])</f>
        <v/>
      </c>
    </row>
    <row r="1188">
      <c r="A1188" t="inlineStr">
        <is>
          <t>F-2025-01187</t>
        </is>
      </c>
      <c r="B1188" s="12" t="n">
        <v>46059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Pachet protocol sedinte</t>
        </is>
      </c>
      <c r="G1188" t="inlineStr">
        <is>
          <t>Alimente</t>
        </is>
      </c>
      <c r="H1188" t="n">
        <v>1</v>
      </c>
      <c r="I1188" t="n">
        <v>770.23</v>
      </c>
      <c r="J1188" t="n">
        <v>770.23</v>
      </c>
      <c r="K1188" s="13" t="n">
        <v>0.09</v>
      </c>
      <c r="L1188" t="n">
        <v>69.31999999999999</v>
      </c>
      <c r="M1188" t="n">
        <v>839.55</v>
      </c>
      <c r="N1188" t="inlineStr">
        <is>
          <t>RON</t>
        </is>
      </c>
      <c r="O1188" t="inlineStr">
        <is>
          <t>Sibiu</t>
        </is>
      </c>
      <c r="P1188" s="12" t="n">
        <v>46089</v>
      </c>
      <c r="Q1188">
        <f>IF(COUNTIF(tbl_Localitati[oras_oficial],[@oras])=0,"ORAS NEALINIAT",IF(XLOOKUP([@oras],tbl_Localitati[oras_oficial],tbl_Localitati[judet],"?")&lt;&gt;[@judet],"JUDET NECORESPUNZATOR",""))</f>
        <v/>
      </c>
      <c r="R1188">
        <f>IF(XLOOKUP([@categorie],tbl_RegulriTVA[categorie],tbl_RegulriTVA[cota_legala],-1)&lt;&gt;[@cota_tva],"TVA GRESIT","")</f>
        <v/>
      </c>
      <c r="S1188">
        <f>IF([@data_scadentei]&lt;[@data_factura],"SCADENTA INAINTEA FACTURII","")</f>
        <v/>
      </c>
      <c r="T1188">
        <f>IF(NETWORKDAYS.INTL([@data_factura],[@data_factura],1,tbl_SarbatoriLegale[data])=0,"ZI NELUCRATOARE","")</f>
        <v/>
      </c>
      <c r="U1188">
        <f>IF([@motiv_anomalie]="","OK","DE INVESTIGAT")</f>
        <v/>
      </c>
      <c r="V1188">
        <f>TEXTJOIN("; ",TRUE,[@flag_oras],[@flag_tva],[@flag_scadenta],[@flag_zi])</f>
        <v/>
      </c>
    </row>
    <row r="1189">
      <c r="A1189" t="inlineStr">
        <is>
          <t>F-2025-01188</t>
        </is>
      </c>
      <c r="B1189" s="12" t="n">
        <v>46301</v>
      </c>
      <c r="C1189" t="inlineStr">
        <is>
          <t>SC INTEGROMED SA</t>
        </is>
      </c>
      <c r="D1189" t="inlineStr">
        <is>
          <t>Cluj</t>
        </is>
      </c>
      <c r="E1189" t="inlineStr">
        <is>
          <t>PRD-002</t>
        </is>
      </c>
      <c r="F1189" t="inlineStr">
        <is>
          <t>Server rack 1U</t>
        </is>
      </c>
      <c r="G1189" t="inlineStr">
        <is>
          <t>Hardware IT</t>
        </is>
      </c>
      <c r="H1189" t="n">
        <v>1</v>
      </c>
      <c r="I1189" t="n">
        <v>1049.07</v>
      </c>
      <c r="J1189" t="n">
        <v>1049.07</v>
      </c>
      <c r="K1189" s="13" t="n">
        <v>0.19</v>
      </c>
      <c r="L1189" t="n">
        <v>199.32</v>
      </c>
      <c r="M1189" t="n">
        <v>1248.39</v>
      </c>
      <c r="N1189" t="inlineStr">
        <is>
          <t>RON</t>
        </is>
      </c>
      <c r="O1189" t="inlineStr">
        <is>
          <t>Cluj-Napoca</t>
        </is>
      </c>
      <c r="P1189" s="12" t="n">
        <v>46331</v>
      </c>
      <c r="Q1189">
        <f>IF(COUNTIF(tbl_Localitati[oras_oficial],[@oras])=0,"ORAS NEALINIAT",IF(XLOOKUP([@oras],tbl_Localitati[oras_oficial],tbl_Localitati[judet],"?")&lt;&gt;[@judet],"JUDET NECORESPUNZATOR",""))</f>
        <v/>
      </c>
      <c r="R1189">
        <f>IF(XLOOKUP([@categorie],tbl_RegulriTVA[categorie],tbl_RegulriTVA[cota_legala],-1)&lt;&gt;[@cota_tva],"TVA GRESIT","")</f>
        <v/>
      </c>
      <c r="S1189">
        <f>IF([@data_scadentei]&lt;[@data_factura],"SCADENTA INAINTEA FACTURII","")</f>
        <v/>
      </c>
      <c r="T1189">
        <f>IF(NETWORKDAYS.INTL([@data_factura],[@data_factura],1,tbl_SarbatoriLegale[data])=0,"ZI NELUCRATOARE","")</f>
        <v/>
      </c>
      <c r="U1189">
        <f>IF([@motiv_anomalie]="","OK","DE INVESTIGAT")</f>
        <v/>
      </c>
      <c r="V1189">
        <f>TEXTJOIN("; ",TRUE,[@flag_oras],[@flag_tva],[@flag_scadenta],[@flag_zi])</f>
        <v/>
      </c>
    </row>
    <row r="1190">
      <c r="A1190" t="inlineStr">
        <is>
          <t>F-2025-01189</t>
        </is>
      </c>
      <c r="B1190" s="12" t="n">
        <v>46167</v>
      </c>
      <c r="C1190" t="inlineStr">
        <is>
          <t>SC VECTOR CONSULT SRL</t>
        </is>
      </c>
      <c r="D1190" t="inlineStr">
        <is>
          <t>Timiș</t>
        </is>
      </c>
      <c r="E1190" t="inlineStr">
        <is>
          <t>PRD-009</t>
        </is>
      </c>
      <c r="F1190" t="inlineStr">
        <is>
          <t>Licenta ERP contabilitate</t>
        </is>
      </c>
      <c r="G1190" t="inlineStr">
        <is>
          <t>Licențe software</t>
        </is>
      </c>
      <c r="H1190" t="n">
        <v>10</v>
      </c>
      <c r="I1190" t="n">
        <v>28.47</v>
      </c>
      <c r="J1190" t="n">
        <v>284.7</v>
      </c>
      <c r="K1190" s="13" t="n">
        <v>0.19</v>
      </c>
      <c r="L1190" t="n">
        <v>54.09</v>
      </c>
      <c r="M1190" t="n">
        <v>338.79</v>
      </c>
      <c r="N1190" t="inlineStr">
        <is>
          <t>EUR</t>
        </is>
      </c>
      <c r="O1190" t="inlineStr">
        <is>
          <t>Timișoara</t>
        </is>
      </c>
      <c r="P1190" s="12" t="n">
        <v>46197</v>
      </c>
      <c r="Q1190">
        <f>IF(COUNTIF(tbl_Localitati[oras_oficial],[@oras])=0,"ORAS NEALINIAT",IF(XLOOKUP([@oras],tbl_Localitati[oras_oficial],tbl_Localitati[judet],"?")&lt;&gt;[@judet],"JUDET NECORESPUNZATOR",""))</f>
        <v/>
      </c>
      <c r="R1190">
        <f>IF(XLOOKUP([@categorie],tbl_RegulriTVA[categorie],tbl_RegulriTVA[cota_legala],-1)&lt;&gt;[@cota_tva],"TVA GRESIT","")</f>
        <v/>
      </c>
      <c r="S1190">
        <f>IF([@data_scadentei]&lt;[@data_factura],"SCADENTA INAINTEA FACTURII","")</f>
        <v/>
      </c>
      <c r="T1190">
        <f>IF(NETWORKDAYS.INTL([@data_factura],[@data_factura],1,tbl_SarbatoriLegale[data])=0,"ZI NELUCRATOARE","")</f>
        <v/>
      </c>
      <c r="U1190">
        <f>IF([@motiv_anomalie]="","OK","DE INVESTIGAT")</f>
        <v/>
      </c>
      <c r="V1190">
        <f>TEXTJOIN("; ",TRUE,[@flag_oras],[@flag_tva],[@flag_scadenta],[@flag_zi])</f>
        <v/>
      </c>
    </row>
    <row r="1191">
      <c r="A1191" t="inlineStr">
        <is>
          <t>F-2025-01190</t>
        </is>
      </c>
      <c r="B1191" s="12" t="n">
        <v>46338</v>
      </c>
      <c r="C1191" t="inlineStr">
        <is>
          <t>SC SOLARIS ENERGY SRL</t>
        </is>
      </c>
      <c r="D1191" t="inlineStr">
        <is>
          <t>Prahova</t>
        </is>
      </c>
      <c r="E1191" t="inlineStr">
        <is>
          <t>PRD-001</t>
        </is>
      </c>
      <c r="F1191" t="inlineStr">
        <is>
          <t>Telefon IP birou</t>
        </is>
      </c>
      <c r="G1191" t="inlineStr">
        <is>
          <t>Echipamente birou</t>
        </is>
      </c>
      <c r="H1191" t="n">
        <v>5</v>
      </c>
      <c r="I1191" t="n">
        <v>2353.22</v>
      </c>
      <c r="J1191" t="n">
        <v>11766.1</v>
      </c>
      <c r="K1191" s="13" t="n">
        <v>0.19</v>
      </c>
      <c r="L1191" t="n">
        <v>2235.56</v>
      </c>
      <c r="M1191" t="n">
        <v>14001.66</v>
      </c>
      <c r="N1191" t="inlineStr">
        <is>
          <t>RON</t>
        </is>
      </c>
      <c r="O1191" t="inlineStr">
        <is>
          <t>Câmpina</t>
        </is>
      </c>
      <c r="P1191" s="12" t="n">
        <v>46353</v>
      </c>
      <c r="Q1191">
        <f>IF(COUNTIF(tbl_Localitati[oras_oficial],[@oras])=0,"ORAS NEALINIAT",IF(XLOOKUP([@oras],tbl_Localitati[oras_oficial],tbl_Localitati[judet],"?")&lt;&gt;[@judet],"JUDET NECORESPUNZATOR",""))</f>
        <v/>
      </c>
      <c r="R1191">
        <f>IF(XLOOKUP([@categorie],tbl_RegulriTVA[categorie],tbl_RegulriTVA[cota_legala],-1)&lt;&gt;[@cota_tva],"TVA GRESIT","")</f>
        <v/>
      </c>
      <c r="S1191">
        <f>IF([@data_scadentei]&lt;[@data_factura],"SCADENTA INAINTEA FACTURII","")</f>
        <v/>
      </c>
      <c r="T1191">
        <f>IF(NETWORKDAYS.INTL([@data_factura],[@data_factura],1,tbl_SarbatoriLegale[data])=0,"ZI NELUCRATOARE","")</f>
        <v/>
      </c>
      <c r="U1191">
        <f>IF([@motiv_anomalie]="","OK","DE INVESTIGAT")</f>
        <v/>
      </c>
      <c r="V1191">
        <f>TEXTJOIN("; ",TRUE,[@flag_oras],[@flag_tva],[@flag_scadenta],[@flag_zi])</f>
        <v/>
      </c>
    </row>
    <row r="1192">
      <c r="A1192" t="inlineStr">
        <is>
          <t>F-2025-01191</t>
        </is>
      </c>
      <c r="B1192" s="12" t="n">
        <v>46344</v>
      </c>
      <c r="C1192" t="inlineStr">
        <is>
          <t>SC ZENITH AUTO SRL</t>
        </is>
      </c>
      <c r="D1192" t="inlineStr">
        <is>
          <t>București</t>
        </is>
      </c>
      <c r="E1192" t="inlineStr">
        <is>
          <t>PRD-007</t>
        </is>
      </c>
      <c r="F1192" t="inlineStr">
        <is>
          <t>Switch gigabit 24p</t>
        </is>
      </c>
      <c r="G1192" t="inlineStr">
        <is>
          <t>Hardware IT</t>
        </is>
      </c>
      <c r="H1192" t="n">
        <v>1</v>
      </c>
      <c r="I1192" t="n">
        <v>174.95</v>
      </c>
      <c r="J1192" t="n">
        <v>174.95</v>
      </c>
      <c r="K1192" s="13" t="n">
        <v>0.19</v>
      </c>
      <c r="L1192" t="n">
        <v>33.24</v>
      </c>
      <c r="M1192" t="n">
        <v>208.19</v>
      </c>
      <c r="N1192" t="inlineStr">
        <is>
          <t>RON</t>
        </is>
      </c>
      <c r="O1192" t="inlineStr">
        <is>
          <t>București</t>
        </is>
      </c>
      <c r="P1192" s="12" t="n">
        <v>46404</v>
      </c>
      <c r="Q1192">
        <f>IF(COUNTIF(tbl_Localitati[oras_oficial],[@oras])=0,"ORAS NEALINIAT",IF(XLOOKUP([@oras],tbl_Localitati[oras_oficial],tbl_Localitati[judet],"?")&lt;&gt;[@judet],"JUDET NECORESPUNZATOR",""))</f>
        <v/>
      </c>
      <c r="R1192">
        <f>IF(XLOOKUP([@categorie],tbl_RegulriTVA[categorie],tbl_RegulriTVA[cota_legala],-1)&lt;&gt;[@cota_tva],"TVA GRESIT","")</f>
        <v/>
      </c>
      <c r="S1192">
        <f>IF([@data_scadentei]&lt;[@data_factura],"SCADENTA INAINTEA FACTURII","")</f>
        <v/>
      </c>
      <c r="T1192">
        <f>IF(NETWORKDAYS.INTL([@data_factura],[@data_factura],1,tbl_SarbatoriLegale[data])=0,"ZI NELUCRATOARE","")</f>
        <v/>
      </c>
      <c r="U1192">
        <f>IF([@motiv_anomalie]="","OK","DE INVESTIGAT")</f>
        <v/>
      </c>
      <c r="V1192">
        <f>TEXTJOIN("; ",TRUE,[@flag_oras],[@flag_tva],[@flag_scadenta],[@flag_zi])</f>
        <v/>
      </c>
    </row>
    <row r="1193">
      <c r="A1193" t="inlineStr">
        <is>
          <t>F-2025-01192</t>
        </is>
      </c>
      <c r="B1193" s="12" t="n">
        <v>46374</v>
      </c>
      <c r="C1193" t="inlineStr">
        <is>
          <t>SC PROVITA MEDICAL SRL</t>
        </is>
      </c>
      <c r="D1193" t="inlineStr">
        <is>
          <t>Mureș</t>
        </is>
      </c>
      <c r="E1193" t="inlineStr">
        <is>
          <t>PRD-008</t>
        </is>
      </c>
      <c r="F1193" t="inlineStr">
        <is>
          <t>Consultanta implementare IT</t>
        </is>
      </c>
      <c r="G1193" t="inlineStr">
        <is>
          <t>Servicii consultanță</t>
        </is>
      </c>
      <c r="H1193" t="n">
        <v>50</v>
      </c>
      <c r="I1193" t="n">
        <v>458.72</v>
      </c>
      <c r="J1193" t="n">
        <v>22936</v>
      </c>
      <c r="K1193" s="13" t="n">
        <v>0.19</v>
      </c>
      <c r="L1193" t="n">
        <v>4357.84</v>
      </c>
      <c r="M1193" t="n">
        <v>27293.84</v>
      </c>
      <c r="N1193" t="inlineStr">
        <is>
          <t>RON</t>
        </is>
      </c>
      <c r="O1193" t="inlineStr">
        <is>
          <t>Târgu Mureș</t>
        </is>
      </c>
      <c r="P1193" s="12" t="n">
        <v>46419</v>
      </c>
      <c r="Q1193">
        <f>IF(COUNTIF(tbl_Localitati[oras_oficial],[@oras])=0,"ORAS NEALINIAT",IF(XLOOKUP([@oras],tbl_Localitati[oras_oficial],tbl_Localitati[judet],"?")&lt;&gt;[@judet],"JUDET NECORESPUNZATOR",""))</f>
        <v/>
      </c>
      <c r="R1193">
        <f>IF(XLOOKUP([@categorie],tbl_RegulriTVA[categorie],tbl_RegulriTVA[cota_legala],-1)&lt;&gt;[@cota_tva],"TVA GRESIT","")</f>
        <v/>
      </c>
      <c r="S1193">
        <f>IF([@data_scadentei]&lt;[@data_factura],"SCADENTA INAINTEA FACTURII","")</f>
        <v/>
      </c>
      <c r="T1193">
        <f>IF(NETWORKDAYS.INTL([@data_factura],[@data_factura],1,tbl_SarbatoriLegale[data])=0,"ZI NELUCRATOARE","")</f>
        <v/>
      </c>
      <c r="U1193">
        <f>IF([@motiv_anomalie]="","OK","DE INVESTIGAT")</f>
        <v/>
      </c>
      <c r="V1193">
        <f>TEXTJOIN("; ",TRUE,[@flag_oras],[@flag_tva],[@flag_scadenta],[@flag_zi])</f>
        <v/>
      </c>
    </row>
    <row r="1194">
      <c r="A1194" t="inlineStr">
        <is>
          <t>F-2025-01193</t>
        </is>
      </c>
      <c r="B1194" s="12" t="n">
        <v>46352</v>
      </c>
      <c r="C1194" t="inlineStr">
        <is>
          <t>SC RAPID LOGISTIC SA</t>
        </is>
      </c>
      <c r="D1194" t="inlineStr">
        <is>
          <t>Prahova</t>
        </is>
      </c>
      <c r="E1194" t="inlineStr">
        <is>
          <t>PRD-001</t>
        </is>
      </c>
      <c r="F1194" t="inlineStr">
        <is>
          <t>Multifunctionala laser</t>
        </is>
      </c>
      <c r="G1194" t="inlineStr">
        <is>
          <t>Echipamente birou</t>
        </is>
      </c>
      <c r="H1194" t="n">
        <v>3</v>
      </c>
      <c r="I1194" t="n">
        <v>2489.27</v>
      </c>
      <c r="J1194" t="n">
        <v>7467.81</v>
      </c>
      <c r="K1194" s="13" t="n">
        <v>0.19</v>
      </c>
      <c r="L1194" t="n">
        <v>1418.88</v>
      </c>
      <c r="M1194" t="n">
        <v>8886.690000000001</v>
      </c>
      <c r="N1194" t="inlineStr">
        <is>
          <t>RON</t>
        </is>
      </c>
      <c r="O1194" t="inlineStr">
        <is>
          <t>Ploiești</t>
        </is>
      </c>
      <c r="P1194" s="12" t="n">
        <v>46382</v>
      </c>
      <c r="Q1194">
        <f>IF(COUNTIF(tbl_Localitati[oras_oficial],[@oras])=0,"ORAS NEALINIAT",IF(XLOOKUP([@oras],tbl_Localitati[oras_oficial],tbl_Localitati[judet],"?")&lt;&gt;[@judet],"JUDET NECORESPUNZATOR",""))</f>
        <v/>
      </c>
      <c r="R1194">
        <f>IF(XLOOKUP([@categorie],tbl_RegulriTVA[categorie],tbl_RegulriTVA[cota_legala],-1)&lt;&gt;[@cota_tva],"TVA GRESIT","")</f>
        <v/>
      </c>
      <c r="S1194">
        <f>IF([@data_scadentei]&lt;[@data_factura],"SCADENTA INAINTEA FACTURII","")</f>
        <v/>
      </c>
      <c r="T1194">
        <f>IF(NETWORKDAYS.INTL([@data_factura],[@data_factura],1,tbl_SarbatoriLegale[data])=0,"ZI NELUCRATOARE","")</f>
        <v/>
      </c>
      <c r="U1194">
        <f>IF([@motiv_anomalie]="","OK","DE INVESTIGAT")</f>
        <v/>
      </c>
      <c r="V1194">
        <f>TEXTJOIN("; ",TRUE,[@flag_oras],[@flag_tva],[@flag_scadenta],[@flag_zi])</f>
        <v/>
      </c>
    </row>
    <row r="1195">
      <c r="A1195" t="inlineStr">
        <is>
          <t>F-2025-01194</t>
        </is>
      </c>
      <c r="B1195" s="12" t="n">
        <v>46169</v>
      </c>
      <c r="C1195" t="inlineStr">
        <is>
          <t>SC METALPLAST INVEST SA</t>
        </is>
      </c>
      <c r="D1195" t="inlineStr">
        <is>
          <t>Cluj</t>
        </is>
      </c>
      <c r="E1195" t="inlineStr">
        <is>
          <t>PRD-007</t>
        </is>
      </c>
      <c r="F1195" t="inlineStr">
        <is>
          <t>Masti protectie cutie</t>
        </is>
      </c>
      <c r="G1195" t="inlineStr">
        <is>
          <t>Produse farmaceutice</t>
        </is>
      </c>
      <c r="H1195" t="n">
        <v>5</v>
      </c>
      <c r="I1195" t="n">
        <v>176.12</v>
      </c>
      <c r="J1195" t="n">
        <v>880.6</v>
      </c>
      <c r="K1195" s="13" t="n">
        <v>0.09</v>
      </c>
      <c r="L1195" t="n">
        <v>79.25</v>
      </c>
      <c r="M1195" t="n">
        <v>959.85</v>
      </c>
      <c r="N1195" t="inlineStr">
        <is>
          <t>RON</t>
        </is>
      </c>
      <c r="O1195" t="inlineStr">
        <is>
          <t>Turda</t>
        </is>
      </c>
      <c r="P1195" s="12" t="n">
        <v>46214</v>
      </c>
      <c r="Q1195">
        <f>IF(COUNTIF(tbl_Localitati[oras_oficial],[@oras])=0,"ORAS NEALINIAT",IF(XLOOKUP([@oras],tbl_Localitati[oras_oficial],tbl_Localitati[judet],"?")&lt;&gt;[@judet],"JUDET NECORESPUNZATOR",""))</f>
        <v/>
      </c>
      <c r="R1195">
        <f>IF(XLOOKUP([@categorie],tbl_RegulriTVA[categorie],tbl_RegulriTVA[cota_legala],-1)&lt;&gt;[@cota_tva],"TVA GRESIT","")</f>
        <v/>
      </c>
      <c r="S1195">
        <f>IF([@data_scadentei]&lt;[@data_factura],"SCADENTA INAINTEA FACTURII","")</f>
        <v/>
      </c>
      <c r="T1195">
        <f>IF(NETWORKDAYS.INTL([@data_factura],[@data_factura],1,tbl_SarbatoriLegale[data])=0,"ZI NELUCRATOARE","")</f>
        <v/>
      </c>
      <c r="U1195">
        <f>IF([@motiv_anomalie]="","OK","DE INVESTIGAT")</f>
        <v/>
      </c>
      <c r="V1195">
        <f>TEXTJOIN("; ",TRUE,[@flag_oras],[@flag_tva],[@flag_scadenta],[@flag_zi])</f>
        <v/>
      </c>
    </row>
    <row r="1196">
      <c r="A1196" t="inlineStr">
        <is>
          <t>F-2025-01195</t>
        </is>
      </c>
      <c r="B1196" s="12" t="n">
        <v>46048</v>
      </c>
      <c r="C1196" t="inlineStr">
        <is>
          <t>SC AROMET TRADING SRL</t>
        </is>
      </c>
      <c r="D1196" t="inlineStr">
        <is>
          <t>Alba</t>
        </is>
      </c>
      <c r="E1196" t="inlineStr">
        <is>
          <t>PRD-005</t>
        </is>
      </c>
      <c r="F1196" t="inlineStr">
        <is>
          <t>Tocator documente</t>
        </is>
      </c>
      <c r="G1196" t="inlineStr">
        <is>
          <t>Echipamente birou</t>
        </is>
      </c>
      <c r="H1196" t="n">
        <v>3</v>
      </c>
      <c r="I1196" t="n">
        <v>240.13</v>
      </c>
      <c r="J1196" t="n">
        <v>720.39</v>
      </c>
      <c r="K1196" s="13" t="n">
        <v>0.19</v>
      </c>
      <c r="L1196" t="n">
        <v>136.87</v>
      </c>
      <c r="M1196" t="n">
        <v>857.26</v>
      </c>
      <c r="N1196" t="inlineStr">
        <is>
          <t>RON</t>
        </is>
      </c>
      <c r="O1196" t="inlineStr">
        <is>
          <t>Alba Iulia</t>
        </is>
      </c>
      <c r="P1196" s="12" t="n">
        <v>46078</v>
      </c>
      <c r="Q1196">
        <f>IF(COUNTIF(tbl_Localitati[oras_oficial],[@oras])=0,"ORAS NEALINIAT",IF(XLOOKUP([@oras],tbl_Localitati[oras_oficial],tbl_Localitati[judet],"?")&lt;&gt;[@judet],"JUDET NECORESPUNZATOR",""))</f>
        <v/>
      </c>
      <c r="R1196">
        <f>IF(XLOOKUP([@categorie],tbl_RegulriTVA[categorie],tbl_RegulriTVA[cota_legala],-1)&lt;&gt;[@cota_tva],"TVA GRESIT","")</f>
        <v/>
      </c>
      <c r="S1196">
        <f>IF([@data_scadentei]&lt;[@data_factura],"SCADENTA INAINTEA FACTURII","")</f>
        <v/>
      </c>
      <c r="T1196">
        <f>IF(NETWORKDAYS.INTL([@data_factura],[@data_factura],1,tbl_SarbatoriLegale[data])=0,"ZI NELUCRATOARE","")</f>
        <v/>
      </c>
      <c r="U1196">
        <f>IF([@motiv_anomalie]="","OK","DE INVESTIGAT")</f>
        <v/>
      </c>
      <c r="V1196">
        <f>TEXTJOIN("; ",TRUE,[@flag_oras],[@flag_tva],[@flag_scadenta],[@flag_zi])</f>
        <v/>
      </c>
    </row>
    <row r="1197">
      <c r="A1197" t="inlineStr">
        <is>
          <t>F-2025-01196</t>
        </is>
      </c>
      <c r="B1197" s="12" t="n">
        <v>46155</v>
      </c>
      <c r="C1197" t="inlineStr">
        <is>
          <t>SC AROMET TRADING SRL</t>
        </is>
      </c>
      <c r="D1197" t="inlineStr">
        <is>
          <t>Alba</t>
        </is>
      </c>
      <c r="E1197" t="inlineStr">
        <is>
          <t>PRD-006</t>
        </is>
      </c>
      <c r="F1197" t="inlineStr">
        <is>
          <t>Switch gigabit 24p</t>
        </is>
      </c>
      <c r="G1197" t="inlineStr">
        <is>
          <t>Hardware IT</t>
        </is>
      </c>
      <c r="H1197" t="n">
        <v>10</v>
      </c>
      <c r="I1197" t="n">
        <v>749.17</v>
      </c>
      <c r="J1197" t="n">
        <v>7491.7</v>
      </c>
      <c r="K1197" s="13" t="n">
        <v>0.19</v>
      </c>
      <c r="L1197" t="n">
        <v>1423.42</v>
      </c>
      <c r="M1197" t="n">
        <v>8915.120000000001</v>
      </c>
      <c r="N1197" t="inlineStr">
        <is>
          <t>RON</t>
        </is>
      </c>
      <c r="O1197" t="inlineStr">
        <is>
          <t>Alba Iulia</t>
        </is>
      </c>
      <c r="P1197" s="12" t="n">
        <v>46185</v>
      </c>
      <c r="Q1197">
        <f>IF(COUNTIF(tbl_Localitati[oras_oficial],[@oras])=0,"ORAS NEALINIAT",IF(XLOOKUP([@oras],tbl_Localitati[oras_oficial],tbl_Localitati[judet],"?")&lt;&gt;[@judet],"JUDET NECORESPUNZATOR",""))</f>
        <v/>
      </c>
      <c r="R1197">
        <f>IF(XLOOKUP([@categorie],tbl_RegulriTVA[categorie],tbl_RegulriTVA[cota_legala],-1)&lt;&gt;[@cota_tva],"TVA GRESIT","")</f>
        <v/>
      </c>
      <c r="S1197">
        <f>IF([@data_scadentei]&lt;[@data_factura],"SCADENTA INAINTEA FACTURII","")</f>
        <v/>
      </c>
      <c r="T1197">
        <f>IF(NETWORKDAYS.INTL([@data_factura],[@data_factura],1,tbl_SarbatoriLegale[data])=0,"ZI NELUCRATOARE","")</f>
        <v/>
      </c>
      <c r="U1197">
        <f>IF([@motiv_anomalie]="","OK","DE INVESTIGAT")</f>
        <v/>
      </c>
      <c r="V1197">
        <f>TEXTJOIN("; ",TRUE,[@flag_oras],[@flag_tva],[@flag_scadenta],[@flag_zi])</f>
        <v/>
      </c>
    </row>
    <row r="1198">
      <c r="A1198" t="inlineStr">
        <is>
          <t>F-2025-01197</t>
        </is>
      </c>
      <c r="B1198" s="12" t="n">
        <v>46079</v>
      </c>
      <c r="C1198" t="inlineStr">
        <is>
          <t>SC ZENITH AUTO SRL</t>
        </is>
      </c>
      <c r="D1198" t="inlineStr">
        <is>
          <t>București</t>
        </is>
      </c>
      <c r="E1198" t="inlineStr">
        <is>
          <t>PRD-005</t>
        </is>
      </c>
      <c r="F1198" t="inlineStr">
        <is>
          <t>Tocator documente</t>
        </is>
      </c>
      <c r="G1198" t="inlineStr">
        <is>
          <t>Echipamente birou</t>
        </is>
      </c>
      <c r="H1198" t="n">
        <v>1</v>
      </c>
      <c r="I1198" t="n">
        <v>252.84</v>
      </c>
      <c r="J1198" t="n">
        <v>252.84</v>
      </c>
      <c r="K1198" s="13" t="n">
        <v>0.19</v>
      </c>
      <c r="L1198" t="n">
        <v>48.04</v>
      </c>
      <c r="M1198" t="n">
        <v>300.88</v>
      </c>
      <c r="N1198" t="inlineStr">
        <is>
          <t>RON</t>
        </is>
      </c>
      <c r="O1198" t="inlineStr">
        <is>
          <t>București</t>
        </is>
      </c>
      <c r="P1198" s="12" t="n">
        <v>46109</v>
      </c>
      <c r="Q1198">
        <f>IF(COUNTIF(tbl_Localitati[oras_oficial],[@oras])=0,"ORAS NEALINIAT",IF(XLOOKUP([@oras],tbl_Localitati[oras_oficial],tbl_Localitati[judet],"?")&lt;&gt;[@judet],"JUDET NECORESPUNZATOR",""))</f>
        <v/>
      </c>
      <c r="R1198">
        <f>IF(XLOOKUP([@categorie],tbl_RegulriTVA[categorie],tbl_RegulriTVA[cota_legala],-1)&lt;&gt;[@cota_tva],"TVA GRESIT","")</f>
        <v/>
      </c>
      <c r="S1198">
        <f>IF([@data_scadentei]&lt;[@data_factura],"SCADENTA INAINTEA FACTURII","")</f>
        <v/>
      </c>
      <c r="T1198">
        <f>IF(NETWORKDAYS.INTL([@data_factura],[@data_factura],1,tbl_SarbatoriLegale[data])=0,"ZI NELUCRATOARE","")</f>
        <v/>
      </c>
      <c r="U1198">
        <f>IF([@motiv_anomalie]="","OK","DE INVESTIGAT")</f>
        <v/>
      </c>
      <c r="V1198">
        <f>TEXTJOIN("; ",TRUE,[@flag_oras],[@flag_tva],[@flag_scadenta],[@flag_zi])</f>
        <v/>
      </c>
    </row>
    <row r="1199">
      <c r="A1199" t="inlineStr">
        <is>
          <t>F-2025-01198</t>
        </is>
      </c>
      <c r="B1199" s="12" t="n">
        <v>46057</v>
      </c>
      <c r="C1199" t="inlineStr">
        <is>
          <t>SC SOLARIS ENERGY SRL</t>
        </is>
      </c>
      <c r="D1199" t="inlineStr">
        <is>
          <t>Prahova</t>
        </is>
      </c>
      <c r="E1199" t="inlineStr">
        <is>
          <t>PRD-005</t>
        </is>
      </c>
      <c r="F1199" t="inlineStr">
        <is>
          <t>Ghid legislatie GDPR</t>
        </is>
      </c>
      <c r="G1199" t="inlineStr">
        <is>
          <t>Cărți și manuale</t>
        </is>
      </c>
      <c r="H1199" t="n">
        <v>1</v>
      </c>
      <c r="I1199" t="n">
        <v>242.31</v>
      </c>
      <c r="J1199" t="n">
        <v>242.31</v>
      </c>
      <c r="K1199" s="13" t="n">
        <v>0.05</v>
      </c>
      <c r="L1199" t="n">
        <v>12.12</v>
      </c>
      <c r="M1199" t="n">
        <v>254.43</v>
      </c>
      <c r="N1199" t="inlineStr">
        <is>
          <t>RON</t>
        </is>
      </c>
      <c r="O1199" t="inlineStr">
        <is>
          <t>Câmpina</t>
        </is>
      </c>
      <c r="P1199" s="12" t="n">
        <v>46087</v>
      </c>
      <c r="Q1199">
        <f>IF(COUNTIF(tbl_Localitati[oras_oficial],[@oras])=0,"ORAS NEALINIAT",IF(XLOOKUP([@oras],tbl_Localitati[oras_oficial],tbl_Localitati[judet],"?")&lt;&gt;[@judet],"JUDET NECORESPUNZATOR",""))</f>
        <v/>
      </c>
      <c r="R1199">
        <f>IF(XLOOKUP([@categorie],tbl_RegulriTVA[categorie],tbl_RegulriTVA[cota_legala],-1)&lt;&gt;[@cota_tva],"TVA GRESIT","")</f>
        <v/>
      </c>
      <c r="S1199">
        <f>IF([@data_scadentei]&lt;[@data_factura],"SCADENTA INAINTEA FACTURII","")</f>
        <v/>
      </c>
      <c r="T1199">
        <f>IF(NETWORKDAYS.INTL([@data_factura],[@data_factura],1,tbl_SarbatoriLegale[data])=0,"ZI NELUCRATOARE","")</f>
        <v/>
      </c>
      <c r="U1199">
        <f>IF([@motiv_anomalie]="","OK","DE INVESTIGAT")</f>
        <v/>
      </c>
      <c r="V1199">
        <f>TEXTJOIN("; ",TRUE,[@flag_oras],[@flag_tva],[@flag_scadenta],[@flag_zi])</f>
        <v/>
      </c>
    </row>
    <row r="1200">
      <c r="A1200" t="inlineStr">
        <is>
          <t>F-2025-01199</t>
        </is>
      </c>
      <c r="B1200" s="12" t="n">
        <v>46092</v>
      </c>
      <c r="C1200" t="inlineStr">
        <is>
          <t>SC AROMET TRADING SRL</t>
        </is>
      </c>
      <c r="D1200" t="inlineStr">
        <is>
          <t>Alba</t>
        </is>
      </c>
      <c r="E1200" t="inlineStr">
        <is>
          <t>PRD-006</t>
        </is>
      </c>
      <c r="F1200" t="inlineStr">
        <is>
          <t>Cafea boabe 1kg</t>
        </is>
      </c>
      <c r="G1200" t="inlineStr">
        <is>
          <t>Alimente</t>
        </is>
      </c>
      <c r="H1200" t="n">
        <v>10</v>
      </c>
      <c r="I1200" t="n">
        <v>759.24</v>
      </c>
      <c r="J1200" t="n">
        <v>7592.4</v>
      </c>
      <c r="K1200" s="13" t="n">
        <v>0.09</v>
      </c>
      <c r="L1200" t="n">
        <v>683.3200000000001</v>
      </c>
      <c r="M1200" t="n">
        <v>8275.719999999999</v>
      </c>
      <c r="N1200" t="inlineStr">
        <is>
          <t>RON</t>
        </is>
      </c>
      <c r="O1200" t="inlineStr">
        <is>
          <t>Alba Iulia</t>
        </is>
      </c>
      <c r="P1200" s="12" t="n">
        <v>46122</v>
      </c>
      <c r="Q1200">
        <f>IF(COUNTIF(tbl_Localitati[oras_oficial],[@oras])=0,"ORAS NEALINIAT",IF(XLOOKUP([@oras],tbl_Localitati[oras_oficial],tbl_Localitati[judet],"?")&lt;&gt;[@judet],"JUDET NECORESPUNZATOR",""))</f>
        <v/>
      </c>
      <c r="R1200">
        <f>IF(XLOOKUP([@categorie],tbl_RegulriTVA[categorie],tbl_RegulriTVA[cota_legala],-1)&lt;&gt;[@cota_tva],"TVA GRESIT","")</f>
        <v/>
      </c>
      <c r="S1200">
        <f>IF([@data_scadentei]&lt;[@data_factura],"SCADENTA INAINTEA FACTURII","")</f>
        <v/>
      </c>
      <c r="T1200">
        <f>IF(NETWORKDAYS.INTL([@data_factura],[@data_factura],1,tbl_SarbatoriLegale[data])=0,"ZI NELUCRATOARE","")</f>
        <v/>
      </c>
      <c r="U1200">
        <f>IF([@motiv_anomalie]="","OK","DE INVESTIGAT")</f>
        <v/>
      </c>
      <c r="V1200">
        <f>TEXTJOIN("; ",TRUE,[@flag_oras],[@flag_tva],[@flag_scadenta],[@flag_zi])</f>
        <v/>
      </c>
    </row>
    <row r="1201">
      <c r="A1201" t="inlineStr">
        <is>
          <t>F-2025-01200</t>
        </is>
      </c>
      <c r="B1201" s="12" t="n">
        <v>46196</v>
      </c>
      <c r="C1201" t="inlineStr">
        <is>
          <t>SC PROVITA MEDICAL SRL</t>
        </is>
      </c>
      <c r="D1201" t="inlineStr">
        <is>
          <t>Mureș</t>
        </is>
      </c>
      <c r="E1201" t="inlineStr">
        <is>
          <t>PRD-003</t>
        </is>
      </c>
      <c r="F1201" t="inlineStr">
        <is>
          <t>Statie de lucru desktop</t>
        </is>
      </c>
      <c r="G1201" t="inlineStr">
        <is>
          <t>Hardware IT</t>
        </is>
      </c>
      <c r="H1201" t="n">
        <v>2</v>
      </c>
      <c r="I1201" t="n">
        <v>4276.05</v>
      </c>
      <c r="J1201" t="n">
        <v>8552.1</v>
      </c>
      <c r="K1201" s="13" t="n">
        <v>0.19</v>
      </c>
      <c r="L1201" t="n">
        <v>1624.9</v>
      </c>
      <c r="M1201" t="n">
        <v>10177</v>
      </c>
      <c r="N1201" t="inlineStr">
        <is>
          <t>RON</t>
        </is>
      </c>
      <c r="O1201" t="inlineStr">
        <is>
          <t>Târgu Mureș</t>
        </is>
      </c>
      <c r="P1201" s="12" t="n">
        <v>46226</v>
      </c>
      <c r="Q1201">
        <f>IF(COUNTIF(tbl_Localitati[oras_oficial],[@oras])=0,"ORAS NEALINIAT",IF(XLOOKUP([@oras],tbl_Localitati[oras_oficial],tbl_Localitati[judet],"?")&lt;&gt;[@judet],"JUDET NECORESPUNZATOR",""))</f>
        <v/>
      </c>
      <c r="R1201">
        <f>IF(XLOOKUP([@categorie],tbl_RegulriTVA[categorie],tbl_RegulriTVA[cota_legala],-1)&lt;&gt;[@cota_tva],"TVA GRESIT","")</f>
        <v/>
      </c>
      <c r="S1201">
        <f>IF([@data_scadentei]&lt;[@data_factura],"SCADENTA INAINTEA FACTURII","")</f>
        <v/>
      </c>
      <c r="T1201">
        <f>IF(NETWORKDAYS.INTL([@data_factura],[@data_factura],1,tbl_SarbatoriLegale[data])=0,"ZI NELUCRATOARE","")</f>
        <v/>
      </c>
      <c r="U1201">
        <f>IF([@motiv_anomalie]="","OK","DE INVESTIGAT")</f>
        <v/>
      </c>
      <c r="V1201">
        <f>TEXTJOIN("; ",TRUE,[@flag_oras],[@flag_tva],[@flag_scadenta],[@flag_zi])</f>
        <v/>
      </c>
    </row>
    <row r="1202">
      <c r="A1202" t="inlineStr">
        <is>
          <t>F-2025-01201</t>
        </is>
      </c>
      <c r="B1202" s="12" t="n">
        <v>46311</v>
      </c>
      <c r="C1202" t="inlineStr">
        <is>
          <t>SC UNIFOOD DISTRIBUTION SA</t>
        </is>
      </c>
      <c r="D1202" t="inlineStr">
        <is>
          <t>Sibiu</t>
        </is>
      </c>
      <c r="E1202" t="inlineStr">
        <is>
          <t>PRD-006</t>
        </is>
      </c>
      <c r="F1202" t="inlineStr">
        <is>
          <t>Carte tehnica IT</t>
        </is>
      </c>
      <c r="G1202" t="inlineStr">
        <is>
          <t>Cărți și manuale</t>
        </is>
      </c>
      <c r="H1202" t="n">
        <v>10</v>
      </c>
      <c r="I1202" t="n">
        <v>712.73</v>
      </c>
      <c r="J1202" t="n">
        <v>7127.3</v>
      </c>
      <c r="K1202" s="13" t="n">
        <v>0.05</v>
      </c>
      <c r="L1202" t="n">
        <v>356.37</v>
      </c>
      <c r="M1202" t="n">
        <v>7483.67</v>
      </c>
      <c r="N1202" t="inlineStr">
        <is>
          <t>RON</t>
        </is>
      </c>
      <c r="O1202" t="inlineStr">
        <is>
          <t>Mediaș</t>
        </is>
      </c>
      <c r="P1202" s="12" t="n">
        <v>46341</v>
      </c>
      <c r="Q1202">
        <f>IF(COUNTIF(tbl_Localitati[oras_oficial],[@oras])=0,"ORAS NEALINIAT",IF(XLOOKUP([@oras],tbl_Localitati[oras_oficial],tbl_Localitati[judet],"?")&lt;&gt;[@judet],"JUDET NECORESPUNZATOR",""))</f>
        <v/>
      </c>
      <c r="R1202">
        <f>IF(XLOOKUP([@categorie],tbl_RegulriTVA[categorie],tbl_RegulriTVA[cota_legala],-1)&lt;&gt;[@cota_tva],"TVA GRESIT","")</f>
        <v/>
      </c>
      <c r="S1202">
        <f>IF([@data_scadentei]&lt;[@data_factura],"SCADENTA INAINTEA FACTURII","")</f>
        <v/>
      </c>
      <c r="T1202">
        <f>IF(NETWORKDAYS.INTL([@data_factura],[@data_factura],1,tbl_SarbatoriLegale[data])=0,"ZI NELUCRATOARE","")</f>
        <v/>
      </c>
      <c r="U1202">
        <f>IF([@motiv_anomalie]="","OK","DE INVESTIGAT")</f>
        <v/>
      </c>
      <c r="V1202">
        <f>TEXTJOIN("; ",TRUE,[@flag_oras],[@flag_tva],[@flag_scadenta],[@flag_zi])</f>
        <v/>
      </c>
    </row>
    <row r="1203">
      <c r="A1203" t="inlineStr">
        <is>
          <t>F-2025-01202</t>
        </is>
      </c>
      <c r="B1203" s="12" t="n">
        <v>46316</v>
      </c>
      <c r="C1203" t="inlineStr">
        <is>
          <t>SC PROVITA MEDICAL SRL</t>
        </is>
      </c>
      <c r="D1203" t="inlineStr">
        <is>
          <t>Mureș</t>
        </is>
      </c>
      <c r="E1203" t="inlineStr">
        <is>
          <t>PRD-009</t>
        </is>
      </c>
      <c r="F1203" t="inlineStr">
        <is>
          <t>Tocator documente</t>
        </is>
      </c>
      <c r="G1203" t="inlineStr">
        <is>
          <t>Echipamente birou</t>
        </is>
      </c>
      <c r="H1203" t="n">
        <v>5</v>
      </c>
      <c r="I1203" t="n">
        <v>26.98</v>
      </c>
      <c r="J1203" t="n">
        <v>134.9</v>
      </c>
      <c r="K1203" s="13" t="n">
        <v>0.19</v>
      </c>
      <c r="L1203" t="n">
        <v>25.63</v>
      </c>
      <c r="M1203" t="n">
        <v>160.53</v>
      </c>
      <c r="N1203" t="inlineStr">
        <is>
          <t>RON</t>
        </is>
      </c>
      <c r="O1203" t="inlineStr">
        <is>
          <t>Târgu Mureș</t>
        </is>
      </c>
      <c r="P1203" s="12" t="n">
        <v>46331</v>
      </c>
      <c r="Q1203">
        <f>IF(COUNTIF(tbl_Localitati[oras_oficial],[@oras])=0,"ORAS NEALINIAT",IF(XLOOKUP([@oras],tbl_Localitati[oras_oficial],tbl_Localitati[judet],"?")&lt;&gt;[@judet],"JUDET NECORESPUNZATOR",""))</f>
        <v/>
      </c>
      <c r="R1203">
        <f>IF(XLOOKUP([@categorie],tbl_RegulriTVA[categorie],tbl_RegulriTVA[cota_legala],-1)&lt;&gt;[@cota_tva],"TVA GRESIT","")</f>
        <v/>
      </c>
      <c r="S1203">
        <f>IF([@data_scadentei]&lt;[@data_factura],"SCADENTA INAINTEA FACTURII","")</f>
        <v/>
      </c>
      <c r="T1203">
        <f>IF(NETWORKDAYS.INTL([@data_factura],[@data_factura],1,tbl_SarbatoriLegale[data])=0,"ZI NELUCRATOARE","")</f>
        <v/>
      </c>
      <c r="U1203">
        <f>IF([@motiv_anomalie]="","OK","DE INVESTIGAT")</f>
        <v/>
      </c>
      <c r="V1203">
        <f>TEXTJOIN("; ",TRUE,[@flag_oras],[@flag_tva],[@flag_scadenta],[@flag_zi])</f>
        <v/>
      </c>
    </row>
    <row r="1204">
      <c r="A1204" t="inlineStr">
        <is>
          <t>F-2025-01203</t>
        </is>
      </c>
      <c r="B1204" s="12" t="n">
        <v>46190</v>
      </c>
      <c r="C1204" t="inlineStr">
        <is>
          <t>SC ELECTROBUILD SRL</t>
        </is>
      </c>
      <c r="D1204" t="inlineStr">
        <is>
          <t>Bacău</t>
        </is>
      </c>
      <c r="E1204" t="inlineStr">
        <is>
          <t>PRD-010</t>
        </is>
      </c>
      <c r="F1204" t="inlineStr">
        <is>
          <t>Ceai cutie 100buc</t>
        </is>
      </c>
      <c r="G1204" t="inlineStr">
        <is>
          <t>Alimente</t>
        </is>
      </c>
      <c r="H1204" t="n">
        <v>10</v>
      </c>
      <c r="I1204" t="n">
        <v>355.2</v>
      </c>
      <c r="J1204" t="n">
        <v>3552</v>
      </c>
      <c r="K1204" s="13" t="n">
        <v>0.09</v>
      </c>
      <c r="L1204" t="n">
        <v>319.68</v>
      </c>
      <c r="M1204" t="n">
        <v>3871.68</v>
      </c>
      <c r="N1204" t="inlineStr">
        <is>
          <t>RON</t>
        </is>
      </c>
      <c r="O1204" t="inlineStr">
        <is>
          <t>Bacău</t>
        </is>
      </c>
      <c r="P1204" s="12" t="n">
        <v>46250</v>
      </c>
      <c r="Q1204">
        <f>IF(COUNTIF(tbl_Localitati[oras_oficial],[@oras])=0,"ORAS NEALINIAT",IF(XLOOKUP([@oras],tbl_Localitati[oras_oficial],tbl_Localitati[judet],"?")&lt;&gt;[@judet],"JUDET NECORESPUNZATOR",""))</f>
        <v/>
      </c>
      <c r="R1204">
        <f>IF(XLOOKUP([@categorie],tbl_RegulriTVA[categorie],tbl_RegulriTVA[cota_legala],-1)&lt;&gt;[@cota_tva],"TVA GRESIT","")</f>
        <v/>
      </c>
      <c r="S1204">
        <f>IF([@data_scadentei]&lt;[@data_factura],"SCADENTA INAINTEA FACTURII","")</f>
        <v/>
      </c>
      <c r="T1204">
        <f>IF(NETWORKDAYS.INTL([@data_factura],[@data_factura],1,tbl_SarbatoriLegale[data])=0,"ZI NELUCRATOARE","")</f>
        <v/>
      </c>
      <c r="U1204">
        <f>IF([@motiv_anomalie]="","OK","DE INVESTIGAT")</f>
        <v/>
      </c>
      <c r="V1204">
        <f>TEXTJOIN("; ",TRUE,[@flag_oras],[@flag_tva],[@flag_scadenta],[@flag_zi])</f>
        <v/>
      </c>
    </row>
    <row r="1205">
      <c r="A1205" t="inlineStr">
        <is>
          <t>F-2025-01204</t>
        </is>
      </c>
      <c r="B1205" s="12" t="n">
        <v>46188</v>
      </c>
      <c r="C1205" t="inlineStr">
        <is>
          <t>SC AROMET TRADING SRL</t>
        </is>
      </c>
      <c r="D1205" t="inlineStr">
        <is>
          <t>Alba</t>
        </is>
      </c>
      <c r="E1205" t="inlineStr">
        <is>
          <t>PRD-005</t>
        </is>
      </c>
      <c r="F1205" t="inlineStr">
        <is>
          <t>Telefon IP birou</t>
        </is>
      </c>
      <c r="G1205" t="inlineStr">
        <is>
          <t>Echipamente birou</t>
        </is>
      </c>
      <c r="H1205" t="n">
        <v>1</v>
      </c>
      <c r="I1205" t="n">
        <v>247.82</v>
      </c>
      <c r="J1205" t="n">
        <v>247.82</v>
      </c>
      <c r="K1205" s="13" t="n">
        <v>0.19</v>
      </c>
      <c r="L1205" t="n">
        <v>47.09</v>
      </c>
      <c r="M1205" t="n">
        <v>294.91</v>
      </c>
      <c r="N1205" t="inlineStr">
        <is>
          <t>RON</t>
        </is>
      </c>
      <c r="O1205" t="inlineStr">
        <is>
          <t>Alba Iulia</t>
        </is>
      </c>
      <c r="P1205" s="12" t="n">
        <v>46218</v>
      </c>
      <c r="Q1205">
        <f>IF(COUNTIF(tbl_Localitati[oras_oficial],[@oras])=0,"ORAS NEALINIAT",IF(XLOOKUP([@oras],tbl_Localitati[oras_oficial],tbl_Localitati[judet],"?")&lt;&gt;[@judet],"JUDET NECORESPUNZATOR",""))</f>
        <v/>
      </c>
      <c r="R1205">
        <f>IF(XLOOKUP([@categorie],tbl_RegulriTVA[categorie],tbl_RegulriTVA[cota_legala],-1)&lt;&gt;[@cota_tva],"TVA GRESIT","")</f>
        <v/>
      </c>
      <c r="S1205">
        <f>IF([@data_scadentei]&lt;[@data_factura],"SCADENTA INAINTEA FACTURII","")</f>
        <v/>
      </c>
      <c r="T1205">
        <f>IF(NETWORKDAYS.INTL([@data_factura],[@data_factura],1,tbl_SarbatoriLegale[data])=0,"ZI NELUCRATOARE","")</f>
        <v/>
      </c>
      <c r="U1205">
        <f>IF([@motiv_anomalie]="","OK","DE INVESTIGAT")</f>
        <v/>
      </c>
      <c r="V1205">
        <f>TEXTJOIN("; ",TRUE,[@flag_oras],[@flag_tva],[@flag_scadenta],[@flag_zi])</f>
        <v/>
      </c>
    </row>
    <row r="1206">
      <c r="A1206" t="inlineStr">
        <is>
          <t>F-2025-01205</t>
        </is>
      </c>
      <c r="B1206" s="12" t="n">
        <v>46042</v>
      </c>
      <c r="C1206" t="inlineStr">
        <is>
          <t>SC RAPID LOGISTIC SA</t>
        </is>
      </c>
      <c r="D1206" t="inlineStr">
        <is>
          <t>Prahova</t>
        </is>
      </c>
      <c r="E1206" t="inlineStr">
        <is>
          <t>PRD-007</t>
        </is>
      </c>
      <c r="F1206" t="inlineStr">
        <is>
          <t>Statie de lucru desktop</t>
        </is>
      </c>
      <c r="G1206" t="inlineStr">
        <is>
          <t>Hardware IT</t>
        </is>
      </c>
      <c r="H1206" t="n">
        <v>5</v>
      </c>
      <c r="I1206" t="n">
        <v>176.79</v>
      </c>
      <c r="J1206" t="n">
        <v>883.95</v>
      </c>
      <c r="K1206" s="13" t="n">
        <v>0.19</v>
      </c>
      <c r="L1206" t="n">
        <v>167.95</v>
      </c>
      <c r="M1206" t="n">
        <v>1051.9</v>
      </c>
      <c r="N1206" t="inlineStr">
        <is>
          <t>RON</t>
        </is>
      </c>
      <c r="O1206" t="inlineStr">
        <is>
          <t>Ploiești</t>
        </is>
      </c>
      <c r="P1206" s="12" t="n">
        <v>46087</v>
      </c>
      <c r="Q1206">
        <f>IF(COUNTIF(tbl_Localitati[oras_oficial],[@oras])=0,"ORAS NEALINIAT",IF(XLOOKUP([@oras],tbl_Localitati[oras_oficial],tbl_Localitati[judet],"?")&lt;&gt;[@judet],"JUDET NECORESPUNZATOR",""))</f>
        <v/>
      </c>
      <c r="R1206">
        <f>IF(XLOOKUP([@categorie],tbl_RegulriTVA[categorie],tbl_RegulriTVA[cota_legala],-1)&lt;&gt;[@cota_tva],"TVA GRESIT","")</f>
        <v/>
      </c>
      <c r="S1206">
        <f>IF([@data_scadentei]&lt;[@data_factura],"SCADENTA INAINTEA FACTURII","")</f>
        <v/>
      </c>
      <c r="T1206">
        <f>IF(NETWORKDAYS.INTL([@data_factura],[@data_factura],1,tbl_SarbatoriLegale[data])=0,"ZI NELUCRATOARE","")</f>
        <v/>
      </c>
      <c r="U1206">
        <f>IF([@motiv_anomalie]="","OK","DE INVESTIGAT")</f>
        <v/>
      </c>
      <c r="V1206">
        <f>TEXTJOIN("; ",TRUE,[@flag_oras],[@flag_tva],[@flag_scadenta],[@flag_zi])</f>
        <v/>
      </c>
    </row>
    <row r="1207">
      <c r="A1207" t="inlineStr">
        <is>
          <t>F-2025-01206</t>
        </is>
      </c>
      <c r="B1207" s="12" t="n">
        <v>46167</v>
      </c>
      <c r="C1207" t="inlineStr">
        <is>
          <t>SC OMEGA SOFT SRL</t>
        </is>
      </c>
      <c r="D1207" t="inlineStr">
        <is>
          <t>Dolj</t>
        </is>
      </c>
      <c r="E1207" t="inlineStr">
        <is>
          <t>PRD-011</t>
        </is>
      </c>
      <c r="F1207" t="inlineStr">
        <is>
          <t>Masti protectie cutie</t>
        </is>
      </c>
      <c r="G1207" t="inlineStr">
        <is>
          <t>Produse farmaceutice</t>
        </is>
      </c>
      <c r="H1207" t="n">
        <v>20</v>
      </c>
      <c r="I1207" t="n">
        <v>43.6</v>
      </c>
      <c r="J1207" t="n">
        <v>872</v>
      </c>
      <c r="K1207" s="13" t="n">
        <v>0.09</v>
      </c>
      <c r="L1207" t="n">
        <v>78.48</v>
      </c>
      <c r="M1207" t="n">
        <v>950.48</v>
      </c>
      <c r="N1207" t="inlineStr">
        <is>
          <t>RON</t>
        </is>
      </c>
      <c r="O1207" t="inlineStr">
        <is>
          <t>Craiova</t>
        </is>
      </c>
      <c r="P1207" s="12" t="n">
        <v>46182</v>
      </c>
      <c r="Q1207">
        <f>IF(COUNTIF(tbl_Localitati[oras_oficial],[@oras])=0,"ORAS NEALINIAT",IF(XLOOKUP([@oras],tbl_Localitati[oras_oficial],tbl_Localitati[judet],"?")&lt;&gt;[@judet],"JUDET NECORESPUNZATOR",""))</f>
        <v/>
      </c>
      <c r="R1207">
        <f>IF(XLOOKUP([@categorie],tbl_RegulriTVA[categorie],tbl_RegulriTVA[cota_legala],-1)&lt;&gt;[@cota_tva],"TVA GRESIT","")</f>
        <v/>
      </c>
      <c r="S1207">
        <f>IF([@data_scadentei]&lt;[@data_factura],"SCADENTA INAINTEA FACTURII","")</f>
        <v/>
      </c>
      <c r="T1207">
        <f>IF(NETWORKDAYS.INTL([@data_factura],[@data_factura],1,tbl_SarbatoriLegale[data])=0,"ZI NELUCRATOARE","")</f>
        <v/>
      </c>
      <c r="U1207">
        <f>IF([@motiv_anomalie]="","OK","DE INVESTIGAT")</f>
        <v/>
      </c>
      <c r="V1207">
        <f>TEXTJOIN("; ",TRUE,[@flag_oras],[@flag_tva],[@flag_scadenta],[@flag_zi])</f>
        <v/>
      </c>
    </row>
    <row r="1208">
      <c r="A1208" t="inlineStr">
        <is>
          <t>F-2025-01207</t>
        </is>
      </c>
      <c r="B1208" s="12" t="n">
        <v>46332</v>
      </c>
      <c r="C1208" t="inlineStr">
        <is>
          <t>SC AROMET TRADING SRL</t>
        </is>
      </c>
      <c r="D1208" t="inlineStr">
        <is>
          <t>Alba</t>
        </is>
      </c>
      <c r="E1208" t="inlineStr">
        <is>
          <t>PRD-004</t>
        </is>
      </c>
      <c r="F1208" t="inlineStr">
        <is>
          <t>Carte tehnica IT</t>
        </is>
      </c>
      <c r="G1208" t="inlineStr">
        <is>
          <t>Cărți și manuale</t>
        </is>
      </c>
      <c r="H1208" t="n">
        <v>2</v>
      </c>
      <c r="I1208" t="n">
        <v>916.97</v>
      </c>
      <c r="J1208" t="n">
        <v>1833.94</v>
      </c>
      <c r="K1208" s="13" t="n">
        <v>0.05</v>
      </c>
      <c r="L1208" t="n">
        <v>91.7</v>
      </c>
      <c r="M1208" t="n">
        <v>1925.64</v>
      </c>
      <c r="N1208" t="inlineStr">
        <is>
          <t>RON</t>
        </is>
      </c>
      <c r="O1208" t="inlineStr">
        <is>
          <t>Alba Iulia</t>
        </is>
      </c>
      <c r="P1208" s="12" t="n">
        <v>46377</v>
      </c>
      <c r="Q1208">
        <f>IF(COUNTIF(tbl_Localitati[oras_oficial],[@oras])=0,"ORAS NEALINIAT",IF(XLOOKUP([@oras],tbl_Localitati[oras_oficial],tbl_Localitati[judet],"?")&lt;&gt;[@judet],"JUDET NECORESPUNZATOR",""))</f>
        <v/>
      </c>
      <c r="R1208">
        <f>IF(XLOOKUP([@categorie],tbl_RegulriTVA[categorie],tbl_RegulriTVA[cota_legala],-1)&lt;&gt;[@cota_tva],"TVA GRESIT","")</f>
        <v/>
      </c>
      <c r="S1208">
        <f>IF([@data_scadentei]&lt;[@data_factura],"SCADENTA INAINTEA FACTURII","")</f>
        <v/>
      </c>
      <c r="T1208">
        <f>IF(NETWORKDAYS.INTL([@data_factura],[@data_factura],1,tbl_SarbatoriLegale[data])=0,"ZI NELUCRATOARE","")</f>
        <v/>
      </c>
      <c r="U1208">
        <f>IF([@motiv_anomalie]="","OK","DE INVESTIGAT")</f>
        <v/>
      </c>
      <c r="V1208">
        <f>TEXTJOIN("; ",TRUE,[@flag_oras],[@flag_tva],[@flag_scadenta],[@flag_zi])</f>
        <v/>
      </c>
    </row>
    <row r="1209">
      <c r="A1209" t="inlineStr">
        <is>
          <t>F-2025-01208</t>
        </is>
      </c>
      <c r="B1209" s="12" t="n">
        <v>46276</v>
      </c>
      <c r="C1209" t="inlineStr">
        <is>
          <t>SC OMEGA SOFT SRL</t>
        </is>
      </c>
      <c r="D1209" t="inlineStr">
        <is>
          <t>Dolj</t>
        </is>
      </c>
      <c r="E1209" t="inlineStr">
        <is>
          <t>PRD-006</t>
        </is>
      </c>
      <c r="F1209" t="inlineStr">
        <is>
          <t>Statie de lucru desktop</t>
        </is>
      </c>
      <c r="G1209" t="inlineStr">
        <is>
          <t>Hardware IT</t>
        </is>
      </c>
      <c r="H1209" t="n">
        <v>10</v>
      </c>
      <c r="I1209" t="n">
        <v>785.54</v>
      </c>
      <c r="J1209" t="n">
        <v>7855.4</v>
      </c>
      <c r="K1209" s="13" t="n">
        <v>0.19</v>
      </c>
      <c r="L1209" t="n">
        <v>1492.53</v>
      </c>
      <c r="M1209" t="n">
        <v>9347.93</v>
      </c>
      <c r="N1209" t="inlineStr">
        <is>
          <t>RON</t>
        </is>
      </c>
      <c r="O1209" t="inlineStr">
        <is>
          <t>Craiova</t>
        </is>
      </c>
      <c r="P1209" s="12" t="n">
        <v>46291</v>
      </c>
      <c r="Q1209">
        <f>IF(COUNTIF(tbl_Localitati[oras_oficial],[@oras])=0,"ORAS NEALINIAT",IF(XLOOKUP([@oras],tbl_Localitati[oras_oficial],tbl_Localitati[judet],"?")&lt;&gt;[@judet],"JUDET NECORESPUNZATOR",""))</f>
        <v/>
      </c>
      <c r="R1209">
        <f>IF(XLOOKUP([@categorie],tbl_RegulriTVA[categorie],tbl_RegulriTVA[cota_legala],-1)&lt;&gt;[@cota_tva],"TVA GRESIT","")</f>
        <v/>
      </c>
      <c r="S1209">
        <f>IF([@data_scadentei]&lt;[@data_factura],"SCADENTA INAINTEA FACTURII","")</f>
        <v/>
      </c>
      <c r="T1209">
        <f>IF(NETWORKDAYS.INTL([@data_factura],[@data_factura],1,tbl_SarbatoriLegale[data])=0,"ZI NELUCRATOARE","")</f>
        <v/>
      </c>
      <c r="U1209">
        <f>IF([@motiv_anomalie]="","OK","DE INVESTIGAT")</f>
        <v/>
      </c>
      <c r="V1209">
        <f>TEXTJOIN("; ",TRUE,[@flag_oras],[@flag_tva],[@flag_scadenta],[@flag_zi])</f>
        <v/>
      </c>
    </row>
    <row r="1210">
      <c r="A1210" t="inlineStr">
        <is>
          <t>F-2025-01209</t>
        </is>
      </c>
      <c r="B1210" s="12" t="n">
        <v>46282</v>
      </c>
      <c r="C1210" t="inlineStr">
        <is>
          <t>SC UNIFOOD DISTRIBUTION SA</t>
        </is>
      </c>
      <c r="D1210" t="inlineStr">
        <is>
          <t>Sibiu</t>
        </is>
      </c>
      <c r="E1210" t="inlineStr">
        <is>
          <t>PRD-006</t>
        </is>
      </c>
      <c r="F1210" t="inlineStr">
        <is>
          <t>Monitor 27" 4K</t>
        </is>
      </c>
      <c r="G1210" t="inlineStr">
        <is>
          <t>Hardware IT</t>
        </is>
      </c>
      <c r="H1210" t="n">
        <v>5</v>
      </c>
      <c r="I1210" t="n">
        <v>728.53</v>
      </c>
      <c r="J1210" t="n">
        <v>3642.65</v>
      </c>
      <c r="K1210" s="13" t="n">
        <v>0.19</v>
      </c>
      <c r="L1210" t="n">
        <v>692.1</v>
      </c>
      <c r="M1210" t="n">
        <v>4334.75</v>
      </c>
      <c r="N1210" t="inlineStr">
        <is>
          <t>RON</t>
        </is>
      </c>
      <c r="O1210" t="inlineStr">
        <is>
          <t>Mediaș</t>
        </is>
      </c>
      <c r="P1210" s="12" t="n">
        <v>46312</v>
      </c>
      <c r="Q1210">
        <f>IF(COUNTIF(tbl_Localitati[oras_oficial],[@oras])=0,"ORAS NEALINIAT",IF(XLOOKUP([@oras],tbl_Localitati[oras_oficial],tbl_Localitati[judet],"?")&lt;&gt;[@judet],"JUDET NECORESPUNZATOR",""))</f>
        <v/>
      </c>
      <c r="R1210">
        <f>IF(XLOOKUP([@categorie],tbl_RegulriTVA[categorie],tbl_RegulriTVA[cota_legala],-1)&lt;&gt;[@cota_tva],"TVA GRESIT","")</f>
        <v/>
      </c>
      <c r="S1210">
        <f>IF([@data_scadentei]&lt;[@data_factura],"SCADENTA INAINTEA FACTURII","")</f>
        <v/>
      </c>
      <c r="T1210">
        <f>IF(NETWORKDAYS.INTL([@data_factura],[@data_factura],1,tbl_SarbatoriLegale[data])=0,"ZI NELUCRATOARE","")</f>
        <v/>
      </c>
      <c r="U1210">
        <f>IF([@motiv_anomalie]="","OK","DE INVESTIGAT")</f>
        <v/>
      </c>
      <c r="V1210">
        <f>TEXTJOIN("; ",TRUE,[@flag_oras],[@flag_tva],[@flag_scadenta],[@flag_zi])</f>
        <v/>
      </c>
    </row>
    <row r="1211">
      <c r="A1211" t="inlineStr">
        <is>
          <t>F-2025-01210</t>
        </is>
      </c>
      <c r="B1211" s="12" t="n">
        <v>46065</v>
      </c>
      <c r="C1211" t="inlineStr">
        <is>
          <t>SC AROMET TRADING SRL</t>
        </is>
      </c>
      <c r="D1211" t="inlineStr">
        <is>
          <t>Alba</t>
        </is>
      </c>
      <c r="E1211" t="inlineStr">
        <is>
          <t>PRD-003</t>
        </is>
      </c>
      <c r="F1211" t="inlineStr">
        <is>
          <t>Switch gigabit 24p</t>
        </is>
      </c>
      <c r="G1211" t="inlineStr">
        <is>
          <t>Hardware IT</t>
        </is>
      </c>
      <c r="H1211" t="n">
        <v>2</v>
      </c>
      <c r="I1211" t="n">
        <v>4085.75</v>
      </c>
      <c r="J1211" t="n">
        <v>8171.5</v>
      </c>
      <c r="K1211" s="13" t="n">
        <v>0.19</v>
      </c>
      <c r="L1211" t="n">
        <v>1552.59</v>
      </c>
      <c r="M1211" t="n">
        <v>9724.09</v>
      </c>
      <c r="N1211" t="inlineStr">
        <is>
          <t>RON</t>
        </is>
      </c>
      <c r="O1211" t="inlineStr">
        <is>
          <t>Alba Iulia</t>
        </is>
      </c>
      <c r="P1211" s="12" t="n">
        <v>46095</v>
      </c>
      <c r="Q1211">
        <f>IF(COUNTIF(tbl_Localitati[oras_oficial],[@oras])=0,"ORAS NEALINIAT",IF(XLOOKUP([@oras],tbl_Localitati[oras_oficial],tbl_Localitati[judet],"?")&lt;&gt;[@judet],"JUDET NECORESPUNZATOR",""))</f>
        <v/>
      </c>
      <c r="R1211">
        <f>IF(XLOOKUP([@categorie],tbl_RegulriTVA[categorie],tbl_RegulriTVA[cota_legala],-1)&lt;&gt;[@cota_tva],"TVA GRESIT","")</f>
        <v/>
      </c>
      <c r="S1211">
        <f>IF([@data_scadentei]&lt;[@data_factura],"SCADENTA INAINTEA FACTURII","")</f>
        <v/>
      </c>
      <c r="T1211">
        <f>IF(NETWORKDAYS.INTL([@data_factura],[@data_factura],1,tbl_SarbatoriLegale[data])=0,"ZI NELUCRATOARE","")</f>
        <v/>
      </c>
      <c r="U1211">
        <f>IF([@motiv_anomalie]="","OK","DE INVESTIGAT")</f>
        <v/>
      </c>
      <c r="V1211">
        <f>TEXTJOIN("; ",TRUE,[@flag_oras],[@flag_tva],[@flag_scadenta],[@flag_zi])</f>
        <v/>
      </c>
    </row>
    <row r="1212">
      <c r="A1212" t="inlineStr">
        <is>
          <t>F-2025-01211</t>
        </is>
      </c>
      <c r="B1212" s="12" t="n">
        <v>46141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Consultanta implementare IT</t>
        </is>
      </c>
      <c r="G1212" t="inlineStr">
        <is>
          <t>Servicii consultanță</t>
        </is>
      </c>
      <c r="H1212" t="n">
        <v>1</v>
      </c>
      <c r="I1212" t="n">
        <v>931.12</v>
      </c>
      <c r="J1212" t="n">
        <v>931.12</v>
      </c>
      <c r="K1212" s="13" t="n">
        <v>0.19</v>
      </c>
      <c r="L1212" t="n">
        <v>176.91</v>
      </c>
      <c r="M1212" t="n">
        <v>1108.03</v>
      </c>
      <c r="N1212" t="inlineStr">
        <is>
          <t>RON</t>
        </is>
      </c>
      <c r="O1212" t="inlineStr">
        <is>
          <t>Sibiu</t>
        </is>
      </c>
      <c r="P1212" s="12" t="n">
        <v>46171</v>
      </c>
      <c r="Q1212">
        <f>IF(COUNTIF(tbl_Localitati[oras_oficial],[@oras])=0,"ORAS NEALINIAT",IF(XLOOKUP([@oras],tbl_Localitati[oras_oficial],tbl_Localitati[judet],"?")&lt;&gt;[@judet],"JUDET NECORESPUNZATOR",""))</f>
        <v/>
      </c>
      <c r="R1212">
        <f>IF(XLOOKUP([@categorie],tbl_RegulriTVA[categorie],tbl_RegulriTVA[cota_legala],-1)&lt;&gt;[@cota_tva],"TVA GRESIT","")</f>
        <v/>
      </c>
      <c r="S1212">
        <f>IF([@data_scadentei]&lt;[@data_factura],"SCADENTA INAINTEA FACTURII","")</f>
        <v/>
      </c>
      <c r="T1212">
        <f>IF(NETWORKDAYS.INTL([@data_factura],[@data_factura],1,tbl_SarbatoriLegale[data])=0,"ZI NELUCRATOARE","")</f>
        <v/>
      </c>
      <c r="U1212">
        <f>IF([@motiv_anomalie]="","OK","DE INVESTIGAT")</f>
        <v/>
      </c>
      <c r="V1212">
        <f>TEXTJOIN("; ",TRUE,[@flag_oras],[@flag_tva],[@flag_scadenta],[@flag_zi])</f>
        <v/>
      </c>
    </row>
    <row r="1213">
      <c r="A1213" t="inlineStr">
        <is>
          <t>F-2025-01212</t>
        </is>
      </c>
      <c r="B1213" s="12" t="n">
        <v>46139</v>
      </c>
      <c r="C1213" t="inlineStr">
        <is>
          <t>SC DACTECH SOLUTIONS SRL</t>
        </is>
      </c>
      <c r="D1213" t="inlineStr">
        <is>
          <t>Argeș</t>
        </is>
      </c>
      <c r="E1213" t="inlineStr">
        <is>
          <t>PRD-006</t>
        </is>
      </c>
      <c r="F1213" t="inlineStr">
        <is>
          <t>Server rack 1U</t>
        </is>
      </c>
      <c r="G1213" t="inlineStr">
        <is>
          <t>Hardware IT</t>
        </is>
      </c>
      <c r="H1213" t="n">
        <v>25</v>
      </c>
      <c r="I1213" t="n">
        <v>739.61</v>
      </c>
      <c r="J1213" t="n">
        <v>18490.25</v>
      </c>
      <c r="K1213" s="13" t="n">
        <v>0.19</v>
      </c>
      <c r="L1213" t="n">
        <v>3513.15</v>
      </c>
      <c r="M1213" t="n">
        <v>22003.4</v>
      </c>
      <c r="N1213" t="inlineStr">
        <is>
          <t>RON</t>
        </is>
      </c>
      <c r="O1213" t="inlineStr">
        <is>
          <t>Pitești</t>
        </is>
      </c>
      <c r="P1213" s="12" t="n">
        <v>46169</v>
      </c>
      <c r="Q1213">
        <f>IF(COUNTIF(tbl_Localitati[oras_oficial],[@oras])=0,"ORAS NEALINIAT",IF(XLOOKUP([@oras],tbl_Localitati[oras_oficial],tbl_Localitati[judet],"?")&lt;&gt;[@judet],"JUDET NECORESPUNZATOR",""))</f>
        <v/>
      </c>
      <c r="R1213">
        <f>IF(XLOOKUP([@categorie],tbl_RegulriTVA[categorie],tbl_RegulriTVA[cota_legala],-1)&lt;&gt;[@cota_tva],"TVA GRESIT","")</f>
        <v/>
      </c>
      <c r="S1213">
        <f>IF([@data_scadentei]&lt;[@data_factura],"SCADENTA INAINTEA FACTURII","")</f>
        <v/>
      </c>
      <c r="T1213">
        <f>IF(NETWORKDAYS.INTL([@data_factura],[@data_factura],1,tbl_SarbatoriLegale[data])=0,"ZI NELUCRATOARE","")</f>
        <v/>
      </c>
      <c r="U1213">
        <f>IF([@motiv_anomalie]="","OK","DE INVESTIGAT")</f>
        <v/>
      </c>
      <c r="V1213">
        <f>TEXTJOIN("; ",TRUE,[@flag_oras],[@flag_tva],[@flag_scadenta],[@flag_zi])</f>
        <v/>
      </c>
    </row>
    <row r="1214">
      <c r="A1214" t="inlineStr">
        <is>
          <t>F-2025-01213</t>
        </is>
      </c>
      <c r="B1214" s="12" t="n">
        <v>46220</v>
      </c>
      <c r="C1214" t="inlineStr">
        <is>
          <t>SC DACTECH SOLUTIONS SRL</t>
        </is>
      </c>
      <c r="D1214" t="inlineStr">
        <is>
          <t>Galați</t>
        </is>
      </c>
      <c r="E1214" t="inlineStr">
        <is>
          <t>PRD-005</t>
        </is>
      </c>
      <c r="F1214" t="inlineStr">
        <is>
          <t>Masti protectie cutie</t>
        </is>
      </c>
      <c r="G1214" t="inlineStr">
        <is>
          <t>Produse farmaceutice</t>
        </is>
      </c>
      <c r="H1214" t="n">
        <v>2</v>
      </c>
      <c r="I1214" t="n">
        <v>255.8</v>
      </c>
      <c r="J1214" t="n">
        <v>511.6</v>
      </c>
      <c r="K1214" s="13" t="n">
        <v>0.09</v>
      </c>
      <c r="L1214" t="n">
        <v>46.04</v>
      </c>
      <c r="M1214" t="n">
        <v>557.64</v>
      </c>
      <c r="N1214" t="inlineStr">
        <is>
          <t>RON</t>
        </is>
      </c>
      <c r="O1214" t="inlineStr">
        <is>
          <t>Pitești</t>
        </is>
      </c>
      <c r="P1214" s="12" t="n">
        <v>46265</v>
      </c>
      <c r="Q1214">
        <f>IF(COUNTIF(tbl_Localitati[oras_oficial],[@oras])=0,"ORAS NEALINIAT",IF(XLOOKUP([@oras],tbl_Localitati[oras_oficial],tbl_Localitati[judet],"?")&lt;&gt;[@judet],"JUDET NECORESPUNZATOR",""))</f>
        <v/>
      </c>
      <c r="R1214">
        <f>IF(XLOOKUP([@categorie],tbl_RegulriTVA[categorie],tbl_RegulriTVA[cota_legala],-1)&lt;&gt;[@cota_tva],"TVA GRESIT","")</f>
        <v/>
      </c>
      <c r="S1214">
        <f>IF([@data_scadentei]&lt;[@data_factura],"SCADENTA INAINTEA FACTURII","")</f>
        <v/>
      </c>
      <c r="T1214">
        <f>IF(NETWORKDAYS.INTL([@data_factura],[@data_factura],1,tbl_SarbatoriLegale[data])=0,"ZI NELUCRATOARE","")</f>
        <v/>
      </c>
      <c r="U1214">
        <f>IF([@motiv_anomalie]="","OK","DE INVESTIGAT")</f>
        <v/>
      </c>
      <c r="V1214">
        <f>TEXTJOIN("; ",TRUE,[@flag_oras],[@flag_tva],[@flag_scadenta],[@flag_zi])</f>
        <v/>
      </c>
    </row>
    <row r="1215">
      <c r="A1215" t="inlineStr">
        <is>
          <t>F-2025-01214</t>
        </is>
      </c>
      <c r="B1215" s="12" t="n">
        <v>46352</v>
      </c>
      <c r="C1215" t="inlineStr">
        <is>
          <t>SC INTEGROMED SA</t>
        </is>
      </c>
      <c r="D1215" t="inlineStr">
        <is>
          <t>Cluj</t>
        </is>
      </c>
      <c r="E1215" t="inlineStr">
        <is>
          <t>PRD-001</t>
        </is>
      </c>
      <c r="F1215" t="inlineStr">
        <is>
          <t>Tocator documente</t>
        </is>
      </c>
      <c r="G1215" t="inlineStr">
        <is>
          <t>Echipamente birou</t>
        </is>
      </c>
      <c r="H1215" t="n">
        <v>3</v>
      </c>
      <c r="I1215" t="n">
        <v>2478.83</v>
      </c>
      <c r="J1215" t="n">
        <v>7436.49</v>
      </c>
      <c r="K1215" s="13" t="n">
        <v>0.19</v>
      </c>
      <c r="L1215" t="n">
        <v>1412.93</v>
      </c>
      <c r="M1215" t="n">
        <v>8849.42</v>
      </c>
      <c r="N1215" t="inlineStr">
        <is>
          <t>RON</t>
        </is>
      </c>
      <c r="O1215" t="inlineStr">
        <is>
          <t>Cluj-Napoca</t>
        </is>
      </c>
      <c r="P1215" s="12" t="n">
        <v>46412</v>
      </c>
      <c r="Q1215">
        <f>IF(COUNTIF(tbl_Localitati[oras_oficial],[@oras])=0,"ORAS NEALINIAT",IF(XLOOKUP([@oras],tbl_Localitati[oras_oficial],tbl_Localitati[judet],"?")&lt;&gt;[@judet],"JUDET NECORESPUNZATOR",""))</f>
        <v/>
      </c>
      <c r="R1215">
        <f>IF(XLOOKUP([@categorie],tbl_RegulriTVA[categorie],tbl_RegulriTVA[cota_legala],-1)&lt;&gt;[@cota_tva],"TVA GRESIT","")</f>
        <v/>
      </c>
      <c r="S1215">
        <f>IF([@data_scadentei]&lt;[@data_factura],"SCADENTA INAINTEA FACTURII","")</f>
        <v/>
      </c>
      <c r="T1215">
        <f>IF(NETWORKDAYS.INTL([@data_factura],[@data_factura],1,tbl_SarbatoriLegale[data])=0,"ZI NELUCRATOARE","")</f>
        <v/>
      </c>
      <c r="U1215">
        <f>IF([@motiv_anomalie]="","OK","DE INVESTIGAT")</f>
        <v/>
      </c>
      <c r="V1215">
        <f>TEXTJOIN("; ",TRUE,[@flag_oras],[@flag_tva],[@flag_scadenta],[@flag_zi])</f>
        <v/>
      </c>
    </row>
    <row r="1216">
      <c r="A1216" t="inlineStr">
        <is>
          <t>F-2025-01215</t>
        </is>
      </c>
      <c r="B1216" s="12" t="n">
        <v>46359</v>
      </c>
      <c r="C1216" t="inlineStr">
        <is>
          <t>SC INTEGROMED SA</t>
        </is>
      </c>
      <c r="D1216" t="inlineStr">
        <is>
          <t>Cluj</t>
        </is>
      </c>
      <c r="E1216" t="inlineStr">
        <is>
          <t>PRD-003</t>
        </is>
      </c>
      <c r="F1216" t="inlineStr">
        <is>
          <t>Licenta ERP contabilitate</t>
        </is>
      </c>
      <c r="G1216" t="inlineStr">
        <is>
          <t>Licențe software</t>
        </is>
      </c>
      <c r="H1216" t="n">
        <v>2</v>
      </c>
      <c r="I1216" t="n">
        <v>4167.84</v>
      </c>
      <c r="J1216" t="n">
        <v>8335.68</v>
      </c>
      <c r="K1216" s="13" t="n">
        <v>0.19</v>
      </c>
      <c r="L1216" t="n">
        <v>1583.78</v>
      </c>
      <c r="M1216" t="n">
        <v>9919.459999999999</v>
      </c>
      <c r="N1216" t="inlineStr">
        <is>
          <t>RON</t>
        </is>
      </c>
      <c r="O1216" t="inlineStr">
        <is>
          <t>Cluj-Napoca</t>
        </is>
      </c>
      <c r="P1216" s="12" t="n">
        <v>46389</v>
      </c>
      <c r="Q1216">
        <f>IF(COUNTIF(tbl_Localitati[oras_oficial],[@oras])=0,"ORAS NEALINIAT",IF(XLOOKUP([@oras],tbl_Localitati[oras_oficial],tbl_Localitati[judet],"?")&lt;&gt;[@judet],"JUDET NECORESPUNZATOR",""))</f>
        <v/>
      </c>
      <c r="R1216">
        <f>IF(XLOOKUP([@categorie],tbl_RegulriTVA[categorie],tbl_RegulriTVA[cota_legala],-1)&lt;&gt;[@cota_tva],"TVA GRESIT","")</f>
        <v/>
      </c>
      <c r="S1216">
        <f>IF([@data_scadentei]&lt;[@data_factura],"SCADENTA INAINTEA FACTURII","")</f>
        <v/>
      </c>
      <c r="T1216">
        <f>IF(NETWORKDAYS.INTL([@data_factura],[@data_factura],1,tbl_SarbatoriLegale[data])=0,"ZI NELUCRATOARE","")</f>
        <v/>
      </c>
      <c r="U1216">
        <f>IF([@motiv_anomalie]="","OK","DE INVESTIGAT")</f>
        <v/>
      </c>
      <c r="V1216">
        <f>TEXTJOIN("; ",TRUE,[@flag_oras],[@flag_tva],[@flag_scadenta],[@flag_zi])</f>
        <v/>
      </c>
    </row>
    <row r="1217">
      <c r="A1217" t="inlineStr">
        <is>
          <t>F-2025-01216</t>
        </is>
      </c>
      <c r="B1217" s="12" t="n">
        <v>46097</v>
      </c>
      <c r="C1217" t="inlineStr">
        <is>
          <t>SC METALPLAST INVEST SA</t>
        </is>
      </c>
      <c r="D1217" t="inlineStr">
        <is>
          <t>Cluj</t>
        </is>
      </c>
      <c r="E1217" t="inlineStr">
        <is>
          <t>PRD-009</t>
        </is>
      </c>
      <c r="F1217" t="inlineStr">
        <is>
          <t>Set carti formare</t>
        </is>
      </c>
      <c r="G1217" t="inlineStr">
        <is>
          <t>Cărți și manuale</t>
        </is>
      </c>
      <c r="H1217" t="n">
        <v>10</v>
      </c>
      <c r="I1217" t="n">
        <v>27.74</v>
      </c>
      <c r="J1217" t="n">
        <v>277.4</v>
      </c>
      <c r="K1217" s="13" t="n">
        <v>0.05</v>
      </c>
      <c r="L1217" t="n">
        <v>13.87</v>
      </c>
      <c r="M1217" t="n">
        <v>291.27</v>
      </c>
      <c r="N1217" t="inlineStr">
        <is>
          <t>RON</t>
        </is>
      </c>
      <c r="O1217" t="inlineStr">
        <is>
          <t>Turda</t>
        </is>
      </c>
      <c r="P1217" s="12" t="n">
        <v>46127</v>
      </c>
      <c r="Q1217">
        <f>IF(COUNTIF(tbl_Localitati[oras_oficial],[@oras])=0,"ORAS NEALINIAT",IF(XLOOKUP([@oras],tbl_Localitati[oras_oficial],tbl_Localitati[judet],"?")&lt;&gt;[@judet],"JUDET NECORESPUNZATOR",""))</f>
        <v/>
      </c>
      <c r="R1217">
        <f>IF(XLOOKUP([@categorie],tbl_RegulriTVA[categorie],tbl_RegulriTVA[cota_legala],-1)&lt;&gt;[@cota_tva],"TVA GRESIT","")</f>
        <v/>
      </c>
      <c r="S1217">
        <f>IF([@data_scadentei]&lt;[@data_factura],"SCADENTA INAINTEA FACTURII","")</f>
        <v/>
      </c>
      <c r="T1217">
        <f>IF(NETWORKDAYS.INTL([@data_factura],[@data_factura],1,tbl_SarbatoriLegale[data])=0,"ZI NELUCRATOARE","")</f>
        <v/>
      </c>
      <c r="U1217">
        <f>IF([@motiv_anomalie]="","OK","DE INVESTIGAT")</f>
        <v/>
      </c>
      <c r="V1217">
        <f>TEXTJOIN("; ",TRUE,[@flag_oras],[@flag_tva],[@flag_scadenta],[@flag_zi])</f>
        <v/>
      </c>
    </row>
    <row r="1218">
      <c r="A1218" t="inlineStr">
        <is>
          <t>F-2025-01217</t>
        </is>
      </c>
      <c r="B1218" s="12" t="n">
        <v>46111</v>
      </c>
      <c r="C1218" t="inlineStr">
        <is>
          <t>SC RAPID LOGISTIC SA</t>
        </is>
      </c>
      <c r="D1218" t="inlineStr">
        <is>
          <t>Prahova</t>
        </is>
      </c>
      <c r="E1218" t="inlineStr">
        <is>
          <t>PRD-003</t>
        </is>
      </c>
      <c r="F1218" t="inlineStr">
        <is>
          <t>Statie de lucru desktop</t>
        </is>
      </c>
      <c r="G1218" t="inlineStr">
        <is>
          <t>Hardware IT</t>
        </is>
      </c>
      <c r="H1218" t="n">
        <v>3</v>
      </c>
      <c r="I1218" t="n">
        <v>4125.09</v>
      </c>
      <c r="J1218" t="n">
        <v>12375.27</v>
      </c>
      <c r="K1218" s="13" t="n">
        <v>0.19</v>
      </c>
      <c r="L1218" t="n">
        <v>2351.3</v>
      </c>
      <c r="M1218" t="n">
        <v>14726.57</v>
      </c>
      <c r="N1218" t="inlineStr">
        <is>
          <t>EUR</t>
        </is>
      </c>
      <c r="O1218" t="inlineStr">
        <is>
          <t>Ploiești</t>
        </is>
      </c>
      <c r="P1218" s="12" t="n">
        <v>46141</v>
      </c>
      <c r="Q1218">
        <f>IF(COUNTIF(tbl_Localitati[oras_oficial],[@oras])=0,"ORAS NEALINIAT",IF(XLOOKUP([@oras],tbl_Localitati[oras_oficial],tbl_Localitati[judet],"?")&lt;&gt;[@judet],"JUDET NECORESPUNZATOR",""))</f>
        <v/>
      </c>
      <c r="R1218">
        <f>IF(XLOOKUP([@categorie],tbl_RegulriTVA[categorie],tbl_RegulriTVA[cota_legala],-1)&lt;&gt;[@cota_tva],"TVA GRESIT","")</f>
        <v/>
      </c>
      <c r="S1218">
        <f>IF([@data_scadentei]&lt;[@data_factura],"SCADENTA INAINTEA FACTURII","")</f>
        <v/>
      </c>
      <c r="T1218">
        <f>IF(NETWORKDAYS.INTL([@data_factura],[@data_factura],1,tbl_SarbatoriLegale[data])=0,"ZI NELUCRATOARE","")</f>
        <v/>
      </c>
      <c r="U1218">
        <f>IF([@motiv_anomalie]="","OK","DE INVESTIGAT")</f>
        <v/>
      </c>
      <c r="V1218">
        <f>TEXTJOIN("; ",TRUE,[@flag_oras],[@flag_tva],[@flag_scadenta],[@flag_zi])</f>
        <v/>
      </c>
    </row>
    <row r="1219">
      <c r="A1219" t="inlineStr">
        <is>
          <t>F-2025-01218</t>
        </is>
      </c>
      <c r="B1219" s="12" t="n">
        <v>46296</v>
      </c>
      <c r="C1219" t="inlineStr">
        <is>
          <t>SC OMEGA SOFT SRL</t>
        </is>
      </c>
      <c r="D1219" t="inlineStr">
        <is>
          <t>Dolj</t>
        </is>
      </c>
      <c r="E1219" t="inlineStr">
        <is>
          <t>PRD-005</t>
        </is>
      </c>
      <c r="F1219" t="inlineStr">
        <is>
          <t>Switch gigabit 24p</t>
        </is>
      </c>
      <c r="G1219" t="inlineStr">
        <is>
          <t>Hardware IT</t>
        </is>
      </c>
      <c r="H1219" t="n">
        <v>1</v>
      </c>
      <c r="I1219" t="n">
        <v>248.66</v>
      </c>
      <c r="J1219" t="n">
        <v>248.66</v>
      </c>
      <c r="K1219" s="13" t="n">
        <v>0.19</v>
      </c>
      <c r="L1219" t="n">
        <v>47.25</v>
      </c>
      <c r="M1219" t="n">
        <v>295.91</v>
      </c>
      <c r="N1219" t="inlineStr">
        <is>
          <t>EUR</t>
        </is>
      </c>
      <c r="O1219" t="inlineStr">
        <is>
          <t>Craiova</t>
        </is>
      </c>
      <c r="P1219" s="12" t="n">
        <v>46311</v>
      </c>
      <c r="Q1219">
        <f>IF(COUNTIF(tbl_Localitati[oras_oficial],[@oras])=0,"ORAS NEALINIAT",IF(XLOOKUP([@oras],tbl_Localitati[oras_oficial],tbl_Localitati[judet],"?")&lt;&gt;[@judet],"JUDET NECORESPUNZATOR",""))</f>
        <v/>
      </c>
      <c r="R1219">
        <f>IF(XLOOKUP([@categorie],tbl_RegulriTVA[categorie],tbl_RegulriTVA[cota_legala],-1)&lt;&gt;[@cota_tva],"TVA GRESIT","")</f>
        <v/>
      </c>
      <c r="S1219">
        <f>IF([@data_scadentei]&lt;[@data_factura],"SCADENTA INAINTEA FACTURII","")</f>
        <v/>
      </c>
      <c r="T1219">
        <f>IF(NETWORKDAYS.INTL([@data_factura],[@data_factura],1,tbl_SarbatoriLegale[data])=0,"ZI NELUCRATOARE","")</f>
        <v/>
      </c>
      <c r="U1219">
        <f>IF([@motiv_anomalie]="","OK","DE INVESTIGAT")</f>
        <v/>
      </c>
      <c r="V1219">
        <f>TEXTJOIN("; ",TRUE,[@flag_oras],[@flag_tva],[@flag_scadenta],[@flag_zi])</f>
        <v/>
      </c>
    </row>
    <row r="1220">
      <c r="A1220" t="inlineStr">
        <is>
          <t>F-2025-01219</t>
        </is>
      </c>
      <c r="B1220" s="12" t="n">
        <v>46090</v>
      </c>
      <c r="C1220" t="inlineStr">
        <is>
          <t>SC INTEGROMED SA</t>
        </is>
      </c>
      <c r="D1220" t="inlineStr">
        <is>
          <t>Cluj</t>
        </is>
      </c>
      <c r="E1220" t="inlineStr">
        <is>
          <t>PRD-009</t>
        </is>
      </c>
      <c r="F1220" t="inlineStr">
        <is>
          <t>Videoproiector sala</t>
        </is>
      </c>
      <c r="G1220" t="inlineStr">
        <is>
          <t>Echipamente birou</t>
        </is>
      </c>
      <c r="H1220" t="n">
        <v>20</v>
      </c>
      <c r="I1220" t="n">
        <v>27.51</v>
      </c>
      <c r="J1220" t="n">
        <v>550.2</v>
      </c>
      <c r="K1220" s="13" t="n">
        <v>0.19</v>
      </c>
      <c r="L1220" t="n">
        <v>104.54</v>
      </c>
      <c r="M1220" t="n">
        <v>654.74</v>
      </c>
      <c r="N1220" t="inlineStr">
        <is>
          <t>RON</t>
        </is>
      </c>
      <c r="O1220" t="inlineStr">
        <is>
          <t>Cluj-Napoca</t>
        </is>
      </c>
      <c r="P1220" s="12" t="n">
        <v>46105</v>
      </c>
      <c r="Q1220">
        <f>IF(COUNTIF(tbl_Localitati[oras_oficial],[@oras])=0,"ORAS NEALINIAT",IF(XLOOKUP([@oras],tbl_Localitati[oras_oficial],tbl_Localitati[judet],"?")&lt;&gt;[@judet],"JUDET NECORESPUNZATOR",""))</f>
        <v/>
      </c>
      <c r="R1220">
        <f>IF(XLOOKUP([@categorie],tbl_RegulriTVA[categorie],tbl_RegulriTVA[cota_legala],-1)&lt;&gt;[@cota_tva],"TVA GRESIT","")</f>
        <v/>
      </c>
      <c r="S1220">
        <f>IF([@data_scadentei]&lt;[@data_factura],"SCADENTA INAINTEA FACTURII","")</f>
        <v/>
      </c>
      <c r="T1220">
        <f>IF(NETWORKDAYS.INTL([@data_factura],[@data_factura],1,tbl_SarbatoriLegale[data])=0,"ZI NELUCRATOARE","")</f>
        <v/>
      </c>
      <c r="U1220">
        <f>IF([@motiv_anomalie]="","OK","DE INVESTIGAT")</f>
        <v/>
      </c>
      <c r="V1220">
        <f>TEXTJOIN("; ",TRUE,[@flag_oras],[@flag_tva],[@flag_scadenta],[@flag_zi])</f>
        <v/>
      </c>
    </row>
    <row r="1221">
      <c r="A1221" t="inlineStr">
        <is>
          <t>F-2025-01220</t>
        </is>
      </c>
      <c r="B1221" s="12" t="n">
        <v>46267</v>
      </c>
      <c r="C1221" t="inlineStr">
        <is>
          <t>SC METALPLAST INVEST SA</t>
        </is>
      </c>
      <c r="D1221" t="inlineStr">
        <is>
          <t>Cluj</t>
        </is>
      </c>
      <c r="E1221" t="inlineStr">
        <is>
          <t>PRD-013</t>
        </is>
      </c>
      <c r="F1221" t="inlineStr">
        <is>
          <t>Termometru digital</t>
        </is>
      </c>
      <c r="G1221" t="inlineStr">
        <is>
          <t>Produse farmaceutice</t>
        </is>
      </c>
      <c r="H1221" t="n">
        <v>1</v>
      </c>
      <c r="I1221" t="n">
        <v>1152.63</v>
      </c>
      <c r="J1221" t="n">
        <v>1152.63</v>
      </c>
      <c r="K1221" s="13" t="n">
        <v>0.09</v>
      </c>
      <c r="L1221" t="n">
        <v>103.74</v>
      </c>
      <c r="M1221" t="n">
        <v>1256.37</v>
      </c>
      <c r="N1221" t="inlineStr">
        <is>
          <t>RON</t>
        </is>
      </c>
      <c r="O1221" t="inlineStr">
        <is>
          <t>Turda</t>
        </is>
      </c>
      <c r="P1221" s="12" t="n">
        <v>46282</v>
      </c>
      <c r="Q1221">
        <f>IF(COUNTIF(tbl_Localitati[oras_oficial],[@oras])=0,"ORAS NEALINIAT",IF(XLOOKUP([@oras],tbl_Localitati[oras_oficial],tbl_Localitati[judet],"?")&lt;&gt;[@judet],"JUDET NECORESPUNZATOR",""))</f>
        <v/>
      </c>
      <c r="R1221">
        <f>IF(XLOOKUP([@categorie],tbl_RegulriTVA[categorie],tbl_RegulriTVA[cota_legala],-1)&lt;&gt;[@cota_tva],"TVA GRESIT","")</f>
        <v/>
      </c>
      <c r="S1221">
        <f>IF([@data_scadentei]&lt;[@data_factura],"SCADENTA INAINTEA FACTURII","")</f>
        <v/>
      </c>
      <c r="T1221">
        <f>IF(NETWORKDAYS.INTL([@data_factura],[@data_factura],1,tbl_SarbatoriLegale[data])=0,"ZI NELUCRATOARE","")</f>
        <v/>
      </c>
      <c r="U1221">
        <f>IF([@motiv_anomalie]="","OK","DE INVESTIGAT")</f>
        <v/>
      </c>
      <c r="V1221">
        <f>TEXTJOIN("; ",TRUE,[@flag_oras],[@flag_tva],[@flag_scadenta],[@flag_zi])</f>
        <v/>
      </c>
    </row>
    <row r="1222">
      <c r="A1222" t="inlineStr">
        <is>
          <t>F-2025-01221</t>
        </is>
      </c>
      <c r="B1222" s="12" t="n">
        <v>46120</v>
      </c>
      <c r="C1222" t="inlineStr">
        <is>
          <t>SC UNIFOOD DISTRIBUTION SA</t>
        </is>
      </c>
      <c r="D1222" t="inlineStr">
        <is>
          <t>Sibiu</t>
        </is>
      </c>
      <c r="E1222" t="inlineStr">
        <is>
          <t>PRD-009</t>
        </is>
      </c>
      <c r="F1222" t="inlineStr">
        <is>
          <t>Cafea boabe 1kg</t>
        </is>
      </c>
      <c r="G1222" t="inlineStr">
        <is>
          <t>Alimente</t>
        </is>
      </c>
      <c r="H1222" t="n">
        <v>5</v>
      </c>
      <c r="I1222" t="n">
        <v>28.38</v>
      </c>
      <c r="J1222" t="n">
        <v>141.9</v>
      </c>
      <c r="K1222" s="13" t="n">
        <v>0.09</v>
      </c>
      <c r="L1222" t="n">
        <v>12.77</v>
      </c>
      <c r="M1222" t="n">
        <v>154.67</v>
      </c>
      <c r="N1222" t="inlineStr">
        <is>
          <t>RON</t>
        </is>
      </c>
      <c r="O1222" t="inlineStr">
        <is>
          <t>Mediaș</t>
        </is>
      </c>
      <c r="P1222" s="12" t="n">
        <v>46165</v>
      </c>
      <c r="Q1222">
        <f>IF(COUNTIF(tbl_Localitati[oras_oficial],[@oras])=0,"ORAS NEALINIAT",IF(XLOOKUP([@oras],tbl_Localitati[oras_oficial],tbl_Localitati[judet],"?")&lt;&gt;[@judet],"JUDET NECORESPUNZATOR",""))</f>
        <v/>
      </c>
      <c r="R1222">
        <f>IF(XLOOKUP([@categorie],tbl_RegulriTVA[categorie],tbl_RegulriTVA[cota_legala],-1)&lt;&gt;[@cota_tva],"TVA GRESIT","")</f>
        <v/>
      </c>
      <c r="S1222">
        <f>IF([@data_scadentei]&lt;[@data_factura],"SCADENTA INAINTEA FACTURII","")</f>
        <v/>
      </c>
      <c r="T1222">
        <f>IF(NETWORKDAYS.INTL([@data_factura],[@data_factura],1,tbl_SarbatoriLegale[data])=0,"ZI NELUCRATOARE","")</f>
        <v/>
      </c>
      <c r="U1222">
        <f>IF([@motiv_anomalie]="","OK","DE INVESTIGAT")</f>
        <v/>
      </c>
      <c r="V1222">
        <f>TEXTJOIN("; ",TRUE,[@flag_oras],[@flag_tva],[@flag_scadenta],[@flag_zi])</f>
        <v/>
      </c>
    </row>
    <row r="1223">
      <c r="A1223" t="inlineStr">
        <is>
          <t>F-2025-01222</t>
        </is>
      </c>
      <c r="B1223" s="12" t="n">
        <v>46045</v>
      </c>
      <c r="C1223" t="inlineStr">
        <is>
          <t>SC DACTECH SOLUTIONS SRL</t>
        </is>
      </c>
      <c r="D1223" t="inlineStr">
        <is>
          <t>Argeș</t>
        </is>
      </c>
      <c r="E1223" t="inlineStr">
        <is>
          <t>PRD-005</t>
        </is>
      </c>
      <c r="F1223" t="inlineStr">
        <is>
          <t>Consultanta implementare IT</t>
        </is>
      </c>
      <c r="G1223" t="inlineStr">
        <is>
          <t>Servicii consultanță</t>
        </is>
      </c>
      <c r="H1223" t="n">
        <v>1</v>
      </c>
      <c r="I1223" t="n">
        <v>259.42</v>
      </c>
      <c r="J1223" t="n">
        <v>259.42</v>
      </c>
      <c r="K1223" s="13" t="n">
        <v>0.19</v>
      </c>
      <c r="L1223" t="n">
        <v>49.29</v>
      </c>
      <c r="M1223" t="n">
        <v>308.71</v>
      </c>
      <c r="N1223" t="inlineStr">
        <is>
          <t>RON</t>
        </is>
      </c>
      <c r="O1223" t="inlineStr">
        <is>
          <t>Pitești</t>
        </is>
      </c>
      <c r="P1223" s="12" t="n">
        <v>46105</v>
      </c>
      <c r="Q1223">
        <f>IF(COUNTIF(tbl_Localitati[oras_oficial],[@oras])=0,"ORAS NEALINIAT",IF(XLOOKUP([@oras],tbl_Localitati[oras_oficial],tbl_Localitati[judet],"?")&lt;&gt;[@judet],"JUDET NECORESPUNZATOR",""))</f>
        <v/>
      </c>
      <c r="R1223">
        <f>IF(XLOOKUP([@categorie],tbl_RegulriTVA[categorie],tbl_RegulriTVA[cota_legala],-1)&lt;&gt;[@cota_tva],"TVA GRESIT","")</f>
        <v/>
      </c>
      <c r="S1223">
        <f>IF([@data_scadentei]&lt;[@data_factura],"SCADENTA INAINTEA FACTURII","")</f>
        <v/>
      </c>
      <c r="T1223">
        <f>IF(NETWORKDAYS.INTL([@data_factura],[@data_factura],1,tbl_SarbatoriLegale[data])=0,"ZI NELUCRATOARE","")</f>
        <v/>
      </c>
      <c r="U1223">
        <f>IF([@motiv_anomalie]="","OK","DE INVESTIGAT")</f>
        <v/>
      </c>
      <c r="V1223">
        <f>TEXTJOIN("; ",TRUE,[@flag_oras],[@flag_tva],[@flag_scadenta],[@flag_zi])</f>
        <v/>
      </c>
    </row>
    <row r="1224">
      <c r="A1224" t="inlineStr">
        <is>
          <t>F-2025-01223</t>
        </is>
      </c>
      <c r="B1224" s="12" t="n">
        <v>46335</v>
      </c>
      <c r="C1224" t="inlineStr">
        <is>
          <t>SC NORDIS DISTRIBUTIE SRL</t>
        </is>
      </c>
      <c r="D1224" t="inlineStr">
        <is>
          <t>Constanța</t>
        </is>
      </c>
      <c r="E1224" t="inlineStr">
        <is>
          <t>PRD-011</t>
        </is>
      </c>
      <c r="F1224" t="inlineStr">
        <is>
          <t>Cafea boabe 1kg</t>
        </is>
      </c>
      <c r="G1224" t="inlineStr">
        <is>
          <t>Alimente</t>
        </is>
      </c>
      <c r="H1224" t="n">
        <v>50</v>
      </c>
      <c r="I1224" t="n">
        <v>47.03</v>
      </c>
      <c r="J1224" t="n">
        <v>2351.5</v>
      </c>
      <c r="K1224" s="13" t="n">
        <v>0.09</v>
      </c>
      <c r="L1224" t="n">
        <v>211.63</v>
      </c>
      <c r="M1224" t="n">
        <v>2563.13</v>
      </c>
      <c r="N1224" t="inlineStr">
        <is>
          <t>RON</t>
        </is>
      </c>
      <c r="O1224" t="inlineStr">
        <is>
          <t>Mangalia</t>
        </is>
      </c>
      <c r="P1224" s="12" t="n">
        <v>46350</v>
      </c>
      <c r="Q1224">
        <f>IF(COUNTIF(tbl_Localitati[oras_oficial],[@oras])=0,"ORAS NEALINIAT",IF(XLOOKUP([@oras],tbl_Localitati[oras_oficial],tbl_Localitati[judet],"?")&lt;&gt;[@judet],"JUDET NECORESPUNZATOR",""))</f>
        <v/>
      </c>
      <c r="R1224">
        <f>IF(XLOOKUP([@categorie],tbl_RegulriTVA[categorie],tbl_RegulriTVA[cota_legala],-1)&lt;&gt;[@cota_tva],"TVA GRESIT","")</f>
        <v/>
      </c>
      <c r="S1224">
        <f>IF([@data_scadentei]&lt;[@data_factura],"SCADENTA INAINTEA FACTURII","")</f>
        <v/>
      </c>
      <c r="T1224">
        <f>IF(NETWORKDAYS.INTL([@data_factura],[@data_factura],1,tbl_SarbatoriLegale[data])=0,"ZI NELUCRATOARE","")</f>
        <v/>
      </c>
      <c r="U1224">
        <f>IF([@motiv_anomalie]="","OK","DE INVESTIGAT")</f>
        <v/>
      </c>
      <c r="V1224">
        <f>TEXTJOIN("; ",TRUE,[@flag_oras],[@flag_tva],[@flag_scadenta],[@flag_zi])</f>
        <v/>
      </c>
    </row>
    <row r="1225">
      <c r="A1225" t="inlineStr">
        <is>
          <t>F-2025-01224</t>
        </is>
      </c>
      <c r="B1225" s="12" t="n">
        <v>46070</v>
      </c>
      <c r="C1225" t="inlineStr">
        <is>
          <t>SC AROMET TRADING SRL</t>
        </is>
      </c>
      <c r="D1225" t="inlineStr">
        <is>
          <t>Alba</t>
        </is>
      </c>
      <c r="E1225" t="inlineStr">
        <is>
          <t>PRD-009</t>
        </is>
      </c>
      <c r="F1225" t="inlineStr">
        <is>
          <t>Termometru digital</t>
        </is>
      </c>
      <c r="G1225" t="inlineStr">
        <is>
          <t>Produse farmaceutice</t>
        </is>
      </c>
      <c r="H1225" t="n">
        <v>10</v>
      </c>
      <c r="I1225" t="n">
        <v>29.22</v>
      </c>
      <c r="J1225" t="n">
        <v>292.2</v>
      </c>
      <c r="K1225" s="13" t="n">
        <v>0.09</v>
      </c>
      <c r="L1225" t="n">
        <v>26.3</v>
      </c>
      <c r="M1225" t="n">
        <v>318.5</v>
      </c>
      <c r="N1225" t="inlineStr">
        <is>
          <t>RON</t>
        </is>
      </c>
      <c r="O1225" t="inlineStr">
        <is>
          <t>Alba Iulia</t>
        </is>
      </c>
      <c r="P1225" s="12" t="n">
        <v>46100</v>
      </c>
      <c r="Q1225">
        <f>IF(COUNTIF(tbl_Localitati[oras_oficial],[@oras])=0,"ORAS NEALINIAT",IF(XLOOKUP([@oras],tbl_Localitati[oras_oficial],tbl_Localitati[judet],"?")&lt;&gt;[@judet],"JUDET NECORESPUNZATOR",""))</f>
        <v/>
      </c>
      <c r="R1225">
        <f>IF(XLOOKUP([@categorie],tbl_RegulriTVA[categorie],tbl_RegulriTVA[cota_legala],-1)&lt;&gt;[@cota_tva],"TVA GRESIT","")</f>
        <v/>
      </c>
      <c r="S1225">
        <f>IF([@data_scadentei]&lt;[@data_factura],"SCADENTA INAINTEA FACTURII","")</f>
        <v/>
      </c>
      <c r="T1225">
        <f>IF(NETWORKDAYS.INTL([@data_factura],[@data_factura],1,tbl_SarbatoriLegale[data])=0,"ZI NELUCRATOARE","")</f>
        <v/>
      </c>
      <c r="U1225">
        <f>IF([@motiv_anomalie]="","OK","DE INVESTIGAT")</f>
        <v/>
      </c>
      <c r="V1225">
        <f>TEXTJOIN("; ",TRUE,[@flag_oras],[@flag_tva],[@flag_scadenta],[@flag_zi])</f>
        <v/>
      </c>
    </row>
    <row r="1226">
      <c r="A1226" t="inlineStr">
        <is>
          <t>F-2025-01225</t>
        </is>
      </c>
      <c r="B1226" s="12" t="n">
        <v>46072</v>
      </c>
      <c r="C1226" t="inlineStr">
        <is>
          <t>SC METALPLAST INVEST SA</t>
        </is>
      </c>
      <c r="D1226" t="inlineStr">
        <is>
          <t>Cluj</t>
        </is>
      </c>
      <c r="E1226" t="inlineStr">
        <is>
          <t>PRD-010</t>
        </is>
      </c>
      <c r="F1226" t="inlineStr">
        <is>
          <t>Videoproiector sala</t>
        </is>
      </c>
      <c r="G1226" t="inlineStr">
        <is>
          <t>Echipamente birou</t>
        </is>
      </c>
      <c r="H1226" t="n">
        <v>50</v>
      </c>
      <c r="I1226" t="n">
        <v>340.32</v>
      </c>
      <c r="J1226" t="n">
        <v>17016</v>
      </c>
      <c r="K1226" s="13" t="n">
        <v>0.19</v>
      </c>
      <c r="L1226" t="n">
        <v>3233.04</v>
      </c>
      <c r="M1226" t="n">
        <v>20249.04</v>
      </c>
      <c r="N1226" t="inlineStr">
        <is>
          <t>RON</t>
        </is>
      </c>
      <c r="O1226" t="inlineStr">
        <is>
          <t>Turda</t>
        </is>
      </c>
      <c r="P1226" s="12" t="n">
        <v>46117</v>
      </c>
      <c r="Q1226">
        <f>IF(COUNTIF(tbl_Localitati[oras_oficial],[@oras])=0,"ORAS NEALINIAT",IF(XLOOKUP([@oras],tbl_Localitati[oras_oficial],tbl_Localitati[judet],"?")&lt;&gt;[@judet],"JUDET NECORESPUNZATOR",""))</f>
        <v/>
      </c>
      <c r="R1226">
        <f>IF(XLOOKUP([@categorie],tbl_RegulriTVA[categorie],tbl_RegulriTVA[cota_legala],-1)&lt;&gt;[@cota_tva],"TVA GRESIT","")</f>
        <v/>
      </c>
      <c r="S1226">
        <f>IF([@data_scadentei]&lt;[@data_factura],"SCADENTA INAINTEA FACTURII","")</f>
        <v/>
      </c>
      <c r="T1226">
        <f>IF(NETWORKDAYS.INTL([@data_factura],[@data_factura],1,tbl_SarbatoriLegale[data])=0,"ZI NELUCRATOARE","")</f>
        <v/>
      </c>
      <c r="U1226">
        <f>IF([@motiv_anomalie]="","OK","DE INVESTIGAT")</f>
        <v/>
      </c>
      <c r="V1226">
        <f>TEXTJOIN("; ",TRUE,[@flag_oras],[@flag_tva],[@flag_scadenta],[@flag_zi])</f>
        <v/>
      </c>
    </row>
    <row r="1227">
      <c r="A1227" t="inlineStr">
        <is>
          <t>F-2025-01226</t>
        </is>
      </c>
      <c r="B1227" s="12" t="n">
        <v>46286</v>
      </c>
      <c r="C1227" t="inlineStr">
        <is>
          <t>SC FARMAVITAL DISTRIBUTIE SA</t>
        </is>
      </c>
      <c r="D1227" t="inlineStr">
        <is>
          <t>Bihor</t>
        </is>
      </c>
      <c r="E1227" t="inlineStr">
        <is>
          <t>PRD-002</t>
        </is>
      </c>
      <c r="F1227" t="inlineStr">
        <is>
          <t>Tocator documente</t>
        </is>
      </c>
      <c r="G1227" t="inlineStr">
        <is>
          <t>Echipamente birou</t>
        </is>
      </c>
      <c r="H1227" t="n">
        <v>10</v>
      </c>
      <c r="I1227" t="n">
        <v>1091.98</v>
      </c>
      <c r="J1227" t="n">
        <v>10919.8</v>
      </c>
      <c r="K1227" s="13" t="n">
        <v>0.19</v>
      </c>
      <c r="L1227" t="n">
        <v>2074.76</v>
      </c>
      <c r="M1227" t="n">
        <v>12994.56</v>
      </c>
      <c r="N1227" t="inlineStr">
        <is>
          <t>RON</t>
        </is>
      </c>
      <c r="O1227" t="inlineStr">
        <is>
          <t>Oradea</t>
        </is>
      </c>
      <c r="P1227" s="12" t="n">
        <v>46316</v>
      </c>
      <c r="Q1227">
        <f>IF(COUNTIF(tbl_Localitati[oras_oficial],[@oras])=0,"ORAS NEALINIAT",IF(XLOOKUP([@oras],tbl_Localitati[oras_oficial],tbl_Localitati[judet],"?")&lt;&gt;[@judet],"JUDET NECORESPUNZATOR",""))</f>
        <v/>
      </c>
      <c r="R1227">
        <f>IF(XLOOKUP([@categorie],tbl_RegulriTVA[categorie],tbl_RegulriTVA[cota_legala],-1)&lt;&gt;[@cota_tva],"TVA GRESIT","")</f>
        <v/>
      </c>
      <c r="S1227">
        <f>IF([@data_scadentei]&lt;[@data_factura],"SCADENTA INAINTEA FACTURII","")</f>
        <v/>
      </c>
      <c r="T1227">
        <f>IF(NETWORKDAYS.INTL([@data_factura],[@data_factura],1,tbl_SarbatoriLegale[data])=0,"ZI NELUCRATOARE","")</f>
        <v/>
      </c>
      <c r="U1227">
        <f>IF([@motiv_anomalie]="","OK","DE INVESTIGAT")</f>
        <v/>
      </c>
      <c r="V1227">
        <f>TEXTJOIN("; ",TRUE,[@flag_oras],[@flag_tva],[@flag_scadenta],[@flag_zi])</f>
        <v/>
      </c>
    </row>
    <row r="1228">
      <c r="A1228" t="inlineStr">
        <is>
          <t>F-2025-01227</t>
        </is>
      </c>
      <c r="B1228" s="12" t="n">
        <v>46280</v>
      </c>
      <c r="C1228" t="inlineStr">
        <is>
          <t>SC RAPID LOGISTIC SA</t>
        </is>
      </c>
      <c r="D1228" t="inlineStr">
        <is>
          <t>Prahova</t>
        </is>
      </c>
      <c r="E1228" t="inlineStr">
        <is>
          <t>PRD-010</t>
        </is>
      </c>
      <c r="F1228" t="inlineStr">
        <is>
          <t>Trusa prim ajutor</t>
        </is>
      </c>
      <c r="G1228" t="inlineStr">
        <is>
          <t>Produse farmaceutice</t>
        </is>
      </c>
      <c r="H1228" t="n">
        <v>10</v>
      </c>
      <c r="I1228" t="n">
        <v>360.74</v>
      </c>
      <c r="J1228" t="n">
        <v>3607.4</v>
      </c>
      <c r="K1228" s="13" t="n">
        <v>0.09</v>
      </c>
      <c r="L1228" t="n">
        <v>324.67</v>
      </c>
      <c r="M1228" t="n">
        <v>3932.07</v>
      </c>
      <c r="N1228" t="inlineStr">
        <is>
          <t>RON</t>
        </is>
      </c>
      <c r="O1228" t="inlineStr">
        <is>
          <t>Ploiești</t>
        </is>
      </c>
      <c r="P1228" s="12" t="n">
        <v>46340</v>
      </c>
      <c r="Q1228">
        <f>IF(COUNTIF(tbl_Localitati[oras_oficial],[@oras])=0,"ORAS NEALINIAT",IF(XLOOKUP([@oras],tbl_Localitati[oras_oficial],tbl_Localitati[judet],"?")&lt;&gt;[@judet],"JUDET NECORESPUNZATOR",""))</f>
        <v/>
      </c>
      <c r="R1228">
        <f>IF(XLOOKUP([@categorie],tbl_RegulriTVA[categorie],tbl_RegulriTVA[cota_legala],-1)&lt;&gt;[@cota_tva],"TVA GRESIT","")</f>
        <v/>
      </c>
      <c r="S1228">
        <f>IF([@data_scadentei]&lt;[@data_factura],"SCADENTA INAINTEA FACTURII","")</f>
        <v/>
      </c>
      <c r="T1228">
        <f>IF(NETWORKDAYS.INTL([@data_factura],[@data_factura],1,tbl_SarbatoriLegale[data])=0,"ZI NELUCRATOARE","")</f>
        <v/>
      </c>
      <c r="U1228">
        <f>IF([@motiv_anomalie]="","OK","DE INVESTIGAT")</f>
        <v/>
      </c>
      <c r="V1228">
        <f>TEXTJOIN("; ",TRUE,[@flag_oras],[@flag_tva],[@flag_scadenta],[@flag_zi])</f>
        <v/>
      </c>
    </row>
    <row r="1229">
      <c r="A1229" t="inlineStr">
        <is>
          <t>F-2025-01228</t>
        </is>
      </c>
      <c r="B1229" s="12" t="n">
        <v>46184</v>
      </c>
      <c r="C1229" t="inlineStr">
        <is>
          <t>SC VECTOR CONSULT SRL</t>
        </is>
      </c>
      <c r="D1229" t="inlineStr">
        <is>
          <t>Timiș</t>
        </is>
      </c>
      <c r="E1229" t="inlineStr">
        <is>
          <t>PRD-001</t>
        </is>
      </c>
      <c r="F1229" t="inlineStr">
        <is>
          <t>Licenta Office 365 anuala</t>
        </is>
      </c>
      <c r="G1229" t="inlineStr">
        <is>
          <t>Licențe software</t>
        </is>
      </c>
      <c r="H1229" t="n">
        <v>1</v>
      </c>
      <c r="I1229" t="n">
        <v>2423.28</v>
      </c>
      <c r="J1229" t="n">
        <v>2423.28</v>
      </c>
      <c r="K1229" s="13" t="n">
        <v>0.19</v>
      </c>
      <c r="L1229" t="n">
        <v>460.42</v>
      </c>
      <c r="M1229" t="n">
        <v>2883.7</v>
      </c>
      <c r="N1229" t="inlineStr">
        <is>
          <t>RON</t>
        </is>
      </c>
      <c r="O1229" t="inlineStr">
        <is>
          <t>Timișoara</t>
        </is>
      </c>
      <c r="P1229" s="12" t="n">
        <v>46244</v>
      </c>
      <c r="Q1229">
        <f>IF(COUNTIF(tbl_Localitati[oras_oficial],[@oras])=0,"ORAS NEALINIAT",IF(XLOOKUP([@oras],tbl_Localitati[oras_oficial],tbl_Localitati[judet],"?")&lt;&gt;[@judet],"JUDET NECORESPUNZATOR",""))</f>
        <v/>
      </c>
      <c r="R1229">
        <f>IF(XLOOKUP([@categorie],tbl_RegulriTVA[categorie],tbl_RegulriTVA[cota_legala],-1)&lt;&gt;[@cota_tva],"TVA GRESIT","")</f>
        <v/>
      </c>
      <c r="S1229">
        <f>IF([@data_scadentei]&lt;[@data_factura],"SCADENTA INAINTEA FACTURII","")</f>
        <v/>
      </c>
      <c r="T1229">
        <f>IF(NETWORKDAYS.INTL([@data_factura],[@data_factura],1,tbl_SarbatoriLegale[data])=0,"ZI NELUCRATOARE","")</f>
        <v/>
      </c>
      <c r="U1229">
        <f>IF([@motiv_anomalie]="","OK","DE INVESTIGAT")</f>
        <v/>
      </c>
      <c r="V1229">
        <f>TEXTJOIN("; ",TRUE,[@flag_oras],[@flag_tva],[@flag_scadenta],[@flag_zi])</f>
        <v/>
      </c>
    </row>
    <row r="1230">
      <c r="A1230" t="inlineStr">
        <is>
          <t>F-2025-01229</t>
        </is>
      </c>
      <c r="B1230" s="12" t="n">
        <v>46220</v>
      </c>
      <c r="C1230" t="inlineStr">
        <is>
          <t>SC PROVITA MEDICAL SRL</t>
        </is>
      </c>
      <c r="D1230" t="inlineStr">
        <is>
          <t>Constanța</t>
        </is>
      </c>
      <c r="E1230" t="inlineStr">
        <is>
          <t>PRD-006</t>
        </is>
      </c>
      <c r="F1230" t="inlineStr">
        <is>
          <t>Apa plata bax</t>
        </is>
      </c>
      <c r="G1230" t="inlineStr">
        <is>
          <t>Alimente</t>
        </is>
      </c>
      <c r="H1230" t="n">
        <v>1</v>
      </c>
      <c r="I1230" t="n">
        <v>717.71</v>
      </c>
      <c r="J1230" t="n">
        <v>717.71</v>
      </c>
      <c r="K1230" s="13" t="n">
        <v>0.09</v>
      </c>
      <c r="L1230" t="n">
        <v>64.59</v>
      </c>
      <c r="M1230" t="n">
        <v>782.3</v>
      </c>
      <c r="N1230" t="inlineStr">
        <is>
          <t>RON</t>
        </is>
      </c>
      <c r="O1230" t="inlineStr">
        <is>
          <t>Târgu Mureș</t>
        </is>
      </c>
      <c r="P1230" s="12" t="n">
        <v>46250</v>
      </c>
      <c r="Q1230">
        <f>IF(COUNTIF(tbl_Localitati[oras_oficial],[@oras])=0,"ORAS NEALINIAT",IF(XLOOKUP([@oras],tbl_Localitati[oras_oficial],tbl_Localitati[judet],"?")&lt;&gt;[@judet],"JUDET NECORESPUNZATOR",""))</f>
        <v/>
      </c>
      <c r="R1230">
        <f>IF(XLOOKUP([@categorie],tbl_RegulriTVA[categorie],tbl_RegulriTVA[cota_legala],-1)&lt;&gt;[@cota_tva],"TVA GRESIT","")</f>
        <v/>
      </c>
      <c r="S1230">
        <f>IF([@data_scadentei]&lt;[@data_factura],"SCADENTA INAINTEA FACTURII","")</f>
        <v/>
      </c>
      <c r="T1230">
        <f>IF(NETWORKDAYS.INTL([@data_factura],[@data_factura],1,tbl_SarbatoriLegale[data])=0,"ZI NELUCRATOARE","")</f>
        <v/>
      </c>
      <c r="U1230">
        <f>IF([@motiv_anomalie]="","OK","DE INVESTIGAT")</f>
        <v/>
      </c>
      <c r="V1230">
        <f>TEXTJOIN("; ",TRUE,[@flag_oras],[@flag_tva],[@flag_scadenta],[@flag_zi])</f>
        <v/>
      </c>
    </row>
    <row r="1231">
      <c r="A1231" t="inlineStr">
        <is>
          <t>F-2025-01230</t>
        </is>
      </c>
      <c r="B1231" s="12" t="n">
        <v>46331</v>
      </c>
      <c r="C1231" t="inlineStr">
        <is>
          <t>SC OMEGA SOFT SRL</t>
        </is>
      </c>
      <c r="D1231" t="inlineStr">
        <is>
          <t>Dolj</t>
        </is>
      </c>
      <c r="E1231" t="inlineStr">
        <is>
          <t>PRD-006</t>
        </is>
      </c>
      <c r="F1231" t="inlineStr">
        <is>
          <t>Multifunctionala laser</t>
        </is>
      </c>
      <c r="G1231" t="inlineStr">
        <is>
          <t>Echipamente birou</t>
        </is>
      </c>
      <c r="H1231" t="n">
        <v>10</v>
      </c>
      <c r="I1231" t="n">
        <v>762</v>
      </c>
      <c r="J1231" t="n">
        <v>7620</v>
      </c>
      <c r="K1231" s="13" t="n">
        <v>0.19</v>
      </c>
      <c r="L1231" t="n">
        <v>1447.8</v>
      </c>
      <c r="M1231" t="n">
        <v>9067.799999999999</v>
      </c>
      <c r="N1231" t="inlineStr">
        <is>
          <t>RON</t>
        </is>
      </c>
      <c r="O1231" t="inlineStr">
        <is>
          <t>Craiova</t>
        </is>
      </c>
      <c r="P1231" s="12" t="n">
        <v>46346</v>
      </c>
      <c r="Q1231">
        <f>IF(COUNTIF(tbl_Localitati[oras_oficial],[@oras])=0,"ORAS NEALINIAT",IF(XLOOKUP([@oras],tbl_Localitati[oras_oficial],tbl_Localitati[judet],"?")&lt;&gt;[@judet],"JUDET NECORESPUNZATOR",""))</f>
        <v/>
      </c>
      <c r="R1231">
        <f>IF(XLOOKUP([@categorie],tbl_RegulriTVA[categorie],tbl_RegulriTVA[cota_legala],-1)&lt;&gt;[@cota_tva],"TVA GRESIT","")</f>
        <v/>
      </c>
      <c r="S1231">
        <f>IF([@data_scadentei]&lt;[@data_factura],"SCADENTA INAINTEA FACTURII","")</f>
        <v/>
      </c>
      <c r="T1231">
        <f>IF(NETWORKDAYS.INTL([@data_factura],[@data_factura],1,tbl_SarbatoriLegale[data])=0,"ZI NELUCRATOARE","")</f>
        <v/>
      </c>
      <c r="U1231">
        <f>IF([@motiv_anomalie]="","OK","DE INVESTIGAT")</f>
        <v/>
      </c>
      <c r="V1231">
        <f>TEXTJOIN("; ",TRUE,[@flag_oras],[@flag_tva],[@flag_scadenta],[@flag_zi])</f>
        <v/>
      </c>
    </row>
    <row r="1232">
      <c r="A1232" t="inlineStr">
        <is>
          <t>F-2025-01231</t>
        </is>
      </c>
      <c r="B1232" s="12" t="n">
        <v>46070</v>
      </c>
      <c r="C1232" t="inlineStr">
        <is>
          <t>SC AROMET TRADING SRL</t>
        </is>
      </c>
      <c r="D1232" t="inlineStr">
        <is>
          <t>Alba</t>
        </is>
      </c>
      <c r="E1232" t="inlineStr">
        <is>
          <t>PRD-008</t>
        </is>
      </c>
      <c r="F1232" t="inlineStr">
        <is>
          <t>Abonament suita cloud</t>
        </is>
      </c>
      <c r="G1232" t="inlineStr">
        <is>
          <t>Licențe software</t>
        </is>
      </c>
      <c r="H1232" t="n">
        <v>5</v>
      </c>
      <c r="I1232" t="n">
        <v>430</v>
      </c>
      <c r="J1232" t="n">
        <v>2150</v>
      </c>
      <c r="K1232" s="13" t="n">
        <v>0.19</v>
      </c>
      <c r="L1232" t="n">
        <v>408.5</v>
      </c>
      <c r="M1232" t="n">
        <v>2558.5</v>
      </c>
      <c r="N1232" t="inlineStr">
        <is>
          <t>EUR</t>
        </is>
      </c>
      <c r="O1232" t="inlineStr">
        <is>
          <t>Alba Iulia</t>
        </is>
      </c>
      <c r="P1232" s="12" t="n">
        <v>46085</v>
      </c>
      <c r="Q1232">
        <f>IF(COUNTIF(tbl_Localitati[oras_oficial],[@oras])=0,"ORAS NEALINIAT",IF(XLOOKUP([@oras],tbl_Localitati[oras_oficial],tbl_Localitati[judet],"?")&lt;&gt;[@judet],"JUDET NECORESPUNZATOR",""))</f>
        <v/>
      </c>
      <c r="R1232">
        <f>IF(XLOOKUP([@categorie],tbl_RegulriTVA[categorie],tbl_RegulriTVA[cota_legala],-1)&lt;&gt;[@cota_tva],"TVA GRESIT","")</f>
        <v/>
      </c>
      <c r="S1232">
        <f>IF([@data_scadentei]&lt;[@data_factura],"SCADENTA INAINTEA FACTURII","")</f>
        <v/>
      </c>
      <c r="T1232">
        <f>IF(NETWORKDAYS.INTL([@data_factura],[@data_factura],1,tbl_SarbatoriLegale[data])=0,"ZI NELUCRATOARE","")</f>
        <v/>
      </c>
      <c r="U1232">
        <f>IF([@motiv_anomalie]="","OK","DE INVESTIGAT")</f>
        <v/>
      </c>
      <c r="V1232">
        <f>TEXTJOIN("; ",TRUE,[@flag_oras],[@flag_tva],[@flag_scadenta],[@flag_zi])</f>
        <v/>
      </c>
    </row>
    <row r="1233">
      <c r="A1233" t="inlineStr">
        <is>
          <t>F-2025-01232</t>
        </is>
      </c>
      <c r="B1233" s="12" t="n">
        <v>46252</v>
      </c>
      <c r="C1233" t="inlineStr">
        <is>
          <t>SC RAPID LOGISTIC SA</t>
        </is>
      </c>
      <c r="D1233" t="inlineStr">
        <is>
          <t>Prahova</t>
        </is>
      </c>
      <c r="E1233" t="inlineStr">
        <is>
          <t>PRD-012</t>
        </is>
      </c>
      <c r="F1233" t="inlineStr">
        <is>
          <t>Monitor 27" 4K</t>
        </is>
      </c>
      <c r="G1233" t="inlineStr">
        <is>
          <t>Hardware IT</t>
        </is>
      </c>
      <c r="H1233" t="n">
        <v>4</v>
      </c>
      <c r="I1233" t="n">
        <v>184.27</v>
      </c>
      <c r="J1233" t="n">
        <v>737.08</v>
      </c>
      <c r="K1233" s="13" t="n">
        <v>0.19</v>
      </c>
      <c r="L1233" t="n">
        <v>140.05</v>
      </c>
      <c r="M1233" t="n">
        <v>877.13</v>
      </c>
      <c r="N1233" t="inlineStr">
        <is>
          <t>RON</t>
        </is>
      </c>
      <c r="O1233" t="inlineStr">
        <is>
          <t>Ploiești</t>
        </is>
      </c>
      <c r="P1233" s="12" t="n">
        <v>46282</v>
      </c>
      <c r="Q1233">
        <f>IF(COUNTIF(tbl_Localitati[oras_oficial],[@oras])=0,"ORAS NEALINIAT",IF(XLOOKUP([@oras],tbl_Localitati[oras_oficial],tbl_Localitati[judet],"?")&lt;&gt;[@judet],"JUDET NECORESPUNZATOR",""))</f>
        <v/>
      </c>
      <c r="R1233">
        <f>IF(XLOOKUP([@categorie],tbl_RegulriTVA[categorie],tbl_RegulriTVA[cota_legala],-1)&lt;&gt;[@cota_tva],"TVA GRESIT","")</f>
        <v/>
      </c>
      <c r="S1233">
        <f>IF([@data_scadentei]&lt;[@data_factura],"SCADENTA INAINTEA FACTURII","")</f>
        <v/>
      </c>
      <c r="T1233">
        <f>IF(NETWORKDAYS.INTL([@data_factura],[@data_factura],1,tbl_SarbatoriLegale[data])=0,"ZI NELUCRATOARE","")</f>
        <v/>
      </c>
      <c r="U1233">
        <f>IF([@motiv_anomalie]="","OK","DE INVESTIGAT")</f>
        <v/>
      </c>
      <c r="V1233">
        <f>TEXTJOIN("; ",TRUE,[@flag_oras],[@flag_tva],[@flag_scadenta],[@flag_zi])</f>
        <v/>
      </c>
    </row>
    <row r="1234">
      <c r="A1234" t="inlineStr">
        <is>
          <t>F-2025-01233</t>
        </is>
      </c>
      <c r="B1234" s="12" t="n">
        <v>46387</v>
      </c>
      <c r="C1234" t="inlineStr">
        <is>
          <t>SC AROMET TRADING SRL</t>
        </is>
      </c>
      <c r="D1234" t="inlineStr">
        <is>
          <t>Alba</t>
        </is>
      </c>
      <c r="E1234" t="inlineStr">
        <is>
          <t>PRD-002</t>
        </is>
      </c>
      <c r="F1234" t="inlineStr">
        <is>
          <t>Suport tehnic anual</t>
        </is>
      </c>
      <c r="G1234" t="inlineStr">
        <is>
          <t>Servicii consultanță</t>
        </is>
      </c>
      <c r="H1234" t="n">
        <v>3</v>
      </c>
      <c r="I1234" t="n">
        <v>1054.48</v>
      </c>
      <c r="J1234" t="n">
        <v>3163.44</v>
      </c>
      <c r="K1234" s="13" t="n">
        <v>0.19</v>
      </c>
      <c r="L1234" t="n">
        <v>601.05</v>
      </c>
      <c r="M1234" t="n">
        <v>3764.49</v>
      </c>
      <c r="N1234" t="inlineStr">
        <is>
          <t>RON</t>
        </is>
      </c>
      <c r="O1234" t="inlineStr">
        <is>
          <t>Alba Iulia</t>
        </is>
      </c>
      <c r="P1234" s="12" t="n">
        <v>46417</v>
      </c>
      <c r="Q1234">
        <f>IF(COUNTIF(tbl_Localitati[oras_oficial],[@oras])=0,"ORAS NEALINIAT",IF(XLOOKUP([@oras],tbl_Localitati[oras_oficial],tbl_Localitati[judet],"?")&lt;&gt;[@judet],"JUDET NECORESPUNZATOR",""))</f>
        <v/>
      </c>
      <c r="R1234">
        <f>IF(XLOOKUP([@categorie],tbl_RegulriTVA[categorie],tbl_RegulriTVA[cota_legala],-1)&lt;&gt;[@cota_tva],"TVA GRESIT","")</f>
        <v/>
      </c>
      <c r="S1234">
        <f>IF([@data_scadentei]&lt;[@data_factura],"SCADENTA INAINTEA FACTURII","")</f>
        <v/>
      </c>
      <c r="T1234">
        <f>IF(NETWORKDAYS.INTL([@data_factura],[@data_factura],1,tbl_SarbatoriLegale[data])=0,"ZI NELUCRATOARE","")</f>
        <v/>
      </c>
      <c r="U1234">
        <f>IF([@motiv_anomalie]="","OK","DE INVESTIGAT")</f>
        <v/>
      </c>
      <c r="V1234">
        <f>TEXTJOIN("; ",TRUE,[@flag_oras],[@flag_tva],[@flag_scadenta],[@flag_zi])</f>
        <v/>
      </c>
    </row>
    <row r="1235">
      <c r="A1235" t="inlineStr">
        <is>
          <t>F-2025-01234</t>
        </is>
      </c>
      <c r="B1235" s="12" t="n">
        <v>46181</v>
      </c>
      <c r="C1235" t="inlineStr">
        <is>
          <t>SC PROVITA MEDICAL SRL</t>
        </is>
      </c>
      <c r="D1235" t="inlineStr">
        <is>
          <t>Mureș</t>
        </is>
      </c>
      <c r="E1235" t="inlineStr">
        <is>
          <t>PRD-006</t>
        </is>
      </c>
      <c r="F1235" t="inlineStr">
        <is>
          <t>Dezinfectant maini 5L</t>
        </is>
      </c>
      <c r="G1235" t="inlineStr">
        <is>
          <t>Produse farmaceutice</t>
        </is>
      </c>
      <c r="H1235" t="n">
        <v>10</v>
      </c>
      <c r="I1235" t="n">
        <v>765.48</v>
      </c>
      <c r="J1235" t="n">
        <v>7654.8</v>
      </c>
      <c r="K1235" s="13" t="n">
        <v>0.09</v>
      </c>
      <c r="L1235" t="n">
        <v>688.9299999999999</v>
      </c>
      <c r="M1235" t="n">
        <v>8343.73</v>
      </c>
      <c r="N1235" t="inlineStr">
        <is>
          <t>RON</t>
        </is>
      </c>
      <c r="O1235" t="inlineStr">
        <is>
          <t>Târgu Mureș</t>
        </is>
      </c>
      <c r="P1235" s="12" t="n">
        <v>46211</v>
      </c>
      <c r="Q1235">
        <f>IF(COUNTIF(tbl_Localitati[oras_oficial],[@oras])=0,"ORAS NEALINIAT",IF(XLOOKUP([@oras],tbl_Localitati[oras_oficial],tbl_Localitati[judet],"?")&lt;&gt;[@judet],"JUDET NECORESPUNZATOR",""))</f>
        <v/>
      </c>
      <c r="R1235">
        <f>IF(XLOOKUP([@categorie],tbl_RegulriTVA[categorie],tbl_RegulriTVA[cota_legala],-1)&lt;&gt;[@cota_tva],"TVA GRESIT","")</f>
        <v/>
      </c>
      <c r="S1235">
        <f>IF([@data_scadentei]&lt;[@data_factura],"SCADENTA INAINTEA FACTURII","")</f>
        <v/>
      </c>
      <c r="T1235">
        <f>IF(NETWORKDAYS.INTL([@data_factura],[@data_factura],1,tbl_SarbatoriLegale[data])=0,"ZI NELUCRATOARE","")</f>
        <v/>
      </c>
      <c r="U1235">
        <f>IF([@motiv_anomalie]="","OK","DE INVESTIGAT")</f>
        <v/>
      </c>
      <c r="V1235">
        <f>TEXTJOIN("; ",TRUE,[@flag_oras],[@flag_tva],[@flag_scadenta],[@flag_zi])</f>
        <v/>
      </c>
    </row>
    <row r="1236">
      <c r="A1236" t="inlineStr">
        <is>
          <t>F-2025-01235</t>
        </is>
      </c>
      <c r="B1236" s="12" t="n">
        <v>46231</v>
      </c>
      <c r="C1236" t="inlineStr">
        <is>
          <t>SC INTEGROMED SA</t>
        </is>
      </c>
      <c r="D1236" t="inlineStr">
        <is>
          <t>Cluj</t>
        </is>
      </c>
      <c r="E1236" t="inlineStr">
        <is>
          <t>PRD-001</t>
        </is>
      </c>
      <c r="F1236" t="inlineStr">
        <is>
          <t>Statie de lucru desktop</t>
        </is>
      </c>
      <c r="G1236" t="inlineStr">
        <is>
          <t>Hardware IT</t>
        </is>
      </c>
      <c r="H1236" t="n">
        <v>3</v>
      </c>
      <c r="I1236" t="n">
        <v>2335.95</v>
      </c>
      <c r="J1236" t="n">
        <v>7007.85</v>
      </c>
      <c r="K1236" s="13" t="n">
        <v>0.19</v>
      </c>
      <c r="L1236" t="n">
        <v>1331.49</v>
      </c>
      <c r="M1236" t="n">
        <v>8339.34</v>
      </c>
      <c r="N1236" t="inlineStr">
        <is>
          <t>RON</t>
        </is>
      </c>
      <c r="O1236" t="inlineStr">
        <is>
          <t>Cluj-Napoca</t>
        </is>
      </c>
      <c r="P1236" s="12" t="n">
        <v>46261</v>
      </c>
      <c r="Q1236">
        <f>IF(COUNTIF(tbl_Localitati[oras_oficial],[@oras])=0,"ORAS NEALINIAT",IF(XLOOKUP([@oras],tbl_Localitati[oras_oficial],tbl_Localitati[judet],"?")&lt;&gt;[@judet],"JUDET NECORESPUNZATOR",""))</f>
        <v/>
      </c>
      <c r="R1236">
        <f>IF(XLOOKUP([@categorie],tbl_RegulriTVA[categorie],tbl_RegulriTVA[cota_legala],-1)&lt;&gt;[@cota_tva],"TVA GRESIT","")</f>
        <v/>
      </c>
      <c r="S1236">
        <f>IF([@data_scadentei]&lt;[@data_factura],"SCADENTA INAINTEA FACTURII","")</f>
        <v/>
      </c>
      <c r="T1236">
        <f>IF(NETWORKDAYS.INTL([@data_factura],[@data_factura],1,tbl_SarbatoriLegale[data])=0,"ZI NELUCRATOARE","")</f>
        <v/>
      </c>
      <c r="U1236">
        <f>IF([@motiv_anomalie]="","OK","DE INVESTIGAT")</f>
        <v/>
      </c>
      <c r="V1236">
        <f>TEXTJOIN("; ",TRUE,[@flag_oras],[@flag_tva],[@flag_scadenta],[@flag_zi])</f>
        <v/>
      </c>
    </row>
    <row r="1237">
      <c r="A1237" t="inlineStr">
        <is>
          <t>F-2025-01236</t>
        </is>
      </c>
      <c r="B1237" s="12" t="n">
        <v>46371</v>
      </c>
      <c r="C1237" t="inlineStr">
        <is>
          <t>SC NORDIS DISTRIBUTIE SRL</t>
        </is>
      </c>
      <c r="D1237" t="inlineStr">
        <is>
          <t>Constanța</t>
        </is>
      </c>
      <c r="E1237" t="inlineStr">
        <is>
          <t>PRD-011</t>
        </is>
      </c>
      <c r="F1237" t="inlineStr">
        <is>
          <t>Masti protectie cutie</t>
        </is>
      </c>
      <c r="G1237" t="inlineStr">
        <is>
          <t>Produse farmaceutice</t>
        </is>
      </c>
      <c r="H1237" t="n">
        <v>5</v>
      </c>
      <c r="I1237" t="n">
        <v>47.21</v>
      </c>
      <c r="J1237" t="n">
        <v>236.05</v>
      </c>
      <c r="K1237" s="13" t="n">
        <v>0.09</v>
      </c>
      <c r="L1237" t="n">
        <v>21.24</v>
      </c>
      <c r="M1237" t="n">
        <v>257.29</v>
      </c>
      <c r="N1237" t="inlineStr">
        <is>
          <t>RON</t>
        </is>
      </c>
      <c r="O1237" t="inlineStr">
        <is>
          <t>Mangalia</t>
        </is>
      </c>
      <c r="P1237" s="12" t="n">
        <v>46401</v>
      </c>
      <c r="Q1237">
        <f>IF(COUNTIF(tbl_Localitati[oras_oficial],[@oras])=0,"ORAS NEALINIAT",IF(XLOOKUP([@oras],tbl_Localitati[oras_oficial],tbl_Localitati[judet],"?")&lt;&gt;[@judet],"JUDET NECORESPUNZATOR",""))</f>
        <v/>
      </c>
      <c r="R1237">
        <f>IF(XLOOKUP([@categorie],tbl_RegulriTVA[categorie],tbl_RegulriTVA[cota_legala],-1)&lt;&gt;[@cota_tva],"TVA GRESIT","")</f>
        <v/>
      </c>
      <c r="S1237">
        <f>IF([@data_scadentei]&lt;[@data_factura],"SCADENTA INAINTEA FACTURII","")</f>
        <v/>
      </c>
      <c r="T1237">
        <f>IF(NETWORKDAYS.INTL([@data_factura],[@data_factura],1,tbl_SarbatoriLegale[data])=0,"ZI NELUCRATOARE","")</f>
        <v/>
      </c>
      <c r="U1237">
        <f>IF([@motiv_anomalie]="","OK","DE INVESTIGAT")</f>
        <v/>
      </c>
      <c r="V1237">
        <f>TEXTJOIN("; ",TRUE,[@flag_oras],[@flag_tva],[@flag_scadenta],[@flag_zi])</f>
        <v/>
      </c>
    </row>
    <row r="1238">
      <c r="A1238" t="inlineStr">
        <is>
          <t>F-2025-01237</t>
        </is>
      </c>
      <c r="B1238" s="12" t="n">
        <v>46027</v>
      </c>
      <c r="C1238" t="inlineStr">
        <is>
          <t>SC AROMET TRADING SRL</t>
        </is>
      </c>
      <c r="D1238" t="inlineStr">
        <is>
          <t>Alba</t>
        </is>
      </c>
      <c r="E1238" t="inlineStr">
        <is>
          <t>PRD-001</t>
        </is>
      </c>
      <c r="F1238" t="inlineStr">
        <is>
          <t>Licenta Office 365 anuala</t>
        </is>
      </c>
      <c r="G1238" t="inlineStr">
        <is>
          <t>Licențe software</t>
        </is>
      </c>
      <c r="H1238" t="n">
        <v>1</v>
      </c>
      <c r="I1238" t="n">
        <v>2381.38</v>
      </c>
      <c r="J1238" t="n">
        <v>2381.38</v>
      </c>
      <c r="K1238" s="13" t="n">
        <v>0.19</v>
      </c>
      <c r="L1238" t="n">
        <v>452.46</v>
      </c>
      <c r="M1238" t="n">
        <v>2833.84</v>
      </c>
      <c r="N1238" t="inlineStr">
        <is>
          <t>RON</t>
        </is>
      </c>
      <c r="O1238" t="inlineStr">
        <is>
          <t>Alba Iulia</t>
        </is>
      </c>
      <c r="P1238" s="12" t="n">
        <v>46042</v>
      </c>
      <c r="Q1238">
        <f>IF(COUNTIF(tbl_Localitati[oras_oficial],[@oras])=0,"ORAS NEALINIAT",IF(XLOOKUP([@oras],tbl_Localitati[oras_oficial],tbl_Localitati[judet],"?")&lt;&gt;[@judet],"JUDET NECORESPUNZATOR",""))</f>
        <v/>
      </c>
      <c r="R1238">
        <f>IF(XLOOKUP([@categorie],tbl_RegulriTVA[categorie],tbl_RegulriTVA[cota_legala],-1)&lt;&gt;[@cota_tva],"TVA GRESIT","")</f>
        <v/>
      </c>
      <c r="S1238">
        <f>IF([@data_scadentei]&lt;[@data_factura],"SCADENTA INAINTEA FACTURII","")</f>
        <v/>
      </c>
      <c r="T1238">
        <f>IF(NETWORKDAYS.INTL([@data_factura],[@data_factura],1,tbl_SarbatoriLegale[data])=0,"ZI NELUCRATOARE","")</f>
        <v/>
      </c>
      <c r="U1238">
        <f>IF([@motiv_anomalie]="","OK","DE INVESTIGAT")</f>
        <v/>
      </c>
      <c r="V1238">
        <f>TEXTJOIN("; ",TRUE,[@flag_oras],[@flag_tva],[@flag_scadenta],[@flag_zi])</f>
        <v/>
      </c>
    </row>
    <row r="1239">
      <c r="A1239" t="inlineStr">
        <is>
          <t>F-2025-01238</t>
        </is>
      </c>
      <c r="B1239" s="12" t="n">
        <v>46332</v>
      </c>
      <c r="C1239" t="inlineStr">
        <is>
          <t>SC AROMET TRADING SRL</t>
        </is>
      </c>
      <c r="D1239" t="inlineStr">
        <is>
          <t>Alba</t>
        </is>
      </c>
      <c r="E1239" t="inlineStr">
        <is>
          <t>PRD-002</t>
        </is>
      </c>
      <c r="F1239" t="inlineStr">
        <is>
          <t>Server rack 1U</t>
        </is>
      </c>
      <c r="G1239" t="inlineStr">
        <is>
          <t>Hardware IT</t>
        </is>
      </c>
      <c r="H1239" t="n">
        <v>1</v>
      </c>
      <c r="I1239" t="n">
        <v>1119.45</v>
      </c>
      <c r="J1239" t="n">
        <v>1119.45</v>
      </c>
      <c r="K1239" s="13" t="n">
        <v>0.19</v>
      </c>
      <c r="L1239" t="n">
        <v>212.7</v>
      </c>
      <c r="M1239" t="n">
        <v>1332.15</v>
      </c>
      <c r="N1239" t="inlineStr">
        <is>
          <t>RON</t>
        </is>
      </c>
      <c r="O1239" t="inlineStr">
        <is>
          <t>Alba Iulia</t>
        </is>
      </c>
      <c r="P1239" s="12" t="n">
        <v>46377</v>
      </c>
      <c r="Q1239">
        <f>IF(COUNTIF(tbl_Localitati[oras_oficial],[@oras])=0,"ORAS NEALINIAT",IF(XLOOKUP([@oras],tbl_Localitati[oras_oficial],tbl_Localitati[judet],"?")&lt;&gt;[@judet],"JUDET NECORESPUNZATOR",""))</f>
        <v/>
      </c>
      <c r="R1239">
        <f>IF(XLOOKUP([@categorie],tbl_RegulriTVA[categorie],tbl_RegulriTVA[cota_legala],-1)&lt;&gt;[@cota_tva],"TVA GRESIT","")</f>
        <v/>
      </c>
      <c r="S1239">
        <f>IF([@data_scadentei]&lt;[@data_factura],"SCADENTA INAINTEA FACTURII","")</f>
        <v/>
      </c>
      <c r="T1239">
        <f>IF(NETWORKDAYS.INTL([@data_factura],[@data_factura],1,tbl_SarbatoriLegale[data])=0,"ZI NELUCRATOARE","")</f>
        <v/>
      </c>
      <c r="U1239">
        <f>IF([@motiv_anomalie]="","OK","DE INVESTIGAT")</f>
        <v/>
      </c>
      <c r="V1239">
        <f>TEXTJOIN("; ",TRUE,[@flag_oras],[@flag_tva],[@flag_scadenta],[@flag_zi])</f>
        <v/>
      </c>
    </row>
    <row r="1240">
      <c r="A1240" t="inlineStr">
        <is>
          <t>F-2025-01239</t>
        </is>
      </c>
      <c r="B1240" s="12" t="n">
        <v>46378</v>
      </c>
      <c r="C1240" t="inlineStr">
        <is>
          <t>SC AROMET TRADING SRL</t>
        </is>
      </c>
      <c r="D1240" t="inlineStr">
        <is>
          <t>Alba</t>
        </is>
      </c>
      <c r="E1240" t="inlineStr">
        <is>
          <t>PRD-008</t>
        </is>
      </c>
      <c r="F1240" t="inlineStr">
        <is>
          <t>Switch gigabit 24p</t>
        </is>
      </c>
      <c r="G1240" t="inlineStr">
        <is>
          <t>Hardware IT</t>
        </is>
      </c>
      <c r="H1240" t="n">
        <v>5</v>
      </c>
      <c r="I1240" t="n">
        <v>470.81</v>
      </c>
      <c r="J1240" t="n">
        <v>2354.05</v>
      </c>
      <c r="K1240" s="13" t="n">
        <v>0.19</v>
      </c>
      <c r="L1240" t="n">
        <v>447.27</v>
      </c>
      <c r="M1240" t="n">
        <v>2801.32</v>
      </c>
      <c r="N1240" t="inlineStr">
        <is>
          <t>RON</t>
        </is>
      </c>
      <c r="O1240" t="inlineStr">
        <is>
          <t>Alba Iulia</t>
        </is>
      </c>
      <c r="P1240" s="12" t="n">
        <v>46393</v>
      </c>
      <c r="Q1240">
        <f>IF(COUNTIF(tbl_Localitati[oras_oficial],[@oras])=0,"ORAS NEALINIAT",IF(XLOOKUP([@oras],tbl_Localitati[oras_oficial],tbl_Localitati[judet],"?")&lt;&gt;[@judet],"JUDET NECORESPUNZATOR",""))</f>
        <v/>
      </c>
      <c r="R1240">
        <f>IF(XLOOKUP([@categorie],tbl_RegulriTVA[categorie],tbl_RegulriTVA[cota_legala],-1)&lt;&gt;[@cota_tva],"TVA GRESIT","")</f>
        <v/>
      </c>
      <c r="S1240">
        <f>IF([@data_scadentei]&lt;[@data_factura],"SCADENTA INAINTEA FACTURII","")</f>
        <v/>
      </c>
      <c r="T1240">
        <f>IF(NETWORKDAYS.INTL([@data_factura],[@data_factura],1,tbl_SarbatoriLegale[data])=0,"ZI NELUCRATOARE","")</f>
        <v/>
      </c>
      <c r="U1240">
        <f>IF([@motiv_anomalie]="","OK","DE INVESTIGAT")</f>
        <v/>
      </c>
      <c r="V1240">
        <f>TEXTJOIN("; ",TRUE,[@flag_oras],[@flag_tva],[@flag_scadenta],[@flag_zi])</f>
        <v/>
      </c>
    </row>
    <row r="1241">
      <c r="A1241" t="inlineStr">
        <is>
          <t>F-2025-01240</t>
        </is>
      </c>
      <c r="B1241" s="12" t="n">
        <v>46294</v>
      </c>
      <c r="C1241" t="inlineStr">
        <is>
          <t>SC PROVITA MEDICAL SRL</t>
        </is>
      </c>
      <c r="D1241" t="inlineStr">
        <is>
          <t>Mureș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 IT</t>
        </is>
      </c>
      <c r="H1241" t="n">
        <v>1</v>
      </c>
      <c r="I1241" t="n">
        <v>2479.7</v>
      </c>
      <c r="J1241" t="n">
        <v>2479.7</v>
      </c>
      <c r="K1241" s="13" t="n">
        <v>0.19</v>
      </c>
      <c r="L1241" t="n">
        <v>471.14</v>
      </c>
      <c r="M1241" t="n">
        <v>2950.84</v>
      </c>
      <c r="N1241" t="inlineStr">
        <is>
          <t>RON</t>
        </is>
      </c>
      <c r="O1241" t="inlineStr">
        <is>
          <t>Târgu Mureș</t>
        </is>
      </c>
      <c r="P1241" s="12" t="n">
        <v>46354</v>
      </c>
      <c r="Q1241">
        <f>IF(COUNTIF(tbl_Localitati[oras_oficial],[@oras])=0,"ORAS NEALINIAT",IF(XLOOKUP([@oras],tbl_Localitati[oras_oficial],tbl_Localitati[judet],"?")&lt;&gt;[@judet],"JUDET NECORESPUNZATOR",""))</f>
        <v/>
      </c>
      <c r="R1241">
        <f>IF(XLOOKUP([@categorie],tbl_RegulriTVA[categorie],tbl_RegulriTVA[cota_legala],-1)&lt;&gt;[@cota_tva],"TVA GRESIT","")</f>
        <v/>
      </c>
      <c r="S1241">
        <f>IF([@data_scadentei]&lt;[@data_factura],"SCADENTA INAINTEA FACTURII","")</f>
        <v/>
      </c>
      <c r="T1241">
        <f>IF(NETWORKDAYS.INTL([@data_factura],[@data_factura],1,tbl_SarbatoriLegale[data])=0,"ZI NELUCRATOARE","")</f>
        <v/>
      </c>
      <c r="U1241">
        <f>IF([@motiv_anomalie]="","OK","DE INVESTIGAT")</f>
        <v/>
      </c>
      <c r="V1241">
        <f>TEXTJOIN("; ",TRUE,[@flag_oras],[@flag_tva],[@flag_scadenta],[@flag_zi])</f>
        <v/>
      </c>
    </row>
    <row r="1242">
      <c r="A1242" t="inlineStr">
        <is>
          <t>F-2025-01241</t>
        </is>
      </c>
      <c r="B1242" s="12" t="n">
        <v>46265</v>
      </c>
      <c r="C1242" t="inlineStr">
        <is>
          <t>SC NORDIS DISTRIBUTIE SRL</t>
        </is>
      </c>
      <c r="D1242" t="inlineStr">
        <is>
          <t>Constanța</t>
        </is>
      </c>
      <c r="E1242" t="inlineStr">
        <is>
          <t>PRD-011</t>
        </is>
      </c>
      <c r="F1242" t="inlineStr">
        <is>
          <t>Abonament suita cloud</t>
        </is>
      </c>
      <c r="G1242" t="inlineStr">
        <is>
          <t>Licențe software</t>
        </is>
      </c>
      <c r="H1242" t="n">
        <v>20</v>
      </c>
      <c r="I1242" t="n">
        <v>46.99</v>
      </c>
      <c r="J1242" t="n">
        <v>939.8</v>
      </c>
      <c r="K1242" s="13" t="n">
        <v>0.19</v>
      </c>
      <c r="L1242" t="n">
        <v>178.56</v>
      </c>
      <c r="M1242" t="n">
        <v>1118.36</v>
      </c>
      <c r="N1242" t="inlineStr">
        <is>
          <t>RON</t>
        </is>
      </c>
      <c r="O1242" t="inlineStr">
        <is>
          <t>Mangalia</t>
        </is>
      </c>
      <c r="P1242" s="12" t="n">
        <v>46295</v>
      </c>
      <c r="Q1242">
        <f>IF(COUNTIF(tbl_Localitati[oras_oficial],[@oras])=0,"ORAS NEALINIAT",IF(XLOOKUP([@oras],tbl_Localitati[oras_oficial],tbl_Localitati[judet],"?")&lt;&gt;[@judet],"JUDET NECORESPUNZATOR",""))</f>
        <v/>
      </c>
      <c r="R1242">
        <f>IF(XLOOKUP([@categorie],tbl_RegulriTVA[categorie],tbl_RegulriTVA[cota_legala],-1)&lt;&gt;[@cota_tva],"TVA GRESIT","")</f>
        <v/>
      </c>
      <c r="S1242">
        <f>IF([@data_scadentei]&lt;[@data_factura],"SCADENTA INAINTEA FACTURII","")</f>
        <v/>
      </c>
      <c r="T1242">
        <f>IF(NETWORKDAYS.INTL([@data_factura],[@data_factura],1,tbl_SarbatoriLegale[data])=0,"ZI NELUCRATOARE","")</f>
        <v/>
      </c>
      <c r="U1242">
        <f>IF([@motiv_anomalie]="","OK","DE INVESTIGAT")</f>
        <v/>
      </c>
      <c r="V1242">
        <f>TEXTJOIN("; ",TRUE,[@flag_oras],[@flag_tva],[@flag_scadenta],[@flag_zi])</f>
        <v/>
      </c>
    </row>
    <row r="1243">
      <c r="A1243" t="inlineStr">
        <is>
          <t>F-2025-01242</t>
        </is>
      </c>
      <c r="B1243" s="12" t="n">
        <v>46126</v>
      </c>
      <c r="C1243" t="inlineStr">
        <is>
          <t>SC PROVITA MEDICAL SRL</t>
        </is>
      </c>
      <c r="D1243" t="inlineStr">
        <is>
          <t>Mureș</t>
        </is>
      </c>
      <c r="E1243" t="inlineStr">
        <is>
          <t>PRD-012</t>
        </is>
      </c>
      <c r="F1243" t="inlineStr">
        <is>
          <t>Licenta Office 365 anuala</t>
        </is>
      </c>
      <c r="G1243" t="inlineStr">
        <is>
          <t>Licențe software</t>
        </is>
      </c>
      <c r="H1243" t="n">
        <v>4</v>
      </c>
      <c r="I1243" t="n">
        <v>172.22</v>
      </c>
      <c r="J1243" t="n">
        <v>688.88</v>
      </c>
      <c r="K1243" s="13" t="n">
        <v>0.19</v>
      </c>
      <c r="L1243" t="n">
        <v>130.89</v>
      </c>
      <c r="M1243" t="n">
        <v>819.77</v>
      </c>
      <c r="N1243" t="inlineStr">
        <is>
          <t>RON</t>
        </is>
      </c>
      <c r="O1243" t="inlineStr">
        <is>
          <t>Târgu Mureș</t>
        </is>
      </c>
      <c r="P1243" s="12" t="n">
        <v>46156</v>
      </c>
      <c r="Q1243">
        <f>IF(COUNTIF(tbl_Localitati[oras_oficial],[@oras])=0,"ORAS NEALINIAT",IF(XLOOKUP([@oras],tbl_Localitati[oras_oficial],tbl_Localitati[judet],"?")&lt;&gt;[@judet],"JUDET NECORESPUNZATOR",""))</f>
        <v/>
      </c>
      <c r="R1243">
        <f>IF(XLOOKUP([@categorie],tbl_RegulriTVA[categorie],tbl_RegulriTVA[cota_legala],-1)&lt;&gt;[@cota_tva],"TVA GRESIT","")</f>
        <v/>
      </c>
      <c r="S1243">
        <f>IF([@data_scadentei]&lt;[@data_factura],"SCADENTA INAINTEA FACTURII","")</f>
        <v/>
      </c>
      <c r="T1243">
        <f>IF(NETWORKDAYS.INTL([@data_factura],[@data_factura],1,tbl_SarbatoriLegale[data])=0,"ZI NELUCRATOARE","")</f>
        <v/>
      </c>
      <c r="U1243">
        <f>IF([@motiv_anomalie]="","OK","DE INVESTIGAT")</f>
        <v/>
      </c>
      <c r="V1243">
        <f>TEXTJOIN("; ",TRUE,[@flag_oras],[@flag_tva],[@flag_scadenta],[@flag_zi])</f>
        <v/>
      </c>
    </row>
    <row r="1244">
      <c r="A1244" t="inlineStr">
        <is>
          <t>F-2025-01243</t>
        </is>
      </c>
      <c r="B1244" s="12" t="n">
        <v>46325</v>
      </c>
      <c r="C1244" t="inlineStr">
        <is>
          <t>SC UNIFOOD DISTRIBUTION SA</t>
        </is>
      </c>
      <c r="D1244" t="inlineStr">
        <is>
          <t>Sibiu</t>
        </is>
      </c>
      <c r="E1244" t="inlineStr">
        <is>
          <t>PRD-005</t>
        </is>
      </c>
      <c r="F1244" t="inlineStr">
        <is>
          <t>Laptop business 15"</t>
        </is>
      </c>
      <c r="G1244" t="inlineStr">
        <is>
          <t>Hardware IT</t>
        </is>
      </c>
      <c r="H1244" t="n">
        <v>5</v>
      </c>
      <c r="I1244" t="n">
        <v>240.23</v>
      </c>
      <c r="J1244" t="n">
        <v>1201.15</v>
      </c>
      <c r="K1244" s="13" t="n">
        <v>0.09</v>
      </c>
      <c r="L1244" t="n">
        <v>108.1</v>
      </c>
      <c r="M1244" t="n">
        <v>1309.25</v>
      </c>
      <c r="N1244" t="inlineStr">
        <is>
          <t>RON</t>
        </is>
      </c>
      <c r="O1244" t="inlineStr">
        <is>
          <t>Mediaș</t>
        </is>
      </c>
      <c r="P1244" s="12" t="n">
        <v>46355</v>
      </c>
      <c r="Q1244">
        <f>IF(COUNTIF(tbl_Localitati[oras_oficial],[@oras])=0,"ORAS NEALINIAT",IF(XLOOKUP([@oras],tbl_Localitati[oras_oficial],tbl_Localitati[judet],"?")&lt;&gt;[@judet],"JUDET NECORESPUNZATOR",""))</f>
        <v/>
      </c>
      <c r="R1244">
        <f>IF(XLOOKUP([@categorie],tbl_RegulriTVA[categorie],tbl_RegulriTVA[cota_legala],-1)&lt;&gt;[@cota_tva],"TVA GRESIT","")</f>
        <v/>
      </c>
      <c r="S1244">
        <f>IF([@data_scadentei]&lt;[@data_factura],"SCADENTA INAINTEA FACTURII","")</f>
        <v/>
      </c>
      <c r="T1244">
        <f>IF(NETWORKDAYS.INTL([@data_factura],[@data_factura],1,tbl_SarbatoriLegale[data])=0,"ZI NELUCRATOARE","")</f>
        <v/>
      </c>
      <c r="U1244">
        <f>IF([@motiv_anomalie]="","OK","DE INVESTIGAT")</f>
        <v/>
      </c>
      <c r="V1244">
        <f>TEXTJOIN("; ",TRUE,[@flag_oras],[@flag_tva],[@flag_scadenta],[@flag_zi])</f>
        <v/>
      </c>
    </row>
    <row r="1245">
      <c r="A1245" t="inlineStr">
        <is>
          <t>F-2025-01244</t>
        </is>
      </c>
      <c r="B1245" s="12" t="n">
        <v>46162</v>
      </c>
      <c r="C1245" t="inlineStr">
        <is>
          <t>SC AROMET TRADING SRL</t>
        </is>
      </c>
      <c r="D1245" t="inlineStr">
        <is>
          <t>Alba</t>
        </is>
      </c>
      <c r="E1245" t="inlineStr">
        <is>
          <t>PRD-001</t>
        </is>
      </c>
      <c r="F1245" t="inlineStr">
        <is>
          <t>Licenta ERP contabilitate</t>
        </is>
      </c>
      <c r="G1245" t="inlineStr">
        <is>
          <t>Licențe software</t>
        </is>
      </c>
      <c r="H1245" t="n">
        <v>2</v>
      </c>
      <c r="I1245" t="n">
        <v>2302.68</v>
      </c>
      <c r="J1245" t="n">
        <v>4605.36</v>
      </c>
      <c r="K1245" s="13" t="n">
        <v>0.19</v>
      </c>
      <c r="L1245" t="n">
        <v>875.02</v>
      </c>
      <c r="M1245" t="n">
        <v>5480.38</v>
      </c>
      <c r="N1245" t="inlineStr">
        <is>
          <t>RON</t>
        </is>
      </c>
      <c r="O1245" t="inlineStr">
        <is>
          <t>Alba Iulia</t>
        </is>
      </c>
      <c r="P1245" s="12" t="n">
        <v>46222</v>
      </c>
      <c r="Q1245">
        <f>IF(COUNTIF(tbl_Localitati[oras_oficial],[@oras])=0,"ORAS NEALINIAT",IF(XLOOKUP([@oras],tbl_Localitati[oras_oficial],tbl_Localitati[judet],"?")&lt;&gt;[@judet],"JUDET NECORESPUNZATOR",""))</f>
        <v/>
      </c>
      <c r="R1245">
        <f>IF(XLOOKUP([@categorie],tbl_RegulriTVA[categorie],tbl_RegulriTVA[cota_legala],-1)&lt;&gt;[@cota_tva],"TVA GRESIT","")</f>
        <v/>
      </c>
      <c r="S1245">
        <f>IF([@data_scadentei]&lt;[@data_factura],"SCADENTA INAINTEA FACTURII","")</f>
        <v/>
      </c>
      <c r="T1245">
        <f>IF(NETWORKDAYS.INTL([@data_factura],[@data_factura],1,tbl_SarbatoriLegale[data])=0,"ZI NELUCRATOARE","")</f>
        <v/>
      </c>
      <c r="U1245">
        <f>IF([@motiv_anomalie]="","OK","DE INVESTIGAT")</f>
        <v/>
      </c>
      <c r="V1245">
        <f>TEXTJOIN("; ",TRUE,[@flag_oras],[@flag_tva],[@flag_scadenta],[@flag_zi])</f>
        <v/>
      </c>
    </row>
    <row r="1246">
      <c r="A1246" t="inlineStr">
        <is>
          <t>F-2025-01245</t>
        </is>
      </c>
      <c r="B1246" s="12" t="n">
        <v>46300</v>
      </c>
      <c r="C1246" t="inlineStr">
        <is>
          <t>SC AROMET TRADING SRL</t>
        </is>
      </c>
      <c r="D1246" t="inlineStr">
        <is>
          <t>Alba</t>
        </is>
      </c>
      <c r="E1246" t="inlineStr">
        <is>
          <t>PRD-004</t>
        </is>
      </c>
      <c r="F1246" t="inlineStr">
        <is>
          <t>Multifunctionala laser</t>
        </is>
      </c>
      <c r="G1246" t="inlineStr">
        <is>
          <t>Echipamente birou</t>
        </is>
      </c>
      <c r="H1246" t="n">
        <v>5</v>
      </c>
      <c r="I1246" t="n">
        <v>860.85</v>
      </c>
      <c r="J1246" t="n">
        <v>4304.25</v>
      </c>
      <c r="K1246" s="13" t="n">
        <v>0.09</v>
      </c>
      <c r="L1246" t="n">
        <v>387.38</v>
      </c>
      <c r="M1246" t="n">
        <v>4691.63</v>
      </c>
      <c r="N1246" t="inlineStr">
        <is>
          <t>RON</t>
        </is>
      </c>
      <c r="O1246" t="inlineStr">
        <is>
          <t>Alba Iulia</t>
        </is>
      </c>
      <c r="P1246" s="12" t="n">
        <v>46315</v>
      </c>
      <c r="Q1246">
        <f>IF(COUNTIF(tbl_Localitati[oras_oficial],[@oras])=0,"ORAS NEALINIAT",IF(XLOOKUP([@oras],tbl_Localitati[oras_oficial],tbl_Localitati[judet],"?")&lt;&gt;[@judet],"JUDET NECORESPUNZATOR",""))</f>
        <v/>
      </c>
      <c r="R1246">
        <f>IF(XLOOKUP([@categorie],tbl_RegulriTVA[categorie],tbl_RegulriTVA[cota_legala],-1)&lt;&gt;[@cota_tva],"TVA GRESIT","")</f>
        <v/>
      </c>
      <c r="S1246">
        <f>IF([@data_scadentei]&lt;[@data_factura],"SCADENTA INAINTEA FACTURII","")</f>
        <v/>
      </c>
      <c r="T1246">
        <f>IF(NETWORKDAYS.INTL([@data_factura],[@data_factura],1,tbl_SarbatoriLegale[data])=0,"ZI NELUCRATOARE","")</f>
        <v/>
      </c>
      <c r="U1246">
        <f>IF([@motiv_anomalie]="","OK","DE INVESTIGAT")</f>
        <v/>
      </c>
      <c r="V1246">
        <f>TEXTJOIN("; ",TRUE,[@flag_oras],[@flag_tva],[@flag_scadenta],[@flag_zi])</f>
        <v/>
      </c>
    </row>
    <row r="1247">
      <c r="A1247" t="inlineStr">
        <is>
          <t>F-2025-01246</t>
        </is>
      </c>
      <c r="B1247" s="12" t="n">
        <v>46352</v>
      </c>
      <c r="C1247" t="inlineStr">
        <is>
          <t>SC AROMET TRADING SRL</t>
        </is>
      </c>
      <c r="D1247" t="inlineStr">
        <is>
          <t>Alba</t>
        </is>
      </c>
      <c r="E1247" t="inlineStr">
        <is>
          <t>PRD-012</t>
        </is>
      </c>
      <c r="F1247" t="inlineStr">
        <is>
          <t>Manual proceduri interne</t>
        </is>
      </c>
      <c r="G1247" t="inlineStr">
        <is>
          <t>Cărți și manuale</t>
        </is>
      </c>
      <c r="H1247" t="n">
        <v>16</v>
      </c>
      <c r="I1247" t="n">
        <v>181.23</v>
      </c>
      <c r="J1247" t="n">
        <v>2899.68</v>
      </c>
      <c r="K1247" s="13" t="n">
        <v>0.05</v>
      </c>
      <c r="L1247" t="n">
        <v>144.98</v>
      </c>
      <c r="M1247" t="n">
        <v>3044.66</v>
      </c>
      <c r="N1247" t="inlineStr">
        <is>
          <t>RON</t>
        </is>
      </c>
      <c r="O1247" t="inlineStr">
        <is>
          <t>Alba Iulia</t>
        </is>
      </c>
      <c r="P1247" s="12" t="n">
        <v>46367</v>
      </c>
      <c r="Q1247">
        <f>IF(COUNTIF(tbl_Localitati[oras_oficial],[@oras])=0,"ORAS NEALINIAT",IF(XLOOKUP([@oras],tbl_Localitati[oras_oficial],tbl_Localitati[judet],"?")&lt;&gt;[@judet],"JUDET NECORESPUNZATOR",""))</f>
        <v/>
      </c>
      <c r="R1247">
        <f>IF(XLOOKUP([@categorie],tbl_RegulriTVA[categorie],tbl_RegulriTVA[cota_legala],-1)&lt;&gt;[@cota_tva],"TVA GRESIT","")</f>
        <v/>
      </c>
      <c r="S1247">
        <f>IF([@data_scadentei]&lt;[@data_factura],"SCADENTA INAINTEA FACTURII","")</f>
        <v/>
      </c>
      <c r="T1247">
        <f>IF(NETWORKDAYS.INTL([@data_factura],[@data_factura],1,tbl_SarbatoriLegale[data])=0,"ZI NELUCRATOARE","")</f>
        <v/>
      </c>
      <c r="U1247">
        <f>IF([@motiv_anomalie]="","OK","DE INVESTIGAT")</f>
        <v/>
      </c>
      <c r="V1247">
        <f>TEXTJOIN("; ",TRUE,[@flag_oras],[@flag_tva],[@flag_scadenta],[@flag_zi])</f>
        <v/>
      </c>
    </row>
    <row r="1248">
      <c r="A1248" t="inlineStr">
        <is>
          <t>F-2025-01247</t>
        </is>
      </c>
      <c r="B1248" s="12" t="n">
        <v>46272</v>
      </c>
      <c r="C1248" t="inlineStr">
        <is>
          <t>SC INTEGROMED SA</t>
        </is>
      </c>
      <c r="D1248" t="inlineStr">
        <is>
          <t>Cluj</t>
        </is>
      </c>
      <c r="E1248" t="inlineStr">
        <is>
          <t>PRD-002</t>
        </is>
      </c>
      <c r="F1248" t="inlineStr">
        <is>
          <t>Statie de lucru desktop</t>
        </is>
      </c>
      <c r="G1248" t="inlineStr">
        <is>
          <t>Hardware IT</t>
        </is>
      </c>
      <c r="H1248" t="n">
        <v>1</v>
      </c>
      <c r="I1248" t="n">
        <v>1104.01</v>
      </c>
      <c r="J1248" t="n">
        <v>1104.01</v>
      </c>
      <c r="K1248" s="13" t="n">
        <v>0.19</v>
      </c>
      <c r="L1248" t="n">
        <v>209.76</v>
      </c>
      <c r="M1248" t="n">
        <v>1313.77</v>
      </c>
      <c r="N1248" t="inlineStr">
        <is>
          <t>RON</t>
        </is>
      </c>
      <c r="O1248" t="inlineStr">
        <is>
          <t>Cluj-Napoca</t>
        </is>
      </c>
      <c r="P1248" s="12" t="n">
        <v>46332</v>
      </c>
      <c r="Q1248">
        <f>IF(COUNTIF(tbl_Localitati[oras_oficial],[@oras])=0,"ORAS NEALINIAT",IF(XLOOKUP([@oras],tbl_Localitati[oras_oficial],tbl_Localitati[judet],"?")&lt;&gt;[@judet],"JUDET NECORESPUNZATOR",""))</f>
        <v/>
      </c>
      <c r="R1248">
        <f>IF(XLOOKUP([@categorie],tbl_RegulriTVA[categorie],tbl_RegulriTVA[cota_legala],-1)&lt;&gt;[@cota_tva],"TVA GRESIT","")</f>
        <v/>
      </c>
      <c r="S1248">
        <f>IF([@data_scadentei]&lt;[@data_factura],"SCADENTA INAINTEA FACTURII","")</f>
        <v/>
      </c>
      <c r="T1248">
        <f>IF(NETWORKDAYS.INTL([@data_factura],[@data_factura],1,tbl_SarbatoriLegale[data])=0,"ZI NELUCRATOARE","")</f>
        <v/>
      </c>
      <c r="U1248">
        <f>IF([@motiv_anomalie]="","OK","DE INVESTIGAT")</f>
        <v/>
      </c>
      <c r="V1248">
        <f>TEXTJOIN("; ",TRUE,[@flag_oras],[@flag_tva],[@flag_scadenta],[@flag_zi])</f>
        <v/>
      </c>
    </row>
    <row r="1249">
      <c r="A1249" t="inlineStr">
        <is>
          <t>F-2025-01248</t>
        </is>
      </c>
      <c r="B1249" s="12" t="n">
        <v>46161</v>
      </c>
      <c r="C1249" t="inlineStr">
        <is>
          <t>SC UNIFOOD DISTRIBUTION SA</t>
        </is>
      </c>
      <c r="D1249" t="inlineStr">
        <is>
          <t>Sibiu</t>
        </is>
      </c>
      <c r="E1249" t="inlineStr">
        <is>
          <t>PRD-002</t>
        </is>
      </c>
      <c r="F1249" t="inlineStr">
        <is>
          <t>Licenta ERP contabilitate</t>
        </is>
      </c>
      <c r="G1249" t="inlineStr">
        <is>
          <t>Licențe software</t>
        </is>
      </c>
      <c r="H1249" t="n">
        <v>2</v>
      </c>
      <c r="I1249" t="n">
        <v>1088.1</v>
      </c>
      <c r="J1249" t="n">
        <v>2176.2</v>
      </c>
      <c r="K1249" s="13" t="n">
        <v>0.19</v>
      </c>
      <c r="L1249" t="n">
        <v>413.48</v>
      </c>
      <c r="M1249" t="n">
        <v>2589.68</v>
      </c>
      <c r="N1249" t="inlineStr">
        <is>
          <t>RON</t>
        </is>
      </c>
      <c r="O1249" t="inlineStr">
        <is>
          <t>Mediaș</t>
        </is>
      </c>
      <c r="P1249" s="12" t="n">
        <v>46191</v>
      </c>
      <c r="Q1249">
        <f>IF(COUNTIF(tbl_Localitati[oras_oficial],[@oras])=0,"ORAS NEALINIAT",IF(XLOOKUP([@oras],tbl_Localitati[oras_oficial],tbl_Localitati[judet],"?")&lt;&gt;[@judet],"JUDET NECORESPUNZATOR",""))</f>
        <v/>
      </c>
      <c r="R1249">
        <f>IF(XLOOKUP([@categorie],tbl_RegulriTVA[categorie],tbl_RegulriTVA[cota_legala],-1)&lt;&gt;[@cota_tva],"TVA GRESIT","")</f>
        <v/>
      </c>
      <c r="S1249">
        <f>IF([@data_scadentei]&lt;[@data_factura],"SCADENTA INAINTEA FACTURII","")</f>
        <v/>
      </c>
      <c r="T1249">
        <f>IF(NETWORKDAYS.INTL([@data_factura],[@data_factura],1,tbl_SarbatoriLegale[data])=0,"ZI NELUCRATOARE","")</f>
        <v/>
      </c>
      <c r="U1249">
        <f>IF([@motiv_anomalie]="","OK","DE INVESTIGAT")</f>
        <v/>
      </c>
      <c r="V1249">
        <f>TEXTJOIN("; ",TRUE,[@flag_oras],[@flag_tva],[@flag_scadenta],[@flag_zi])</f>
        <v/>
      </c>
    </row>
    <row r="1250">
      <c r="A1250" t="inlineStr">
        <is>
          <t>F-2025-01249</t>
        </is>
      </c>
      <c r="B1250" s="12" t="n">
        <v>46062</v>
      </c>
      <c r="C1250" t="inlineStr">
        <is>
          <t>SC NORDIS DISTRIBUTIE SRL</t>
        </is>
      </c>
      <c r="D1250" t="inlineStr">
        <is>
          <t>Constanța</t>
        </is>
      </c>
      <c r="E1250" t="inlineStr">
        <is>
          <t>PRD-011</t>
        </is>
      </c>
      <c r="F1250" t="inlineStr">
        <is>
          <t>Masti protectie cutie</t>
        </is>
      </c>
      <c r="G1250" t="inlineStr">
        <is>
          <t>Produse farmaceutice</t>
        </is>
      </c>
      <c r="H1250" t="n">
        <v>100</v>
      </c>
      <c r="I1250" t="n">
        <v>46.83</v>
      </c>
      <c r="J1250" t="n">
        <v>4683</v>
      </c>
      <c r="K1250" s="13" t="n">
        <v>0.09</v>
      </c>
      <c r="L1250" t="n">
        <v>421.47</v>
      </c>
      <c r="M1250" t="n">
        <v>5104.47</v>
      </c>
      <c r="N1250" t="inlineStr">
        <is>
          <t>RON</t>
        </is>
      </c>
      <c r="O1250" t="inlineStr">
        <is>
          <t>Mangalia</t>
        </is>
      </c>
      <c r="P1250" s="12" t="n">
        <v>46092</v>
      </c>
      <c r="Q1250">
        <f>IF(COUNTIF(tbl_Localitati[oras_oficial],[@oras])=0,"ORAS NEALINIAT",IF(XLOOKUP([@oras],tbl_Localitati[oras_oficial],tbl_Localitati[judet],"?")&lt;&gt;[@judet],"JUDET NECORESPUNZATOR",""))</f>
        <v/>
      </c>
      <c r="R1250">
        <f>IF(XLOOKUP([@categorie],tbl_RegulriTVA[categorie],tbl_RegulriTVA[cota_legala],-1)&lt;&gt;[@cota_tva],"TVA GRESIT","")</f>
        <v/>
      </c>
      <c r="S1250">
        <f>IF([@data_scadentei]&lt;[@data_factura],"SCADENTA INAINTEA FACTURII","")</f>
        <v/>
      </c>
      <c r="T1250">
        <f>IF(NETWORKDAYS.INTL([@data_factura],[@data_factura],1,tbl_SarbatoriLegale[data])=0,"ZI NELUCRATOARE","")</f>
        <v/>
      </c>
      <c r="U1250">
        <f>IF([@motiv_anomalie]="","OK","DE INVESTIGAT")</f>
        <v/>
      </c>
      <c r="V1250">
        <f>TEXTJOIN("; ",TRUE,[@flag_oras],[@flag_tva],[@flag_scadenta],[@flag_zi])</f>
        <v/>
      </c>
    </row>
    <row r="1251">
      <c r="A1251" t="inlineStr">
        <is>
          <t>F-2025-01250</t>
        </is>
      </c>
      <c r="B1251" s="12" t="n">
        <v>46070</v>
      </c>
      <c r="C1251" t="inlineStr">
        <is>
          <t>SC AROMET TRADING SRL</t>
        </is>
      </c>
      <c r="D1251" t="inlineStr">
        <is>
          <t>Alba</t>
        </is>
      </c>
      <c r="E1251" t="inlineStr">
        <is>
          <t>PRD-002</t>
        </is>
      </c>
      <c r="F1251" t="inlineStr">
        <is>
          <t>Server rack 1U</t>
        </is>
      </c>
      <c r="G1251" t="inlineStr">
        <is>
          <t>Hardware IT</t>
        </is>
      </c>
      <c r="H1251" t="n">
        <v>1</v>
      </c>
      <c r="I1251" t="n">
        <v>1133.69</v>
      </c>
      <c r="J1251" t="n">
        <v>1133.69</v>
      </c>
      <c r="K1251" s="13" t="n">
        <v>0.19</v>
      </c>
      <c r="L1251" t="n">
        <v>215.4</v>
      </c>
      <c r="M1251" t="n">
        <v>1349.09</v>
      </c>
      <c r="N1251" t="inlineStr">
        <is>
          <t>RON</t>
        </is>
      </c>
      <c r="O1251" t="inlineStr">
        <is>
          <t>Alba Iulia</t>
        </is>
      </c>
      <c r="P1251" s="12" t="n">
        <v>46055</v>
      </c>
      <c r="Q1251">
        <f>IF(COUNTIF(tbl_Localitati[oras_oficial],[@oras])=0,"ORAS NEALINIAT",IF(XLOOKUP([@oras],tbl_Localitati[oras_oficial],tbl_Localitati[judet],"?")&lt;&gt;[@judet],"JUDET NECORESPUNZATOR",""))</f>
        <v/>
      </c>
      <c r="R1251">
        <f>IF(XLOOKUP([@categorie],tbl_RegulriTVA[categorie],tbl_RegulriTVA[cota_legala],-1)&lt;&gt;[@cota_tva],"TVA GRESIT","")</f>
        <v/>
      </c>
      <c r="S1251">
        <f>IF([@data_scadentei]&lt;[@data_factura],"SCADENTA INAINTEA FACTURII","")</f>
        <v/>
      </c>
      <c r="T1251">
        <f>IF(NETWORKDAYS.INTL([@data_factura],[@data_factura],1,tbl_SarbatoriLegale[data])=0,"ZI NELUCRATOARE","")</f>
        <v/>
      </c>
      <c r="U1251">
        <f>IF([@motiv_anomalie]="","OK","DE INVESTIGAT")</f>
        <v/>
      </c>
      <c r="V1251">
        <f>TEXTJOIN("; ",TRUE,[@flag_oras],[@flag_tva],[@flag_scadenta],[@flag_zi])</f>
        <v/>
      </c>
    </row>
    <row r="1252">
      <c r="A1252" t="inlineStr">
        <is>
          <t>F-2025-01251</t>
        </is>
      </c>
      <c r="B1252" s="12" t="n">
        <v>46128</v>
      </c>
      <c r="C1252" t="inlineStr">
        <is>
          <t>SC RAPID LOGISTIC SA</t>
        </is>
      </c>
      <c r="D1252" t="inlineStr">
        <is>
          <t>Prahova</t>
        </is>
      </c>
      <c r="E1252" t="inlineStr">
        <is>
          <t>PRD-010</t>
        </is>
      </c>
      <c r="F1252" t="inlineStr">
        <is>
          <t>Telefon IP birou</t>
        </is>
      </c>
      <c r="G1252" t="inlineStr">
        <is>
          <t>Echipamente birou</t>
        </is>
      </c>
      <c r="H1252" t="n">
        <v>5</v>
      </c>
      <c r="I1252" t="n">
        <v>339.94</v>
      </c>
      <c r="J1252" t="n">
        <v>1699.7</v>
      </c>
      <c r="K1252" s="13" t="n">
        <v>0.19</v>
      </c>
      <c r="L1252" t="n">
        <v>322.94</v>
      </c>
      <c r="M1252" t="n">
        <v>2022.64</v>
      </c>
      <c r="N1252" t="inlineStr">
        <is>
          <t>RON</t>
        </is>
      </c>
      <c r="O1252" t="inlineStr">
        <is>
          <t>Ploiești</t>
        </is>
      </c>
      <c r="P1252" s="12" t="n">
        <v>46158</v>
      </c>
      <c r="Q1252">
        <f>IF(COUNTIF(tbl_Localitati[oras_oficial],[@oras])=0,"ORAS NEALINIAT",IF(XLOOKUP([@oras],tbl_Localitati[oras_oficial],tbl_Localitati[judet],"?")&lt;&gt;[@judet],"JUDET NECORESPUNZATOR",""))</f>
        <v/>
      </c>
      <c r="R1252">
        <f>IF(XLOOKUP([@categorie],tbl_RegulriTVA[categorie],tbl_RegulriTVA[cota_legala],-1)&lt;&gt;[@cota_tva],"TVA GRESIT","")</f>
        <v/>
      </c>
      <c r="S1252">
        <f>IF([@data_scadentei]&lt;[@data_factura],"SCADENTA INAINTEA FACTURII","")</f>
        <v/>
      </c>
      <c r="T1252">
        <f>IF(NETWORKDAYS.INTL([@data_factura],[@data_factura],1,tbl_SarbatoriLegale[data])=0,"ZI NELUCRATOARE","")</f>
        <v/>
      </c>
      <c r="U1252">
        <f>IF([@motiv_anomalie]="","OK","DE INVESTIGAT")</f>
        <v/>
      </c>
      <c r="V1252">
        <f>TEXTJOIN("; ",TRUE,[@flag_oras],[@flag_tva],[@flag_scadenta],[@flag_zi])</f>
        <v/>
      </c>
    </row>
    <row r="1253">
      <c r="A1253" t="inlineStr">
        <is>
          <t>F-2025-01252</t>
        </is>
      </c>
      <c r="B1253" s="12" t="n">
        <v>46267</v>
      </c>
      <c r="C1253" t="inlineStr">
        <is>
          <t>SC METALPLAST INVEST SA</t>
        </is>
      </c>
      <c r="D1253" t="inlineStr">
        <is>
          <t>Cluj</t>
        </is>
      </c>
      <c r="E1253" t="inlineStr">
        <is>
          <t>PRD-011</t>
        </is>
      </c>
      <c r="F1253" t="inlineStr">
        <is>
          <t>Multifunctionala laser</t>
        </is>
      </c>
      <c r="G1253" t="inlineStr">
        <is>
          <t>Echipamente birou</t>
        </is>
      </c>
      <c r="H1253" t="n">
        <v>5</v>
      </c>
      <c r="I1253" t="n">
        <v>46.59</v>
      </c>
      <c r="J1253" t="n">
        <v>232.95</v>
      </c>
      <c r="K1253" s="13" t="n">
        <v>0.19</v>
      </c>
      <c r="L1253" t="n">
        <v>44.26</v>
      </c>
      <c r="M1253" t="n">
        <v>277.21</v>
      </c>
      <c r="N1253" t="inlineStr">
        <is>
          <t>RON</t>
        </is>
      </c>
      <c r="O1253" t="inlineStr">
        <is>
          <t>Turda</t>
        </is>
      </c>
      <c r="P1253" s="12" t="n">
        <v>46297</v>
      </c>
      <c r="Q1253">
        <f>IF(COUNTIF(tbl_Localitati[oras_oficial],[@oras])=0,"ORAS NEALINIAT",IF(XLOOKUP([@oras],tbl_Localitati[oras_oficial],tbl_Localitati[judet],"?")&lt;&gt;[@judet],"JUDET NECORESPUNZATOR",""))</f>
        <v/>
      </c>
      <c r="R1253">
        <f>IF(XLOOKUP([@categorie],tbl_RegulriTVA[categorie],tbl_RegulriTVA[cota_legala],-1)&lt;&gt;[@cota_tva],"TVA GRESIT","")</f>
        <v/>
      </c>
      <c r="S1253">
        <f>IF([@data_scadentei]&lt;[@data_factura],"SCADENTA INAINTEA FACTURII","")</f>
        <v/>
      </c>
      <c r="T1253">
        <f>IF(NETWORKDAYS.INTL([@data_factura],[@data_factura],1,tbl_SarbatoriLegale[data])=0,"ZI NELUCRATOARE","")</f>
        <v/>
      </c>
      <c r="U1253">
        <f>IF([@motiv_anomalie]="","OK","DE INVESTIGAT")</f>
        <v/>
      </c>
      <c r="V1253">
        <f>TEXTJOIN("; ",TRUE,[@flag_oras],[@flag_tva],[@flag_scadenta],[@flag_zi])</f>
        <v/>
      </c>
    </row>
    <row r="1254">
      <c r="A1254" t="inlineStr">
        <is>
          <t>F-2025-01253</t>
        </is>
      </c>
      <c r="B1254" s="12" t="n">
        <v>46283</v>
      </c>
      <c r="C1254" t="inlineStr">
        <is>
          <t>SC OMEGA SOFT SRL</t>
        </is>
      </c>
      <c r="D1254" t="inlineStr">
        <is>
          <t>Dolj</t>
        </is>
      </c>
      <c r="E1254" t="inlineStr">
        <is>
          <t>PRD-007</t>
        </is>
      </c>
      <c r="F1254" t="inlineStr">
        <is>
          <t>Laptop business 15"</t>
        </is>
      </c>
      <c r="G1254" t="inlineStr">
        <is>
          <t>Hardware IT</t>
        </is>
      </c>
      <c r="H1254" t="n">
        <v>1</v>
      </c>
      <c r="I1254" t="n">
        <v>181.26</v>
      </c>
      <c r="J1254" t="n">
        <v>181.26</v>
      </c>
      <c r="K1254" s="13" t="n">
        <v>0.19</v>
      </c>
      <c r="L1254" t="n">
        <v>34.44</v>
      </c>
      <c r="M1254" t="n">
        <v>215.7</v>
      </c>
      <c r="N1254" t="inlineStr">
        <is>
          <t>RON</t>
        </is>
      </c>
      <c r="O1254" t="inlineStr">
        <is>
          <t>Craiova</t>
        </is>
      </c>
      <c r="P1254" s="12" t="n">
        <v>46343</v>
      </c>
      <c r="Q1254">
        <f>IF(COUNTIF(tbl_Localitati[oras_oficial],[@oras])=0,"ORAS NEALINIAT",IF(XLOOKUP([@oras],tbl_Localitati[oras_oficial],tbl_Localitati[judet],"?")&lt;&gt;[@judet],"JUDET NECORESPUNZATOR",""))</f>
        <v/>
      </c>
      <c r="R1254">
        <f>IF(XLOOKUP([@categorie],tbl_RegulriTVA[categorie],tbl_RegulriTVA[cota_legala],-1)&lt;&gt;[@cota_tva],"TVA GRESIT","")</f>
        <v/>
      </c>
      <c r="S1254">
        <f>IF([@data_scadentei]&lt;[@data_factura],"SCADENTA INAINTEA FACTURII","")</f>
        <v/>
      </c>
      <c r="T1254">
        <f>IF(NETWORKDAYS.INTL([@data_factura],[@data_factura],1,tbl_SarbatoriLegale[data])=0,"ZI NELUCRATOARE","")</f>
        <v/>
      </c>
      <c r="U1254">
        <f>IF([@motiv_anomalie]="","OK","DE INVESTIGAT")</f>
        <v/>
      </c>
      <c r="V1254">
        <f>TEXTJOIN("; ",TRUE,[@flag_oras],[@flag_tva],[@flag_scadenta],[@flag_zi])</f>
        <v/>
      </c>
    </row>
    <row r="1255">
      <c r="A1255" t="inlineStr">
        <is>
          <t>F-2025-01254</t>
        </is>
      </c>
      <c r="B1255" s="12" t="n">
        <v>46065</v>
      </c>
      <c r="C1255" t="inlineStr">
        <is>
          <t>SC VECTOR CONSULT SRL</t>
        </is>
      </c>
      <c r="D1255" t="inlineStr">
        <is>
          <t>Timiș</t>
        </is>
      </c>
      <c r="E1255" t="inlineStr">
        <is>
          <t>PRD-005</t>
        </is>
      </c>
      <c r="F1255" t="inlineStr">
        <is>
          <t>Switch gigabit 24p</t>
        </is>
      </c>
      <c r="G1255" t="inlineStr">
        <is>
          <t>Hardware IT</t>
        </is>
      </c>
      <c r="H1255" t="n">
        <v>1</v>
      </c>
      <c r="I1255" t="n">
        <v>249.12</v>
      </c>
      <c r="J1255" t="n">
        <v>249.12</v>
      </c>
      <c r="K1255" s="13" t="n">
        <v>0.19</v>
      </c>
      <c r="L1255" t="n">
        <v>47.33</v>
      </c>
      <c r="M1255" t="n">
        <v>296.45</v>
      </c>
      <c r="N1255" t="inlineStr">
        <is>
          <t>RON</t>
        </is>
      </c>
      <c r="O1255" t="inlineStr">
        <is>
          <t>Timișoara</t>
        </is>
      </c>
      <c r="P1255" s="12" t="n">
        <v>46095</v>
      </c>
      <c r="Q1255">
        <f>IF(COUNTIF(tbl_Localitati[oras_oficial],[@oras])=0,"ORAS NEALINIAT",IF(XLOOKUP([@oras],tbl_Localitati[oras_oficial],tbl_Localitati[judet],"?")&lt;&gt;[@judet],"JUDET NECORESPUNZATOR",""))</f>
        <v/>
      </c>
      <c r="R1255">
        <f>IF(XLOOKUP([@categorie],tbl_RegulriTVA[categorie],tbl_RegulriTVA[cota_legala],-1)&lt;&gt;[@cota_tva],"TVA GRESIT","")</f>
        <v/>
      </c>
      <c r="S1255">
        <f>IF([@data_scadentei]&lt;[@data_factura],"SCADENTA INAINTEA FACTURII","")</f>
        <v/>
      </c>
      <c r="T1255">
        <f>IF(NETWORKDAYS.INTL([@data_factura],[@data_factura],1,tbl_SarbatoriLegale[data])=0,"ZI NELUCRATOARE","")</f>
        <v/>
      </c>
      <c r="U1255">
        <f>IF([@motiv_anomalie]="","OK","DE INVESTIGAT")</f>
        <v/>
      </c>
      <c r="V1255">
        <f>TEXTJOIN("; ",TRUE,[@flag_oras],[@flag_tva],[@flag_scadenta],[@flag_zi])</f>
        <v/>
      </c>
    </row>
    <row r="1256">
      <c r="A1256" t="inlineStr">
        <is>
          <t>F-2025-01255</t>
        </is>
      </c>
      <c r="B1256" s="12" t="n">
        <v>46322</v>
      </c>
      <c r="C1256" t="inlineStr">
        <is>
          <t>SC AROMET TRADING SRL</t>
        </is>
      </c>
      <c r="D1256" t="inlineStr">
        <is>
          <t>Alba</t>
        </is>
      </c>
      <c r="E1256" t="inlineStr">
        <is>
          <t>PRD-003</t>
        </is>
      </c>
      <c r="F1256" t="inlineStr">
        <is>
          <t>Telefon IP birou</t>
        </is>
      </c>
      <c r="G1256" t="inlineStr">
        <is>
          <t>Echipamente birou</t>
        </is>
      </c>
      <c r="I1256" t="n">
        <v>4120.54</v>
      </c>
      <c r="J1256" t="n">
        <v>4120.54</v>
      </c>
      <c r="K1256" s="13" t="n">
        <v>0.19</v>
      </c>
      <c r="L1256" t="n">
        <v>782.9</v>
      </c>
      <c r="M1256" t="n">
        <v>4903.44</v>
      </c>
      <c r="N1256" t="inlineStr">
        <is>
          <t>RON</t>
        </is>
      </c>
      <c r="O1256" t="inlineStr">
        <is>
          <t>Alba Iulia</t>
        </is>
      </c>
      <c r="P1256" s="12" t="n">
        <v>46367</v>
      </c>
      <c r="Q1256">
        <f>IF(COUNTIF(tbl_Localitati[oras_oficial],[@oras])=0,"ORAS NEALINIAT",IF(XLOOKUP([@oras],tbl_Localitati[oras_oficial],tbl_Localitati[judet],"?")&lt;&gt;[@judet],"JUDET NECORESPUNZATOR",""))</f>
        <v/>
      </c>
      <c r="R1256">
        <f>IF(XLOOKUP([@categorie],tbl_RegulriTVA[categorie],tbl_RegulriTVA[cota_legala],-1)&lt;&gt;[@cota_tva],"TVA GRESIT","")</f>
        <v/>
      </c>
      <c r="S1256">
        <f>IF([@data_scadentei]&lt;[@data_factura],"SCADENTA INAINTEA FACTURII","")</f>
        <v/>
      </c>
      <c r="T1256">
        <f>IF(NETWORKDAYS.INTL([@data_factura],[@data_factura],1,tbl_SarbatoriLegale[data])=0,"ZI NELUCRATOARE","")</f>
        <v/>
      </c>
      <c r="U1256">
        <f>IF([@motiv_anomalie]="","OK","DE INVESTIGAT")</f>
        <v/>
      </c>
      <c r="V1256">
        <f>TEXTJOIN("; ",TRUE,[@flag_oras],[@flag_tva],[@flag_scadenta],[@flag_zi])</f>
        <v/>
      </c>
    </row>
    <row r="1257">
      <c r="A1257" t="inlineStr">
        <is>
          <t>F-2025-01256</t>
        </is>
      </c>
      <c r="B1257" s="12" t="n">
        <v>46253</v>
      </c>
      <c r="C1257" t="inlineStr">
        <is>
          <t>SC OMEGA SOFT SRL</t>
        </is>
      </c>
      <c r="D1257" t="inlineStr">
        <is>
          <t>Dolj</t>
        </is>
      </c>
      <c r="E1257" t="inlineStr">
        <is>
          <t>PRD-006</t>
        </is>
      </c>
      <c r="F1257" t="inlineStr">
        <is>
          <t>Monitor 27" 4K</t>
        </is>
      </c>
      <c r="G1257" t="inlineStr">
        <is>
          <t>Hardware IT</t>
        </is>
      </c>
      <c r="H1257" t="n">
        <v>10</v>
      </c>
      <c r="I1257" t="n">
        <v>771.35</v>
      </c>
      <c r="J1257" t="n">
        <v>7713.5</v>
      </c>
      <c r="K1257" s="13" t="n">
        <v>0.19</v>
      </c>
      <c r="L1257" t="n">
        <v>1465.57</v>
      </c>
      <c r="M1257" t="n">
        <v>9179.07</v>
      </c>
      <c r="N1257" t="inlineStr">
        <is>
          <t>RON</t>
        </is>
      </c>
      <c r="O1257" t="inlineStr">
        <is>
          <t>Craiova</t>
        </is>
      </c>
      <c r="P1257" s="12" t="n">
        <v>46283</v>
      </c>
      <c r="Q1257">
        <f>IF(COUNTIF(tbl_Localitati[oras_oficial],[@oras])=0,"ORAS NEALINIAT",IF(XLOOKUP([@oras],tbl_Localitati[oras_oficial],tbl_Localitati[judet],"?")&lt;&gt;[@judet],"JUDET NECORESPUNZATOR",""))</f>
        <v/>
      </c>
      <c r="R1257">
        <f>IF(XLOOKUP([@categorie],tbl_RegulriTVA[categorie],tbl_RegulriTVA[cota_legala],-1)&lt;&gt;[@cota_tva],"TVA GRESIT","")</f>
        <v/>
      </c>
      <c r="S1257">
        <f>IF([@data_scadentei]&lt;[@data_factura],"SCADENTA INAINTEA FACTURII","")</f>
        <v/>
      </c>
      <c r="T1257">
        <f>IF(NETWORKDAYS.INTL([@data_factura],[@data_factura],1,tbl_SarbatoriLegale[data])=0,"ZI NELUCRATOARE","")</f>
        <v/>
      </c>
      <c r="U1257">
        <f>IF([@motiv_anomalie]="","OK","DE INVESTIGAT")</f>
        <v/>
      </c>
      <c r="V1257">
        <f>TEXTJOIN("; ",TRUE,[@flag_oras],[@flag_tva],[@flag_scadenta],[@flag_zi])</f>
        <v/>
      </c>
    </row>
    <row r="1258">
      <c r="A1258" t="inlineStr">
        <is>
          <t>F-2025-01257</t>
        </is>
      </c>
      <c r="B1258" s="12" t="n">
        <v>46038</v>
      </c>
      <c r="C1258" t="inlineStr">
        <is>
          <t>SC RAPID LOGISTIC SA</t>
        </is>
      </c>
      <c r="D1258" t="inlineStr">
        <is>
          <t>Prahova</t>
        </is>
      </c>
      <c r="E1258" t="inlineStr">
        <is>
          <t>PRD-006</t>
        </is>
      </c>
      <c r="F1258" t="inlineStr">
        <is>
          <t>Apa plata bax</t>
        </is>
      </c>
      <c r="G1258" t="inlineStr">
        <is>
          <t>Alimente</t>
        </is>
      </c>
      <c r="H1258" t="n">
        <v>10</v>
      </c>
      <c r="I1258" t="n">
        <v>739.1</v>
      </c>
      <c r="J1258" t="n">
        <v>7391</v>
      </c>
      <c r="K1258" s="13" t="n">
        <v>0.09</v>
      </c>
      <c r="L1258" t="n">
        <v>665.1900000000001</v>
      </c>
      <c r="M1258" t="n">
        <v>8056.19</v>
      </c>
      <c r="N1258" t="inlineStr">
        <is>
          <t>RON</t>
        </is>
      </c>
      <c r="O1258" t="inlineStr">
        <is>
          <t>Ploiești</t>
        </is>
      </c>
      <c r="P1258" s="12" t="n">
        <v>46098</v>
      </c>
      <c r="Q1258">
        <f>IF(COUNTIF(tbl_Localitati[oras_oficial],[@oras])=0,"ORAS NEALINIAT",IF(XLOOKUP([@oras],tbl_Localitati[oras_oficial],tbl_Localitati[judet],"?")&lt;&gt;[@judet],"JUDET NECORESPUNZATOR",""))</f>
        <v/>
      </c>
      <c r="R1258">
        <f>IF(XLOOKUP([@categorie],tbl_RegulriTVA[categorie],tbl_RegulriTVA[cota_legala],-1)&lt;&gt;[@cota_tva],"TVA GRESIT","")</f>
        <v/>
      </c>
      <c r="S1258">
        <f>IF([@data_scadentei]&lt;[@data_factura],"SCADENTA INAINTEA FACTURII","")</f>
        <v/>
      </c>
      <c r="T1258">
        <f>IF(NETWORKDAYS.INTL([@data_factura],[@data_factura],1,tbl_SarbatoriLegale[data])=0,"ZI NELUCRATOARE","")</f>
        <v/>
      </c>
      <c r="U1258">
        <f>IF([@motiv_anomalie]="","OK","DE INVESTIGAT")</f>
        <v/>
      </c>
      <c r="V1258">
        <f>TEXTJOIN("; ",TRUE,[@flag_oras],[@flag_tva],[@flag_scadenta],[@flag_zi])</f>
        <v/>
      </c>
    </row>
    <row r="1259">
      <c r="A1259" t="inlineStr">
        <is>
          <t>F-2025-01258</t>
        </is>
      </c>
      <c r="B1259" s="12" t="n">
        <v>46366</v>
      </c>
      <c r="C1259" t="inlineStr">
        <is>
          <t>SC VECTOR CONSULT SRL</t>
        </is>
      </c>
      <c r="D1259" t="inlineStr">
        <is>
          <t>Timiș</t>
        </is>
      </c>
      <c r="E1259" t="inlineStr">
        <is>
          <t>PRD-002</t>
        </is>
      </c>
      <c r="F1259" t="inlineStr">
        <is>
          <t>Multifunctionala laser</t>
        </is>
      </c>
      <c r="G1259" t="inlineStr">
        <is>
          <t>Echipamente birou</t>
        </is>
      </c>
      <c r="H1259" t="n">
        <v>5</v>
      </c>
      <c r="I1259" t="n">
        <v>1079.07</v>
      </c>
      <c r="J1259" t="n">
        <v>5395.35</v>
      </c>
      <c r="K1259" s="13" t="n">
        <v>0.19</v>
      </c>
      <c r="L1259" t="n">
        <v>1025.12</v>
      </c>
      <c r="M1259" t="n">
        <v>6420.47</v>
      </c>
      <c r="N1259" t="inlineStr">
        <is>
          <t>RON</t>
        </is>
      </c>
      <c r="O1259" t="inlineStr">
        <is>
          <t>Timișoara</t>
        </is>
      </c>
      <c r="P1259" s="12" t="n">
        <v>46396</v>
      </c>
      <c r="Q1259">
        <f>IF(COUNTIF(tbl_Localitati[oras_oficial],[@oras])=0,"ORAS NEALINIAT",IF(XLOOKUP([@oras],tbl_Localitati[oras_oficial],tbl_Localitati[judet],"?")&lt;&gt;[@judet],"JUDET NECORESPUNZATOR",""))</f>
        <v/>
      </c>
      <c r="R1259">
        <f>IF(XLOOKUP([@categorie],tbl_RegulriTVA[categorie],tbl_RegulriTVA[cota_legala],-1)&lt;&gt;[@cota_tva],"TVA GRESIT","")</f>
        <v/>
      </c>
      <c r="S1259">
        <f>IF([@data_scadentei]&lt;[@data_factura],"SCADENTA INAINTEA FACTURII","")</f>
        <v/>
      </c>
      <c r="T1259">
        <f>IF(NETWORKDAYS.INTL([@data_factura],[@data_factura],1,tbl_SarbatoriLegale[data])=0,"ZI NELUCRATOARE","")</f>
        <v/>
      </c>
      <c r="U1259">
        <f>IF([@motiv_anomalie]="","OK","DE INVESTIGAT")</f>
        <v/>
      </c>
      <c r="V1259">
        <f>TEXTJOIN("; ",TRUE,[@flag_oras],[@flag_tva],[@flag_scadenta],[@flag_zi])</f>
        <v/>
      </c>
    </row>
    <row r="1260">
      <c r="A1260" t="inlineStr">
        <is>
          <t>F-2025-01259</t>
        </is>
      </c>
      <c r="B1260" s="12" t="n">
        <v>46191</v>
      </c>
      <c r="C1260" t="inlineStr">
        <is>
          <t>SC OMEGA SOFT SRL</t>
        </is>
      </c>
      <c r="D1260" t="inlineStr">
        <is>
          <t>Dolj</t>
        </is>
      </c>
      <c r="E1260" t="inlineStr">
        <is>
          <t>PRD-003</t>
        </is>
      </c>
      <c r="F1260" t="inlineStr">
        <is>
          <t>Multifunctionala laser</t>
        </is>
      </c>
      <c r="G1260" t="inlineStr">
        <is>
          <t>Echipamente birou</t>
        </is>
      </c>
      <c r="H1260" t="n">
        <v>3</v>
      </c>
      <c r="I1260" t="n">
        <v>4023.61</v>
      </c>
      <c r="J1260" t="n">
        <v>12070.83</v>
      </c>
      <c r="K1260" s="13" t="n">
        <v>0.19</v>
      </c>
      <c r="L1260" t="n">
        <v>2293.46</v>
      </c>
      <c r="M1260" t="n">
        <v>14364.29</v>
      </c>
      <c r="N1260" t="inlineStr">
        <is>
          <t>RON</t>
        </is>
      </c>
      <c r="O1260" t="inlineStr">
        <is>
          <t>Pitesci</t>
        </is>
      </c>
      <c r="P1260" s="12" t="n">
        <v>46206</v>
      </c>
      <c r="Q1260">
        <f>IF(COUNTIF(tbl_Localitati[oras_oficial],[@oras])=0,"ORAS NEALINIAT",IF(XLOOKUP([@oras],tbl_Localitati[oras_oficial],tbl_Localitati[judet],"?")&lt;&gt;[@judet],"JUDET NECORESPUNZATOR",""))</f>
        <v/>
      </c>
      <c r="R1260">
        <f>IF(XLOOKUP([@categorie],tbl_RegulriTVA[categorie],tbl_RegulriTVA[cota_legala],-1)&lt;&gt;[@cota_tva],"TVA GRESIT","")</f>
        <v/>
      </c>
      <c r="S1260">
        <f>IF([@data_scadentei]&lt;[@data_factura],"SCADENTA INAINTEA FACTURII","")</f>
        <v/>
      </c>
      <c r="T1260">
        <f>IF(NETWORKDAYS.INTL([@data_factura],[@data_factura],1,tbl_SarbatoriLegale[data])=0,"ZI NELUCRATOARE","")</f>
        <v/>
      </c>
      <c r="U1260">
        <f>IF([@motiv_anomalie]="","OK","DE INVESTIGAT")</f>
        <v/>
      </c>
      <c r="V1260">
        <f>TEXTJOIN("; ",TRUE,[@flag_oras],[@flag_tva],[@flag_scadenta],[@flag_zi])</f>
        <v/>
      </c>
    </row>
    <row r="1261">
      <c r="A1261" t="inlineStr">
        <is>
          <t>F-2025-01260</t>
        </is>
      </c>
      <c r="B1261" s="12" t="n">
        <v>46268</v>
      </c>
      <c r="C1261" t="inlineStr">
        <is>
          <t>SC PROVITA MEDICAL SRL</t>
        </is>
      </c>
      <c r="D1261" t="inlineStr">
        <is>
          <t>Mureș</t>
        </is>
      </c>
      <c r="E1261" t="inlineStr">
        <is>
          <t>PRD-002</t>
        </is>
      </c>
      <c r="F1261" t="inlineStr">
        <is>
          <t>Licenta Office 365 anuala</t>
        </is>
      </c>
      <c r="G1261" t="inlineStr">
        <is>
          <t>Licențe software</t>
        </is>
      </c>
      <c r="H1261" t="n">
        <v>1</v>
      </c>
      <c r="I1261" t="n">
        <v>1055.15</v>
      </c>
      <c r="J1261" t="n">
        <v>1055.15</v>
      </c>
      <c r="K1261" s="13" t="n">
        <v>0.19</v>
      </c>
      <c r="L1261" t="n">
        <v>200.48</v>
      </c>
      <c r="M1261" t="n">
        <v>1255.63</v>
      </c>
      <c r="N1261" t="inlineStr">
        <is>
          <t>RON</t>
        </is>
      </c>
      <c r="O1261" t="inlineStr">
        <is>
          <t>Târgu Mureș</t>
        </is>
      </c>
      <c r="P1261" s="12" t="n">
        <v>46298</v>
      </c>
      <c r="Q1261">
        <f>IF(COUNTIF(tbl_Localitati[oras_oficial],[@oras])=0,"ORAS NEALINIAT",IF(XLOOKUP([@oras],tbl_Localitati[oras_oficial],tbl_Localitati[judet],"?")&lt;&gt;[@judet],"JUDET NECORESPUNZATOR",""))</f>
        <v/>
      </c>
      <c r="R1261">
        <f>IF(XLOOKUP([@categorie],tbl_RegulriTVA[categorie],tbl_RegulriTVA[cota_legala],-1)&lt;&gt;[@cota_tva],"TVA GRESIT","")</f>
        <v/>
      </c>
      <c r="S1261">
        <f>IF([@data_scadentei]&lt;[@data_factura],"SCADENTA INAINTEA FACTURII","")</f>
        <v/>
      </c>
      <c r="T1261">
        <f>IF(NETWORKDAYS.INTL([@data_factura],[@data_factura],1,tbl_SarbatoriLegale[data])=0,"ZI NELUCRATOARE","")</f>
        <v/>
      </c>
      <c r="U1261">
        <f>IF([@motiv_anomalie]="","OK","DE INVESTIGAT")</f>
        <v/>
      </c>
      <c r="V1261">
        <f>TEXTJOIN("; ",TRUE,[@flag_oras],[@flag_tva],[@flag_scadenta],[@flag_zi])</f>
        <v/>
      </c>
    </row>
    <row r="1262">
      <c r="A1262" t="inlineStr">
        <is>
          <t>F-2025-01261</t>
        </is>
      </c>
      <c r="B1262" s="12" t="n">
        <v>46345</v>
      </c>
      <c r="C1262" t="inlineStr">
        <is>
          <t>SC NORDIS DISTRIBUTIE SRL</t>
        </is>
      </c>
      <c r="D1262" t="inlineStr">
        <is>
          <t>Constanța</t>
        </is>
      </c>
      <c r="E1262" t="inlineStr">
        <is>
          <t>PRD-004</t>
        </is>
      </c>
      <c r="F1262" t="inlineStr">
        <is>
          <t>Dezinfectant maini 5L</t>
        </is>
      </c>
      <c r="G1262" t="inlineStr">
        <is>
          <t>Produse farmaceutice</t>
        </is>
      </c>
      <c r="H1262" t="n">
        <v>2</v>
      </c>
      <c r="I1262" t="n">
        <v>923.48</v>
      </c>
      <c r="J1262" t="n">
        <v>1846.96</v>
      </c>
      <c r="K1262" s="13" t="n">
        <v>0.09</v>
      </c>
      <c r="L1262" t="n">
        <v>166.23</v>
      </c>
      <c r="M1262" t="n">
        <v>2013.19</v>
      </c>
      <c r="N1262" t="inlineStr">
        <is>
          <t>RON</t>
        </is>
      </c>
      <c r="O1262" t="inlineStr">
        <is>
          <t>Mangalia</t>
        </is>
      </c>
      <c r="P1262" s="12" t="n">
        <v>46405</v>
      </c>
      <c r="Q1262">
        <f>IF(COUNTIF(tbl_Localitati[oras_oficial],[@oras])=0,"ORAS NEALINIAT",IF(XLOOKUP([@oras],tbl_Localitati[oras_oficial],tbl_Localitati[judet],"?")&lt;&gt;[@judet],"JUDET NECORESPUNZATOR",""))</f>
        <v/>
      </c>
      <c r="R1262">
        <f>IF(XLOOKUP([@categorie],tbl_RegulriTVA[categorie],tbl_RegulriTVA[cota_legala],-1)&lt;&gt;[@cota_tva],"TVA GRESIT","")</f>
        <v/>
      </c>
      <c r="S1262">
        <f>IF([@data_scadentei]&lt;[@data_factura],"SCADENTA INAINTEA FACTURII","")</f>
        <v/>
      </c>
      <c r="T1262">
        <f>IF(NETWORKDAYS.INTL([@data_factura],[@data_factura],1,tbl_SarbatoriLegale[data])=0,"ZI NELUCRATOARE","")</f>
        <v/>
      </c>
      <c r="U1262">
        <f>IF([@motiv_anomalie]="","OK","DE INVESTIGAT")</f>
        <v/>
      </c>
      <c r="V1262">
        <f>TEXTJOIN("; ",TRUE,[@flag_oras],[@flag_tva],[@flag_scadenta],[@flag_zi])</f>
        <v/>
      </c>
    </row>
    <row r="1263">
      <c r="A1263" t="inlineStr">
        <is>
          <t>F-2025-01262</t>
        </is>
      </c>
      <c r="B1263" s="12" t="n">
        <v>46346</v>
      </c>
      <c r="C1263" t="inlineStr">
        <is>
          <t>SC SOLARIS ENERGY SRL</t>
        </is>
      </c>
      <c r="D1263" t="inlineStr">
        <is>
          <t>Prahova</t>
        </is>
      </c>
      <c r="E1263" t="inlineStr">
        <is>
          <t>PRD-001</t>
        </is>
      </c>
      <c r="F1263" t="inlineStr">
        <is>
          <t>Cafea boabe 1kg</t>
        </is>
      </c>
      <c r="G1263" t="inlineStr">
        <is>
          <t>Alimente</t>
        </is>
      </c>
      <c r="H1263" t="n">
        <v>3</v>
      </c>
      <c r="I1263" t="n">
        <v>2410.17</v>
      </c>
      <c r="J1263" t="n">
        <v>7230.51</v>
      </c>
      <c r="K1263" s="13" t="n">
        <v>0.09</v>
      </c>
      <c r="L1263" t="n">
        <v>650.75</v>
      </c>
      <c r="M1263" t="n">
        <v>7881.26</v>
      </c>
      <c r="N1263" t="inlineStr">
        <is>
          <t>RON</t>
        </is>
      </c>
      <c r="O1263" t="inlineStr">
        <is>
          <t>Câmpina</t>
        </is>
      </c>
      <c r="P1263" s="12" t="n">
        <v>46376</v>
      </c>
      <c r="Q1263">
        <f>IF(COUNTIF(tbl_Localitati[oras_oficial],[@oras])=0,"ORAS NEALINIAT",IF(XLOOKUP([@oras],tbl_Localitati[oras_oficial],tbl_Localitati[judet],"?")&lt;&gt;[@judet],"JUDET NECORESPUNZATOR",""))</f>
        <v/>
      </c>
      <c r="R1263">
        <f>IF(XLOOKUP([@categorie],tbl_RegulriTVA[categorie],tbl_RegulriTVA[cota_legala],-1)&lt;&gt;[@cota_tva],"TVA GRESIT","")</f>
        <v/>
      </c>
      <c r="S1263">
        <f>IF([@data_scadentei]&lt;[@data_factura],"SCADENTA INAINTEA FACTURII","")</f>
        <v/>
      </c>
      <c r="T1263">
        <f>IF(NETWORKDAYS.INTL([@data_factura],[@data_factura],1,tbl_SarbatoriLegale[data])=0,"ZI NELUCRATOARE","")</f>
        <v/>
      </c>
      <c r="U1263">
        <f>IF([@motiv_anomalie]="","OK","DE INVESTIGAT")</f>
        <v/>
      </c>
      <c r="V1263">
        <f>TEXTJOIN("; ",TRUE,[@flag_oras],[@flag_tva],[@flag_scadenta],[@flag_zi])</f>
        <v/>
      </c>
    </row>
    <row r="1264">
      <c r="A1264" t="inlineStr">
        <is>
          <t>F-2025-01263</t>
        </is>
      </c>
      <c r="B1264" s="12" t="n">
        <v>46272</v>
      </c>
      <c r="C1264" t="inlineStr">
        <is>
          <t>SC AROMET TRADING SRL</t>
        </is>
      </c>
      <c r="D1264" t="inlineStr">
        <is>
          <t>Alba</t>
        </is>
      </c>
      <c r="E1264" t="inlineStr">
        <is>
          <t>PRD-002</t>
        </is>
      </c>
      <c r="F1264" t="inlineStr">
        <is>
          <t>Tocator documente</t>
        </is>
      </c>
      <c r="G1264" t="inlineStr">
        <is>
          <t>Echipamente birou</t>
        </is>
      </c>
      <c r="H1264" t="n">
        <v>1</v>
      </c>
      <c r="I1264" t="n">
        <v>1151.29</v>
      </c>
      <c r="J1264" t="n">
        <v>1151.29</v>
      </c>
      <c r="K1264" s="13" t="n">
        <v>0.19</v>
      </c>
      <c r="L1264" t="n">
        <v>218.75</v>
      </c>
      <c r="M1264" t="n">
        <v>1370.04</v>
      </c>
      <c r="N1264" t="inlineStr">
        <is>
          <t>EUR</t>
        </is>
      </c>
      <c r="O1264" t="inlineStr">
        <is>
          <t>Alba Iulia</t>
        </is>
      </c>
      <c r="P1264" s="12" t="n">
        <v>46332</v>
      </c>
      <c r="Q1264">
        <f>IF(COUNTIF(tbl_Localitati[oras_oficial],[@oras])=0,"ORAS NEALINIAT",IF(XLOOKUP([@oras],tbl_Localitati[oras_oficial],tbl_Localitati[judet],"?")&lt;&gt;[@judet],"JUDET NECORESPUNZATOR",""))</f>
        <v/>
      </c>
      <c r="R1264">
        <f>IF(XLOOKUP([@categorie],tbl_RegulriTVA[categorie],tbl_RegulriTVA[cota_legala],-1)&lt;&gt;[@cota_tva],"TVA GRESIT","")</f>
        <v/>
      </c>
      <c r="S1264">
        <f>IF([@data_scadentei]&lt;[@data_factura],"SCADENTA INAINTEA FACTURII","")</f>
        <v/>
      </c>
      <c r="T1264">
        <f>IF(NETWORKDAYS.INTL([@data_factura],[@data_factura],1,tbl_SarbatoriLegale[data])=0,"ZI NELUCRATOARE","")</f>
        <v/>
      </c>
      <c r="U1264">
        <f>IF([@motiv_anomalie]="","OK","DE INVESTIGAT")</f>
        <v/>
      </c>
      <c r="V1264">
        <f>TEXTJOIN("; ",TRUE,[@flag_oras],[@flag_tva],[@flag_scadenta],[@flag_zi])</f>
        <v/>
      </c>
    </row>
    <row r="1265">
      <c r="A1265" t="inlineStr">
        <is>
          <t>F-2025-01264</t>
        </is>
      </c>
      <c r="B1265" s="12" t="n">
        <v>46156</v>
      </c>
      <c r="C1265" t="inlineStr">
        <is>
          <t>SC UNIFOOD DISTRIBUTION SA</t>
        </is>
      </c>
      <c r="D1265" t="inlineStr">
        <is>
          <t>Sibiu</t>
        </is>
      </c>
      <c r="E1265" t="inlineStr">
        <is>
          <t>PRD-001</t>
        </is>
      </c>
      <c r="F1265" t="inlineStr">
        <is>
          <t>Telefon IP birou</t>
        </is>
      </c>
      <c r="G1265" t="inlineStr">
        <is>
          <t>Echipamente birou</t>
        </is>
      </c>
      <c r="H1265" t="n">
        <v>3</v>
      </c>
      <c r="I1265" t="n">
        <v>2400.79</v>
      </c>
      <c r="J1265" t="n">
        <v>7202.37</v>
      </c>
      <c r="K1265" s="13" t="n">
        <v>0.19</v>
      </c>
      <c r="L1265" t="n">
        <v>1368.45</v>
      </c>
      <c r="M1265" t="n">
        <v>8570.82</v>
      </c>
      <c r="N1265" t="inlineStr">
        <is>
          <t>RON</t>
        </is>
      </c>
      <c r="O1265" t="inlineStr">
        <is>
          <t>Mediaș</t>
        </is>
      </c>
      <c r="P1265" s="12" t="n">
        <v>46216</v>
      </c>
      <c r="Q1265">
        <f>IF(COUNTIF(tbl_Localitati[oras_oficial],[@oras])=0,"ORAS NEALINIAT",IF(XLOOKUP([@oras],tbl_Localitati[oras_oficial],tbl_Localitati[judet],"?")&lt;&gt;[@judet],"JUDET NECORESPUNZATOR",""))</f>
        <v/>
      </c>
      <c r="R1265">
        <f>IF(XLOOKUP([@categorie],tbl_RegulriTVA[categorie],tbl_RegulriTVA[cota_legala],-1)&lt;&gt;[@cota_tva],"TVA GRESIT","")</f>
        <v/>
      </c>
      <c r="S1265">
        <f>IF([@data_scadentei]&lt;[@data_factura],"SCADENTA INAINTEA FACTURII","")</f>
        <v/>
      </c>
      <c r="T1265">
        <f>IF(NETWORKDAYS.INTL([@data_factura],[@data_factura],1,tbl_SarbatoriLegale[data])=0,"ZI NELUCRATOARE","")</f>
        <v/>
      </c>
      <c r="U1265">
        <f>IF([@motiv_anomalie]="","OK","DE INVESTIGAT")</f>
        <v/>
      </c>
      <c r="V1265">
        <f>TEXTJOIN("; ",TRUE,[@flag_oras],[@flag_tva],[@flag_scadenta],[@flag_zi])</f>
        <v/>
      </c>
    </row>
    <row r="1266">
      <c r="A1266" t="inlineStr">
        <is>
          <t>F-2025-01265</t>
        </is>
      </c>
      <c r="B1266" s="12" t="n">
        <v>46335</v>
      </c>
      <c r="C1266" t="inlineStr">
        <is>
          <t>SC METALPLAST INVEST SA</t>
        </is>
      </c>
      <c r="D1266" t="inlineStr">
        <is>
          <t>Cluj</t>
        </is>
      </c>
      <c r="E1266" t="inlineStr">
        <is>
          <t>PRD-009</t>
        </is>
      </c>
      <c r="F1266" t="inlineStr">
        <is>
          <t>Switch gigabit 24p</t>
        </is>
      </c>
      <c r="G1266" t="inlineStr">
        <is>
          <t>Hardware IT</t>
        </is>
      </c>
      <c r="H1266" t="n">
        <v>5</v>
      </c>
      <c r="I1266" t="n">
        <v>27.48</v>
      </c>
      <c r="J1266" t="n">
        <v>137.4</v>
      </c>
      <c r="K1266" s="13" t="n">
        <v>0.19</v>
      </c>
      <c r="L1266" t="n">
        <v>26.11</v>
      </c>
      <c r="M1266" t="n">
        <v>163.51</v>
      </c>
      <c r="N1266" t="inlineStr">
        <is>
          <t>RON</t>
        </is>
      </c>
      <c r="O1266" t="inlineStr">
        <is>
          <t>Turda</t>
        </is>
      </c>
      <c r="P1266" s="12" t="n">
        <v>46380</v>
      </c>
      <c r="Q1266">
        <f>IF(COUNTIF(tbl_Localitati[oras_oficial],[@oras])=0,"ORAS NEALINIAT",IF(XLOOKUP([@oras],tbl_Localitati[oras_oficial],tbl_Localitati[judet],"?")&lt;&gt;[@judet],"JUDET NECORESPUNZATOR",""))</f>
        <v/>
      </c>
      <c r="R1266">
        <f>IF(XLOOKUP([@categorie],tbl_RegulriTVA[categorie],tbl_RegulriTVA[cota_legala],-1)&lt;&gt;[@cota_tva],"TVA GRESIT","")</f>
        <v/>
      </c>
      <c r="S1266">
        <f>IF([@data_scadentei]&lt;[@data_factura],"SCADENTA INAINTEA FACTURII","")</f>
        <v/>
      </c>
      <c r="T1266">
        <f>IF(NETWORKDAYS.INTL([@data_factura],[@data_factura],1,tbl_SarbatoriLegale[data])=0,"ZI NELUCRATOARE","")</f>
        <v/>
      </c>
      <c r="U1266">
        <f>IF([@motiv_anomalie]="","OK","DE INVESTIGAT")</f>
        <v/>
      </c>
      <c r="V1266">
        <f>TEXTJOIN("; ",TRUE,[@flag_oras],[@flag_tva],[@flag_scadenta],[@flag_zi])</f>
        <v/>
      </c>
    </row>
    <row r="1267">
      <c r="A1267" t="inlineStr">
        <is>
          <t>F-2025-01266</t>
        </is>
      </c>
      <c r="B1267" s="12" t="n">
        <v>46031</v>
      </c>
      <c r="C1267" t="inlineStr">
        <is>
          <t>SC SOLARIS ENERGY SRL</t>
        </is>
      </c>
      <c r="D1267" t="inlineStr">
        <is>
          <t>Prahova</t>
        </is>
      </c>
      <c r="E1267" t="inlineStr">
        <is>
          <t>PRD-010</t>
        </is>
      </c>
      <c r="F1267" t="inlineStr">
        <is>
          <t>Statie de lucru desktop</t>
        </is>
      </c>
      <c r="G1267" t="inlineStr">
        <is>
          <t>Hardware IT</t>
        </is>
      </c>
      <c r="H1267" t="n">
        <v>20</v>
      </c>
      <c r="I1267" t="n">
        <v>342.13</v>
      </c>
      <c r="J1267" t="n">
        <v>6842.6</v>
      </c>
      <c r="K1267" s="13" t="n">
        <v>0.19</v>
      </c>
      <c r="L1267" t="n">
        <v>1300.09</v>
      </c>
      <c r="M1267" t="n">
        <v>8142.69</v>
      </c>
      <c r="N1267" t="inlineStr">
        <is>
          <t>RON</t>
        </is>
      </c>
      <c r="O1267" t="inlineStr">
        <is>
          <t>Câmpina</t>
        </is>
      </c>
      <c r="P1267" s="12" t="n">
        <v>46091</v>
      </c>
      <c r="Q1267">
        <f>IF(COUNTIF(tbl_Localitati[oras_oficial],[@oras])=0,"ORAS NEALINIAT",IF(XLOOKUP([@oras],tbl_Localitati[oras_oficial],tbl_Localitati[judet],"?")&lt;&gt;[@judet],"JUDET NECORESPUNZATOR",""))</f>
        <v/>
      </c>
      <c r="R1267">
        <f>IF(XLOOKUP([@categorie],tbl_RegulriTVA[categorie],tbl_RegulriTVA[cota_legala],-1)&lt;&gt;[@cota_tva],"TVA GRESIT","")</f>
        <v/>
      </c>
      <c r="S1267">
        <f>IF([@data_scadentei]&lt;[@data_factura],"SCADENTA INAINTEA FACTURII","")</f>
        <v/>
      </c>
      <c r="T1267">
        <f>IF(NETWORKDAYS.INTL([@data_factura],[@data_factura],1,tbl_SarbatoriLegale[data])=0,"ZI NELUCRATOARE","")</f>
        <v/>
      </c>
      <c r="U1267">
        <f>IF([@motiv_anomalie]="","OK","DE INVESTIGAT")</f>
        <v/>
      </c>
      <c r="V1267">
        <f>TEXTJOIN("; ",TRUE,[@flag_oras],[@flag_tva],[@flag_scadenta],[@flag_zi])</f>
        <v/>
      </c>
    </row>
    <row r="1268">
      <c r="A1268" t="inlineStr">
        <is>
          <t>F-2025-01267</t>
        </is>
      </c>
      <c r="B1268" s="12" t="n">
        <v>46338</v>
      </c>
      <c r="C1268" t="inlineStr">
        <is>
          <t>SC METALPLAST INVEST SA</t>
        </is>
      </c>
      <c r="D1268" t="inlineStr">
        <is>
          <t>Cluj</t>
        </is>
      </c>
      <c r="E1268" t="inlineStr">
        <is>
          <t>PRD-007</t>
        </is>
      </c>
      <c r="F1268" t="inlineStr">
        <is>
          <t>Telefon IP birou</t>
        </is>
      </c>
      <c r="G1268" t="inlineStr">
        <is>
          <t>Echipamente birou</t>
        </is>
      </c>
      <c r="H1268" t="n">
        <v>10</v>
      </c>
      <c r="I1268" t="n">
        <v>185.22</v>
      </c>
      <c r="J1268" t="n">
        <v>1852.2</v>
      </c>
      <c r="K1268" s="13" t="n">
        <v>0.19</v>
      </c>
      <c r="L1268" t="n">
        <v>351.92</v>
      </c>
      <c r="M1268" t="n">
        <v>2204.12</v>
      </c>
      <c r="N1268" t="inlineStr">
        <is>
          <t>RON</t>
        </is>
      </c>
      <c r="O1268" t="inlineStr">
        <is>
          <t>Turda</t>
        </is>
      </c>
      <c r="P1268" s="12" t="n">
        <v>46368</v>
      </c>
      <c r="Q1268">
        <f>IF(COUNTIF(tbl_Localitati[oras_oficial],[@oras])=0,"ORAS NEALINIAT",IF(XLOOKUP([@oras],tbl_Localitati[oras_oficial],tbl_Localitati[judet],"?")&lt;&gt;[@judet],"JUDET NECORESPUNZATOR",""))</f>
        <v/>
      </c>
      <c r="R1268">
        <f>IF(XLOOKUP([@categorie],tbl_RegulriTVA[categorie],tbl_RegulriTVA[cota_legala],-1)&lt;&gt;[@cota_tva],"TVA GRESIT","")</f>
        <v/>
      </c>
      <c r="S1268">
        <f>IF([@data_scadentei]&lt;[@data_factura],"SCADENTA INAINTEA FACTURII","")</f>
        <v/>
      </c>
      <c r="T1268">
        <f>IF(NETWORKDAYS.INTL([@data_factura],[@data_factura],1,tbl_SarbatoriLegale[data])=0,"ZI NELUCRATOARE","")</f>
        <v/>
      </c>
      <c r="U1268">
        <f>IF([@motiv_anomalie]="","OK","DE INVESTIGAT")</f>
        <v/>
      </c>
      <c r="V1268">
        <f>TEXTJOIN("; ",TRUE,[@flag_oras],[@flag_tva],[@flag_scadenta],[@flag_zi])</f>
        <v/>
      </c>
    </row>
    <row r="1269">
      <c r="A1269" t="inlineStr">
        <is>
          <t>F-2025-01268</t>
        </is>
      </c>
      <c r="B1269" s="12" t="n">
        <v>46056</v>
      </c>
      <c r="C1269" t="inlineStr">
        <is>
          <t>SC DACTECH SOLUTIONS SRL</t>
        </is>
      </c>
      <c r="D1269" t="inlineStr">
        <is>
          <t>Argeș</t>
        </is>
      </c>
      <c r="E1269" t="inlineStr">
        <is>
          <t>PRD-006</t>
        </is>
      </c>
      <c r="F1269" t="inlineStr">
        <is>
          <t>Monitor 27" 4K</t>
        </is>
      </c>
      <c r="G1269" t="inlineStr">
        <is>
          <t>Hardware IT</t>
        </is>
      </c>
      <c r="H1269" t="n">
        <v>10</v>
      </c>
      <c r="I1269" t="n">
        <v>745.8200000000001</v>
      </c>
      <c r="J1269" t="n">
        <v>7458.2</v>
      </c>
      <c r="K1269" s="13" t="n">
        <v>0.19</v>
      </c>
      <c r="L1269" t="n">
        <v>1417.06</v>
      </c>
      <c r="M1269" t="n">
        <v>8875.26</v>
      </c>
      <c r="N1269" t="inlineStr">
        <is>
          <t>RON</t>
        </is>
      </c>
      <c r="O1269" t="inlineStr">
        <is>
          <t>Pitești</t>
        </is>
      </c>
      <c r="P1269" s="12" t="n">
        <v>46086</v>
      </c>
      <c r="Q1269">
        <f>IF(COUNTIF(tbl_Localitati[oras_oficial],[@oras])=0,"ORAS NEALINIAT",IF(XLOOKUP([@oras],tbl_Localitati[oras_oficial],tbl_Localitati[judet],"?")&lt;&gt;[@judet],"JUDET NECORESPUNZATOR",""))</f>
        <v/>
      </c>
      <c r="R1269">
        <f>IF(XLOOKUP([@categorie],tbl_RegulriTVA[categorie],tbl_RegulriTVA[cota_legala],-1)&lt;&gt;[@cota_tva],"TVA GRESIT","")</f>
        <v/>
      </c>
      <c r="S1269">
        <f>IF([@data_scadentei]&lt;[@data_factura],"SCADENTA INAINTEA FACTURII","")</f>
        <v/>
      </c>
      <c r="T1269">
        <f>IF(NETWORKDAYS.INTL([@data_factura],[@data_factura],1,tbl_SarbatoriLegale[data])=0,"ZI NELUCRATOARE","")</f>
        <v/>
      </c>
      <c r="U1269">
        <f>IF([@motiv_anomalie]="","OK","DE INVESTIGAT")</f>
        <v/>
      </c>
      <c r="V1269">
        <f>TEXTJOIN("; ",TRUE,[@flag_oras],[@flag_tva],[@flag_scadenta],[@flag_zi])</f>
        <v/>
      </c>
    </row>
    <row r="1270">
      <c r="A1270" t="inlineStr">
        <is>
          <t>F-2025-01269</t>
        </is>
      </c>
      <c r="B1270" s="12" t="n">
        <v>46150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Licențe software</t>
        </is>
      </c>
      <c r="H1270" t="n">
        <v>5</v>
      </c>
      <c r="I1270" t="n">
        <v>760.64</v>
      </c>
      <c r="J1270" t="n">
        <v>3803.2</v>
      </c>
      <c r="K1270" s="13" t="n">
        <v>0.19</v>
      </c>
      <c r="L1270" t="n">
        <v>722.61</v>
      </c>
      <c r="M1270" t="n">
        <v>4525.81</v>
      </c>
      <c r="N1270" t="inlineStr">
        <is>
          <t>RON</t>
        </is>
      </c>
      <c r="O1270" t="inlineStr">
        <is>
          <t>Sibiu</t>
        </is>
      </c>
      <c r="P1270" s="12" t="n">
        <v>46180</v>
      </c>
      <c r="Q1270">
        <f>IF(COUNTIF(tbl_Localitati[oras_oficial],[@oras])=0,"ORAS NEALINIAT",IF(XLOOKUP([@oras],tbl_Localitati[oras_oficial],tbl_Localitati[judet],"?")&lt;&gt;[@judet],"JUDET NECORESPUNZATOR",""))</f>
        <v/>
      </c>
      <c r="R1270">
        <f>IF(XLOOKUP([@categorie],tbl_RegulriTVA[categorie],tbl_RegulriTVA[cota_legala],-1)&lt;&gt;[@cota_tva],"TVA GRESIT","")</f>
        <v/>
      </c>
      <c r="S1270">
        <f>IF([@data_scadentei]&lt;[@data_factura],"SCADENTA INAINTEA FACTURII","")</f>
        <v/>
      </c>
      <c r="T1270">
        <f>IF(NETWORKDAYS.INTL([@data_factura],[@data_factura],1,tbl_SarbatoriLegale[data])=0,"ZI NELUCRATOARE","")</f>
        <v/>
      </c>
      <c r="U1270">
        <f>IF([@motiv_anomalie]="","OK","DE INVESTIGAT")</f>
        <v/>
      </c>
      <c r="V1270">
        <f>TEXTJOIN("; ",TRUE,[@flag_oras],[@flag_tva],[@flag_scadenta],[@flag_zi])</f>
        <v/>
      </c>
    </row>
    <row r="1271">
      <c r="A1271" t="inlineStr">
        <is>
          <t>F-2025-01270</t>
        </is>
      </c>
      <c r="B1271" s="12" t="n">
        <v>46108</v>
      </c>
      <c r="C1271" t="inlineStr">
        <is>
          <t>SC DACTECH SOLUTIONS SRL</t>
        </is>
      </c>
      <c r="D1271" t="inlineStr">
        <is>
          <t>Argeș</t>
        </is>
      </c>
      <c r="E1271" t="inlineStr">
        <is>
          <t>PRD-001</t>
        </is>
      </c>
      <c r="F1271" t="inlineStr">
        <is>
          <t>Telefon IP birou</t>
        </is>
      </c>
      <c r="G1271" t="inlineStr">
        <is>
          <t>Echipamente birou</t>
        </is>
      </c>
      <c r="H1271" t="n">
        <v>5</v>
      </c>
      <c r="I1271" t="n">
        <v>2388.34</v>
      </c>
      <c r="J1271" t="n">
        <v>11941.7</v>
      </c>
      <c r="K1271" s="13" t="n">
        <v>0.19</v>
      </c>
      <c r="L1271" t="n">
        <v>2268.92</v>
      </c>
      <c r="M1271" t="n">
        <v>14210.62</v>
      </c>
      <c r="N1271" t="inlineStr">
        <is>
          <t>RON</t>
        </is>
      </c>
      <c r="O1271" t="inlineStr">
        <is>
          <t>Pitesci</t>
        </is>
      </c>
      <c r="P1271" s="12" t="n">
        <v>46153</v>
      </c>
      <c r="Q1271">
        <f>IF(COUNTIF(tbl_Localitati[oras_oficial],[@oras])=0,"ORAS NEALINIAT",IF(XLOOKUP([@oras],tbl_Localitati[oras_oficial],tbl_Localitati[judet],"?")&lt;&gt;[@judet],"JUDET NECORESPUNZATOR",""))</f>
        <v/>
      </c>
      <c r="R1271">
        <f>IF(XLOOKUP([@categorie],tbl_RegulriTVA[categorie],tbl_RegulriTVA[cota_legala],-1)&lt;&gt;[@cota_tva],"TVA GRESIT","")</f>
        <v/>
      </c>
      <c r="S1271">
        <f>IF([@data_scadentei]&lt;[@data_factura],"SCADENTA INAINTEA FACTURII","")</f>
        <v/>
      </c>
      <c r="T1271">
        <f>IF(NETWORKDAYS.INTL([@data_factura],[@data_factura],1,tbl_SarbatoriLegale[data])=0,"ZI NELUCRATOARE","")</f>
        <v/>
      </c>
      <c r="U1271">
        <f>IF([@motiv_anomalie]="","OK","DE INVESTIGAT")</f>
        <v/>
      </c>
      <c r="V1271">
        <f>TEXTJOIN("; ",TRUE,[@flag_oras],[@flag_tva],[@flag_scadenta],[@flag_zi])</f>
        <v/>
      </c>
    </row>
    <row r="1272">
      <c r="A1272" t="inlineStr">
        <is>
          <t>F-2025-01271</t>
        </is>
      </c>
      <c r="B1272" s="12" t="n">
        <v>46328</v>
      </c>
      <c r="C1272" t="inlineStr">
        <is>
          <t>SC RAPID LOGISTIC SA</t>
        </is>
      </c>
      <c r="D1272" t="inlineStr">
        <is>
          <t>Prahova</t>
        </is>
      </c>
      <c r="E1272" t="inlineStr">
        <is>
          <t>PRD-007</t>
        </is>
      </c>
      <c r="F1272" t="inlineStr">
        <is>
          <t>Multifunctionala laser</t>
        </is>
      </c>
      <c r="G1272" t="inlineStr">
        <is>
          <t>Echipamente birou</t>
        </is>
      </c>
      <c r="H1272" t="n">
        <v>1</v>
      </c>
      <c r="I1272" t="n">
        <v>182.95</v>
      </c>
      <c r="J1272" t="n">
        <v>182.95</v>
      </c>
      <c r="K1272" s="13" t="n">
        <v>0.19</v>
      </c>
      <c r="L1272" t="n">
        <v>34.76</v>
      </c>
      <c r="M1272" t="n">
        <v>217.71</v>
      </c>
      <c r="N1272" t="inlineStr">
        <is>
          <t>RON</t>
        </is>
      </c>
      <c r="O1272" t="inlineStr">
        <is>
          <t>Ploiești</t>
        </is>
      </c>
      <c r="P1272" s="12" t="n">
        <v>46358</v>
      </c>
      <c r="Q1272">
        <f>IF(COUNTIF(tbl_Localitati[oras_oficial],[@oras])=0,"ORAS NEALINIAT",IF(XLOOKUP([@oras],tbl_Localitati[oras_oficial],tbl_Localitati[judet],"?")&lt;&gt;[@judet],"JUDET NECORESPUNZATOR",""))</f>
        <v/>
      </c>
      <c r="R1272">
        <f>IF(XLOOKUP([@categorie],tbl_RegulriTVA[categorie],tbl_RegulriTVA[cota_legala],-1)&lt;&gt;[@cota_tva],"TVA GRESIT","")</f>
        <v/>
      </c>
      <c r="S1272">
        <f>IF([@data_scadentei]&lt;[@data_factura],"SCADENTA INAINTEA FACTURII","")</f>
        <v/>
      </c>
      <c r="T1272">
        <f>IF(NETWORKDAYS.INTL([@data_factura],[@data_factura],1,tbl_SarbatoriLegale[data])=0,"ZI NELUCRATOARE","")</f>
        <v/>
      </c>
      <c r="U1272">
        <f>IF([@motiv_anomalie]="","OK","DE INVESTIGAT")</f>
        <v/>
      </c>
      <c r="V1272">
        <f>TEXTJOIN("; ",TRUE,[@flag_oras],[@flag_tva],[@flag_scadenta],[@flag_zi])</f>
        <v/>
      </c>
    </row>
    <row r="1273">
      <c r="A1273" t="inlineStr">
        <is>
          <t>F-2025-01272</t>
        </is>
      </c>
      <c r="B1273" s="12" t="n">
        <v>46192</v>
      </c>
      <c r="C1273" t="inlineStr">
        <is>
          <t>SC AROMET TRADING SRL</t>
        </is>
      </c>
      <c r="D1273" t="inlineStr">
        <is>
          <t>Alba</t>
        </is>
      </c>
      <c r="E1273" t="inlineStr">
        <is>
          <t>PRD-002</t>
        </is>
      </c>
      <c r="F1273" t="inlineStr">
        <is>
          <t>Telefon IP birou</t>
        </is>
      </c>
      <c r="G1273" t="inlineStr">
        <is>
          <t>Echipamente birou</t>
        </is>
      </c>
      <c r="H1273" t="n">
        <v>2</v>
      </c>
      <c r="I1273" t="n">
        <v>1144.93</v>
      </c>
      <c r="J1273" t="n">
        <v>2289.86</v>
      </c>
      <c r="K1273" s="13" t="n">
        <v>0.19</v>
      </c>
      <c r="L1273" t="n">
        <v>435.07</v>
      </c>
      <c r="M1273" t="n">
        <v>2724.93</v>
      </c>
      <c r="N1273" t="inlineStr">
        <is>
          <t>RON</t>
        </is>
      </c>
      <c r="O1273" t="inlineStr">
        <is>
          <t>Alba Iulia</t>
        </is>
      </c>
      <c r="P1273" s="12" t="n">
        <v>46237</v>
      </c>
      <c r="Q1273">
        <f>IF(COUNTIF(tbl_Localitati[oras_oficial],[@oras])=0,"ORAS NEALINIAT",IF(XLOOKUP([@oras],tbl_Localitati[oras_oficial],tbl_Localitati[judet],"?")&lt;&gt;[@judet],"JUDET NECORESPUNZATOR",""))</f>
        <v/>
      </c>
      <c r="R1273">
        <f>IF(XLOOKUP([@categorie],tbl_RegulriTVA[categorie],tbl_RegulriTVA[cota_legala],-1)&lt;&gt;[@cota_tva],"TVA GRESIT","")</f>
        <v/>
      </c>
      <c r="S1273">
        <f>IF([@data_scadentei]&lt;[@data_factura],"SCADENTA INAINTEA FACTURII","")</f>
        <v/>
      </c>
      <c r="T1273">
        <f>IF(NETWORKDAYS.INTL([@data_factura],[@data_factura],1,tbl_SarbatoriLegale[data])=0,"ZI NELUCRATOARE","")</f>
        <v/>
      </c>
      <c r="U1273">
        <f>IF([@motiv_anomalie]="","OK","DE INVESTIGAT")</f>
        <v/>
      </c>
      <c r="V1273">
        <f>TEXTJOIN("; ",TRUE,[@flag_oras],[@flag_tva],[@flag_scadenta],[@flag_zi])</f>
        <v/>
      </c>
    </row>
    <row r="1274">
      <c r="A1274" t="inlineStr">
        <is>
          <t>F-2025-01273</t>
        </is>
      </c>
      <c r="B1274" s="12" t="n">
        <v>46342</v>
      </c>
      <c r="C1274" t="inlineStr">
        <is>
          <t>SC VECTOR CONSULT SRL</t>
        </is>
      </c>
      <c r="D1274" t="inlineStr">
        <is>
          <t>Timiș</t>
        </is>
      </c>
      <c r="E1274" t="inlineStr">
        <is>
          <t>PRD-002</t>
        </is>
      </c>
      <c r="F1274" t="inlineStr">
        <is>
          <t>Server rack 1U</t>
        </is>
      </c>
      <c r="G1274" t="inlineStr">
        <is>
          <t>Hardware IT</t>
        </is>
      </c>
      <c r="H1274" t="n">
        <v>5</v>
      </c>
      <c r="I1274" t="n">
        <v>1087.85</v>
      </c>
      <c r="J1274" t="n">
        <v>5439.25</v>
      </c>
      <c r="K1274" s="13" t="n">
        <v>0.19</v>
      </c>
      <c r="L1274" t="n">
        <v>1033.46</v>
      </c>
      <c r="M1274" t="n">
        <v>6472.71</v>
      </c>
      <c r="N1274" t="inlineStr">
        <is>
          <t>RON</t>
        </is>
      </c>
      <c r="O1274" t="inlineStr">
        <is>
          <t>Timișoara</t>
        </is>
      </c>
      <c r="P1274" s="12" t="n">
        <v>46372</v>
      </c>
      <c r="Q1274">
        <f>IF(COUNTIF(tbl_Localitati[oras_oficial],[@oras])=0,"ORAS NEALINIAT",IF(XLOOKUP([@oras],tbl_Localitati[oras_oficial],tbl_Localitati[judet],"?")&lt;&gt;[@judet],"JUDET NECORESPUNZATOR",""))</f>
        <v/>
      </c>
      <c r="R1274">
        <f>IF(XLOOKUP([@categorie],tbl_RegulriTVA[categorie],tbl_RegulriTVA[cota_legala],-1)&lt;&gt;[@cota_tva],"TVA GRESIT","")</f>
        <v/>
      </c>
      <c r="S1274">
        <f>IF([@data_scadentei]&lt;[@data_factura],"SCADENTA INAINTEA FACTURII","")</f>
        <v/>
      </c>
      <c r="T1274">
        <f>IF(NETWORKDAYS.INTL([@data_factura],[@data_factura],1,tbl_SarbatoriLegale[data])=0,"ZI NELUCRATOARE","")</f>
        <v/>
      </c>
      <c r="U1274">
        <f>IF([@motiv_anomalie]="","OK","DE INVESTIGAT")</f>
        <v/>
      </c>
      <c r="V1274">
        <f>TEXTJOIN("; ",TRUE,[@flag_oras],[@flag_tva],[@flag_scadenta],[@flag_zi])</f>
        <v/>
      </c>
    </row>
    <row r="1275">
      <c r="A1275" t="inlineStr">
        <is>
          <t>F-2025-01274</t>
        </is>
      </c>
      <c r="B1275" s="12" t="n">
        <v>46071</v>
      </c>
      <c r="C1275" t="inlineStr">
        <is>
          <t>SC NORDIS DISTRIBUTIE SRL</t>
        </is>
      </c>
      <c r="D1275" t="inlineStr">
        <is>
          <t>Constanța</t>
        </is>
      </c>
      <c r="E1275" t="inlineStr">
        <is>
          <t>PRD-003</t>
        </is>
      </c>
      <c r="F1275" t="inlineStr">
        <is>
          <t>Licenta Office 365 anuala</t>
        </is>
      </c>
      <c r="G1275" t="inlineStr">
        <is>
          <t>Licențe software</t>
        </is>
      </c>
      <c r="H1275" t="n">
        <v>2</v>
      </c>
      <c r="I1275" t="n">
        <v>4130.4</v>
      </c>
      <c r="J1275" t="n">
        <v>8260.799999999999</v>
      </c>
      <c r="K1275" s="13" t="n">
        <v>0.19</v>
      </c>
      <c r="L1275" t="n">
        <v>1569.55</v>
      </c>
      <c r="M1275" t="n">
        <v>9830.35</v>
      </c>
      <c r="N1275" t="inlineStr">
        <is>
          <t>RON</t>
        </is>
      </c>
      <c r="O1275" t="inlineStr">
        <is>
          <t>Mangalia</t>
        </is>
      </c>
      <c r="P1275" s="12" t="n">
        <v>46101</v>
      </c>
      <c r="Q1275">
        <f>IF(COUNTIF(tbl_Localitati[oras_oficial],[@oras])=0,"ORAS NEALINIAT",IF(XLOOKUP([@oras],tbl_Localitati[oras_oficial],tbl_Localitati[judet],"?")&lt;&gt;[@judet],"JUDET NECORESPUNZATOR",""))</f>
        <v/>
      </c>
      <c r="R1275">
        <f>IF(XLOOKUP([@categorie],tbl_RegulriTVA[categorie],tbl_RegulriTVA[cota_legala],-1)&lt;&gt;[@cota_tva],"TVA GRESIT","")</f>
        <v/>
      </c>
      <c r="S1275">
        <f>IF([@data_scadentei]&lt;[@data_factura],"SCADENTA INAINTEA FACTURII","")</f>
        <v/>
      </c>
      <c r="T1275">
        <f>IF(NETWORKDAYS.INTL([@data_factura],[@data_factura],1,tbl_SarbatoriLegale[data])=0,"ZI NELUCRATOARE","")</f>
        <v/>
      </c>
      <c r="U1275">
        <f>IF([@motiv_anomalie]="","OK","DE INVESTIGAT")</f>
        <v/>
      </c>
      <c r="V1275">
        <f>TEXTJOIN("; ",TRUE,[@flag_oras],[@flag_tva],[@flag_scadenta],[@flag_zi])</f>
        <v/>
      </c>
    </row>
    <row r="1276">
      <c r="A1276" t="inlineStr">
        <is>
          <t>F-2025-01275</t>
        </is>
      </c>
      <c r="B1276" s="12" t="n">
        <v>46178</v>
      </c>
      <c r="C1276" t="inlineStr">
        <is>
          <t>SC VECTOR CONSULT SRL</t>
        </is>
      </c>
      <c r="D1276" t="inlineStr">
        <is>
          <t>Timiș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 IT</t>
        </is>
      </c>
      <c r="H1276" t="n">
        <v>2</v>
      </c>
      <c r="I1276" t="n">
        <v>2503.52</v>
      </c>
      <c r="J1276" t="n">
        <v>5007.04</v>
      </c>
      <c r="K1276" s="13" t="n">
        <v>0.19</v>
      </c>
      <c r="L1276" t="n">
        <v>951.34</v>
      </c>
      <c r="M1276" t="n">
        <v>5958.38</v>
      </c>
      <c r="N1276" t="inlineStr">
        <is>
          <t>RON</t>
        </is>
      </c>
      <c r="O1276" t="inlineStr">
        <is>
          <t>Timișoara</t>
        </is>
      </c>
      <c r="P1276" s="12" t="n">
        <v>46208</v>
      </c>
      <c r="Q1276">
        <f>IF(COUNTIF(tbl_Localitati[oras_oficial],[@oras])=0,"ORAS NEALINIAT",IF(XLOOKUP([@oras],tbl_Localitati[oras_oficial],tbl_Localitati[judet],"?")&lt;&gt;[@judet],"JUDET NECORESPUNZATOR",""))</f>
        <v/>
      </c>
      <c r="R1276">
        <f>IF(XLOOKUP([@categorie],tbl_RegulriTVA[categorie],tbl_RegulriTVA[cota_legala],-1)&lt;&gt;[@cota_tva],"TVA GRESIT","")</f>
        <v/>
      </c>
      <c r="S1276">
        <f>IF([@data_scadentei]&lt;[@data_factura],"SCADENTA INAINTEA FACTURII","")</f>
        <v/>
      </c>
      <c r="T1276">
        <f>IF(NETWORKDAYS.INTL([@data_factura],[@data_factura],1,tbl_SarbatoriLegale[data])=0,"ZI NELUCRATOARE","")</f>
        <v/>
      </c>
      <c r="U1276">
        <f>IF([@motiv_anomalie]="","OK","DE INVESTIGAT")</f>
        <v/>
      </c>
      <c r="V1276">
        <f>TEXTJOIN("; ",TRUE,[@flag_oras],[@flag_tva],[@flag_scadenta],[@flag_zi])</f>
        <v/>
      </c>
    </row>
    <row r="1277">
      <c r="A1277" t="inlineStr">
        <is>
          <t>F-2025-01276</t>
        </is>
      </c>
      <c r="B1277" s="12" t="n">
        <v>46231</v>
      </c>
      <c r="C1277" t="inlineStr">
        <is>
          <t>SC OMEGA SOFT SRL</t>
        </is>
      </c>
      <c r="D1277" t="inlineStr">
        <is>
          <t>Dolj</t>
        </is>
      </c>
      <c r="E1277" t="inlineStr">
        <is>
          <t>PRD-011</t>
        </is>
      </c>
      <c r="F1277" t="inlineStr">
        <is>
          <t>Consultanta implementare IT</t>
        </is>
      </c>
      <c r="G1277" t="inlineStr">
        <is>
          <t>Servicii consultanță</t>
        </is>
      </c>
      <c r="H1277" t="n">
        <v>10</v>
      </c>
      <c r="I1277" t="n">
        <v>43.16</v>
      </c>
      <c r="J1277" t="n">
        <v>431.6</v>
      </c>
      <c r="K1277" s="13" t="n">
        <v>0.05</v>
      </c>
      <c r="L1277" t="n">
        <v>21.58</v>
      </c>
      <c r="M1277" t="n">
        <v>453.18</v>
      </c>
      <c r="N1277" t="inlineStr">
        <is>
          <t>RON</t>
        </is>
      </c>
      <c r="O1277" t="inlineStr">
        <is>
          <t>Craiova</t>
        </is>
      </c>
      <c r="P1277" s="12" t="n">
        <v>46246</v>
      </c>
      <c r="Q1277">
        <f>IF(COUNTIF(tbl_Localitati[oras_oficial],[@oras])=0,"ORAS NEALINIAT",IF(XLOOKUP([@oras],tbl_Localitati[oras_oficial],tbl_Localitati[judet],"?")&lt;&gt;[@judet],"JUDET NECORESPUNZATOR",""))</f>
        <v/>
      </c>
      <c r="R1277">
        <f>IF(XLOOKUP([@categorie],tbl_RegulriTVA[categorie],tbl_RegulriTVA[cota_legala],-1)&lt;&gt;[@cota_tva],"TVA GRESIT","")</f>
        <v/>
      </c>
      <c r="S1277">
        <f>IF([@data_scadentei]&lt;[@data_factura],"SCADENTA INAINTEA FACTURII","")</f>
        <v/>
      </c>
      <c r="T1277">
        <f>IF(NETWORKDAYS.INTL([@data_factura],[@data_factura],1,tbl_SarbatoriLegale[data])=0,"ZI NELUCRATOARE","")</f>
        <v/>
      </c>
      <c r="U1277">
        <f>IF([@motiv_anomalie]="","OK","DE INVESTIGAT")</f>
        <v/>
      </c>
      <c r="V1277">
        <f>TEXTJOIN("; ",TRUE,[@flag_oras],[@flag_tva],[@flag_scadenta],[@flag_zi])</f>
        <v/>
      </c>
    </row>
    <row r="1278">
      <c r="A1278" t="inlineStr">
        <is>
          <t>F-2025-01277</t>
        </is>
      </c>
      <c r="B1278" s="12" t="n">
        <v>46384</v>
      </c>
      <c r="C1278" t="inlineStr">
        <is>
          <t>SC AROMET TRADING SRL</t>
        </is>
      </c>
      <c r="D1278" t="inlineStr">
        <is>
          <t>Alba</t>
        </is>
      </c>
      <c r="E1278" t="inlineStr">
        <is>
          <t>PRD-003</t>
        </is>
      </c>
      <c r="F1278" t="inlineStr">
        <is>
          <t>Suport tehnic anual</t>
        </is>
      </c>
      <c r="G1278" t="inlineStr">
        <is>
          <t>Servicii consultanță</t>
        </is>
      </c>
      <c r="H1278" t="n">
        <v>5</v>
      </c>
      <c r="I1278" t="n">
        <v>4397.56</v>
      </c>
      <c r="J1278" t="n">
        <v>21987.8</v>
      </c>
      <c r="K1278" s="13" t="n">
        <v>0.19</v>
      </c>
      <c r="L1278" t="n">
        <v>4177.68</v>
      </c>
      <c r="M1278" t="n">
        <v>26165.48</v>
      </c>
      <c r="N1278" t="inlineStr">
        <is>
          <t>RON</t>
        </is>
      </c>
      <c r="O1278" t="inlineStr">
        <is>
          <t>Alba Iulia</t>
        </is>
      </c>
      <c r="P1278" s="12" t="n">
        <v>46429</v>
      </c>
      <c r="Q1278">
        <f>IF(COUNTIF(tbl_Localitati[oras_oficial],[@oras])=0,"ORAS NEALINIAT",IF(XLOOKUP([@oras],tbl_Localitati[oras_oficial],tbl_Localitati[judet],"?")&lt;&gt;[@judet],"JUDET NECORESPUNZATOR",""))</f>
        <v/>
      </c>
      <c r="R1278">
        <f>IF(XLOOKUP([@categorie],tbl_RegulriTVA[categorie],tbl_RegulriTVA[cota_legala],-1)&lt;&gt;[@cota_tva],"TVA GRESIT","")</f>
        <v/>
      </c>
      <c r="S1278">
        <f>IF([@data_scadentei]&lt;[@data_factura],"SCADENTA INAINTEA FACTURII","")</f>
        <v/>
      </c>
      <c r="T1278">
        <f>IF(NETWORKDAYS.INTL([@data_factura],[@data_factura],1,tbl_SarbatoriLegale[data])=0,"ZI NELUCRATOARE","")</f>
        <v/>
      </c>
      <c r="U1278">
        <f>IF([@motiv_anomalie]="","OK","DE INVESTIGAT")</f>
        <v/>
      </c>
      <c r="V1278">
        <f>TEXTJOIN("; ",TRUE,[@flag_oras],[@flag_tva],[@flag_scadenta],[@flag_zi])</f>
        <v/>
      </c>
    </row>
    <row r="1279">
      <c r="A1279" t="inlineStr">
        <is>
          <t>F-2025-01278</t>
        </is>
      </c>
      <c r="B1279" s="12" t="n">
        <v>46234</v>
      </c>
      <c r="C1279" t="inlineStr">
        <is>
          <t>SC DACTECH SOLUTIONS SRL</t>
        </is>
      </c>
      <c r="D1279" t="inlineStr">
        <is>
          <t>Argeș</t>
        </is>
      </c>
      <c r="E1279" t="inlineStr">
        <is>
          <t>PRD-006</t>
        </is>
      </c>
      <c r="F1279" t="inlineStr">
        <is>
          <t>Telefon IP birou</t>
        </is>
      </c>
      <c r="G1279" t="inlineStr">
        <is>
          <t>Echipamente birou</t>
        </is>
      </c>
      <c r="H1279" t="n">
        <v>1</v>
      </c>
      <c r="I1279" t="n">
        <v>753.27</v>
      </c>
      <c r="J1279" t="n">
        <v>753.27</v>
      </c>
      <c r="K1279" s="13" t="n">
        <v>0.19</v>
      </c>
      <c r="L1279" t="n">
        <v>143.12</v>
      </c>
      <c r="M1279" t="n">
        <v>896.39</v>
      </c>
      <c r="N1279" t="inlineStr">
        <is>
          <t>RON</t>
        </is>
      </c>
      <c r="O1279" t="inlineStr">
        <is>
          <t>Pitești</t>
        </is>
      </c>
      <c r="P1279" s="12" t="n">
        <v>46264</v>
      </c>
      <c r="Q1279">
        <f>IF(COUNTIF(tbl_Localitati[oras_oficial],[@oras])=0,"ORAS NEALINIAT",IF(XLOOKUP([@oras],tbl_Localitati[oras_oficial],tbl_Localitati[judet],"?")&lt;&gt;[@judet],"JUDET NECORESPUNZATOR",""))</f>
        <v/>
      </c>
      <c r="R1279">
        <f>IF(XLOOKUP([@categorie],tbl_RegulriTVA[categorie],tbl_RegulriTVA[cota_legala],-1)&lt;&gt;[@cota_tva],"TVA GRESIT","")</f>
        <v/>
      </c>
      <c r="S1279">
        <f>IF([@data_scadentei]&lt;[@data_factura],"SCADENTA INAINTEA FACTURII","")</f>
        <v/>
      </c>
      <c r="T1279">
        <f>IF(NETWORKDAYS.INTL([@data_factura],[@data_factura],1,tbl_SarbatoriLegale[data])=0,"ZI NELUCRATOARE","")</f>
        <v/>
      </c>
      <c r="U1279">
        <f>IF([@motiv_anomalie]="","OK","DE INVESTIGAT")</f>
        <v/>
      </c>
      <c r="V1279">
        <f>TEXTJOIN("; ",TRUE,[@flag_oras],[@flag_tva],[@flag_scadenta],[@flag_zi])</f>
        <v/>
      </c>
    </row>
    <row r="1280">
      <c r="A1280" t="inlineStr">
        <is>
          <t>F-2025-01279</t>
        </is>
      </c>
      <c r="B1280" s="12" t="n">
        <v>46163</v>
      </c>
      <c r="C1280" t="inlineStr">
        <is>
          <t>SC AROMET TRADING SRL</t>
        </is>
      </c>
      <c r="D1280" t="inlineStr">
        <is>
          <t>Alba</t>
        </is>
      </c>
      <c r="E1280" t="inlineStr">
        <is>
          <t>PRD-006</t>
        </is>
      </c>
      <c r="F1280" t="inlineStr">
        <is>
          <t>Licenta antivirus enterprise</t>
        </is>
      </c>
      <c r="G1280" t="inlineStr">
        <is>
          <t>Licențe software</t>
        </is>
      </c>
      <c r="H1280" t="n">
        <v>10</v>
      </c>
      <c r="I1280" t="n">
        <v>763.46</v>
      </c>
      <c r="J1280" t="n">
        <v>7634.6</v>
      </c>
      <c r="K1280" s="13" t="n">
        <v>0.19</v>
      </c>
      <c r="L1280" t="n">
        <v>1450.57</v>
      </c>
      <c r="M1280" t="n">
        <v>9085.17</v>
      </c>
      <c r="N1280" t="inlineStr">
        <is>
          <t>RON</t>
        </is>
      </c>
      <c r="O1280" t="inlineStr">
        <is>
          <t>Alba Iulia</t>
        </is>
      </c>
      <c r="P1280" s="12" t="n">
        <v>46178</v>
      </c>
      <c r="Q1280">
        <f>IF(COUNTIF(tbl_Localitati[oras_oficial],[@oras])=0,"ORAS NEALINIAT",IF(XLOOKUP([@oras],tbl_Localitati[oras_oficial],tbl_Localitati[judet],"?")&lt;&gt;[@judet],"JUDET NECORESPUNZATOR",""))</f>
        <v/>
      </c>
      <c r="R1280">
        <f>IF(XLOOKUP([@categorie],tbl_RegulriTVA[categorie],tbl_RegulriTVA[cota_legala],-1)&lt;&gt;[@cota_tva],"TVA GRESIT","")</f>
        <v/>
      </c>
      <c r="S1280">
        <f>IF([@data_scadentei]&lt;[@data_factura],"SCADENTA INAINTEA FACTURII","")</f>
        <v/>
      </c>
      <c r="T1280">
        <f>IF(NETWORKDAYS.INTL([@data_factura],[@data_factura],1,tbl_SarbatoriLegale[data])=0,"ZI NELUCRATOARE","")</f>
        <v/>
      </c>
      <c r="U1280">
        <f>IF([@motiv_anomalie]="","OK","DE INVESTIGAT")</f>
        <v/>
      </c>
      <c r="V1280">
        <f>TEXTJOIN("; ",TRUE,[@flag_oras],[@flag_tva],[@flag_scadenta],[@flag_zi])</f>
        <v/>
      </c>
    </row>
    <row r="1281">
      <c r="A1281" t="inlineStr">
        <is>
          <t>F-2025-01280</t>
        </is>
      </c>
      <c r="B1281" s="12" t="n">
        <v>46150</v>
      </c>
      <c r="C1281" t="inlineStr">
        <is>
          <t>SC SOLARIS ENERGY SRL</t>
        </is>
      </c>
      <c r="D1281" t="inlineStr">
        <is>
          <t>Prahova</t>
        </is>
      </c>
      <c r="E1281" t="inlineStr">
        <is>
          <t>PRD-008</t>
        </is>
      </c>
      <c r="F1281" t="inlineStr">
        <is>
          <t>Telefon IP birou</t>
        </is>
      </c>
      <c r="G1281" t="inlineStr">
        <is>
          <t>Echipamente birou</t>
        </is>
      </c>
      <c r="H1281" t="n">
        <v>1</v>
      </c>
      <c r="I1281" t="n">
        <v>446.34</v>
      </c>
      <c r="J1281" t="n">
        <v>446.34</v>
      </c>
      <c r="K1281" s="13" t="n">
        <v>0.19</v>
      </c>
      <c r="L1281" t="n">
        <v>84.8</v>
      </c>
      <c r="M1281" t="n">
        <v>531.14</v>
      </c>
      <c r="N1281" t="inlineStr">
        <is>
          <t>RON</t>
        </is>
      </c>
      <c r="O1281" t="inlineStr">
        <is>
          <t>Câmpina</t>
        </is>
      </c>
      <c r="P1281" s="12" t="n">
        <v>46195</v>
      </c>
      <c r="Q1281">
        <f>IF(COUNTIF(tbl_Localitati[oras_oficial],[@oras])=0,"ORAS NEALINIAT",IF(XLOOKUP([@oras],tbl_Localitati[oras_oficial],tbl_Localitati[judet],"?")&lt;&gt;[@judet],"JUDET NECORESPUNZATOR",""))</f>
        <v/>
      </c>
      <c r="R1281">
        <f>IF(XLOOKUP([@categorie],tbl_RegulriTVA[categorie],tbl_RegulriTVA[cota_legala],-1)&lt;&gt;[@cota_tva],"TVA GRESIT","")</f>
        <v/>
      </c>
      <c r="S1281">
        <f>IF([@data_scadentei]&lt;[@data_factura],"SCADENTA INAINTEA FACTURII","")</f>
        <v/>
      </c>
      <c r="T1281">
        <f>IF(NETWORKDAYS.INTL([@data_factura],[@data_factura],1,tbl_SarbatoriLegale[data])=0,"ZI NELUCRATOARE","")</f>
        <v/>
      </c>
      <c r="U1281">
        <f>IF([@motiv_anomalie]="","OK","DE INVESTIGAT")</f>
        <v/>
      </c>
      <c r="V1281">
        <f>TEXTJOIN("; ",TRUE,[@flag_oras],[@flag_tva],[@flag_scadenta],[@flag_zi])</f>
        <v/>
      </c>
    </row>
    <row r="1282">
      <c r="A1282" t="inlineStr">
        <is>
          <t>F-2025-01281</t>
        </is>
      </c>
      <c r="B1282" s="12" t="n">
        <v>46269</v>
      </c>
      <c r="C1282" t="inlineStr">
        <is>
          <t>SC RAPID LOGISTIC SA</t>
        </is>
      </c>
      <c r="D1282" t="inlineStr">
        <is>
          <t>Prahova</t>
        </is>
      </c>
      <c r="E1282" t="inlineStr">
        <is>
          <t>PRD-001</t>
        </is>
      </c>
      <c r="F1282" t="inlineStr">
        <is>
          <t>Termometru digital</t>
        </is>
      </c>
      <c r="G1282" t="inlineStr">
        <is>
          <t>Produse farmaceutice</t>
        </is>
      </c>
      <c r="H1282" t="n">
        <v>2</v>
      </c>
      <c r="I1282" t="n">
        <v>2457.95</v>
      </c>
      <c r="J1282" t="n">
        <v>4915.9</v>
      </c>
      <c r="K1282" s="13" t="n">
        <v>0.09</v>
      </c>
      <c r="L1282" t="n">
        <v>442.43</v>
      </c>
      <c r="M1282" t="n">
        <v>5358.33</v>
      </c>
      <c r="N1282" t="inlineStr">
        <is>
          <t>RON</t>
        </is>
      </c>
      <c r="O1282" t="inlineStr">
        <is>
          <t>Ploiești</t>
        </is>
      </c>
      <c r="P1282" s="12" t="n">
        <v>46299</v>
      </c>
      <c r="Q1282">
        <f>IF(COUNTIF(tbl_Localitati[oras_oficial],[@oras])=0,"ORAS NEALINIAT",IF(XLOOKUP([@oras],tbl_Localitati[oras_oficial],tbl_Localitati[judet],"?")&lt;&gt;[@judet],"JUDET NECORESPUNZATOR",""))</f>
        <v/>
      </c>
      <c r="R1282">
        <f>IF(XLOOKUP([@categorie],tbl_RegulriTVA[categorie],tbl_RegulriTVA[cota_legala],-1)&lt;&gt;[@cota_tva],"TVA GRESIT","")</f>
        <v/>
      </c>
      <c r="S1282">
        <f>IF([@data_scadentei]&lt;[@data_factura],"SCADENTA INAINTEA FACTURII","")</f>
        <v/>
      </c>
      <c r="T1282">
        <f>IF(NETWORKDAYS.INTL([@data_factura],[@data_factura],1,tbl_SarbatoriLegale[data])=0,"ZI NELUCRATOARE","")</f>
        <v/>
      </c>
      <c r="U1282">
        <f>IF([@motiv_anomalie]="","OK","DE INVESTIGAT")</f>
        <v/>
      </c>
      <c r="V1282">
        <f>TEXTJOIN("; ",TRUE,[@flag_oras],[@flag_tva],[@flag_scadenta],[@flag_zi])</f>
        <v/>
      </c>
    </row>
    <row r="1283">
      <c r="A1283" t="inlineStr">
        <is>
          <t>F-2025-01282</t>
        </is>
      </c>
      <c r="B1283" s="12" t="n">
        <v>46023</v>
      </c>
      <c r="C1283" t="inlineStr">
        <is>
          <t>SC AROMET TRADING SRL</t>
        </is>
      </c>
      <c r="D1283" t="inlineStr">
        <is>
          <t>Alba</t>
        </is>
      </c>
      <c r="E1283" t="inlineStr">
        <is>
          <t>PRD-009</t>
        </is>
      </c>
      <c r="F1283" t="inlineStr">
        <is>
          <t>Statie de lucru desktop</t>
        </is>
      </c>
      <c r="G1283" t="inlineStr">
        <is>
          <t>Hardware IT</t>
        </is>
      </c>
      <c r="H1283" t="n">
        <v>10</v>
      </c>
      <c r="I1283" t="n">
        <v>29.03</v>
      </c>
      <c r="J1283" t="n">
        <v>290.3</v>
      </c>
      <c r="K1283" s="13" t="n">
        <v>0.19</v>
      </c>
      <c r="L1283" t="n">
        <v>55.16</v>
      </c>
      <c r="M1283" t="n">
        <v>345.46</v>
      </c>
      <c r="N1283" t="inlineStr">
        <is>
          <t>RON</t>
        </is>
      </c>
      <c r="O1283" t="inlineStr">
        <is>
          <t>Alba Iulia</t>
        </is>
      </c>
      <c r="P1283" s="12" t="n">
        <v>46053</v>
      </c>
      <c r="Q1283">
        <f>IF(COUNTIF(tbl_Localitati[oras_oficial],[@oras])=0,"ORAS NEALINIAT",IF(XLOOKUP([@oras],tbl_Localitati[oras_oficial],tbl_Localitati[judet],"?")&lt;&gt;[@judet],"JUDET NECORESPUNZATOR",""))</f>
        <v/>
      </c>
      <c r="R1283">
        <f>IF(XLOOKUP([@categorie],tbl_RegulriTVA[categorie],tbl_RegulriTVA[cota_legala],-1)&lt;&gt;[@cota_tva],"TVA GRESIT","")</f>
        <v/>
      </c>
      <c r="S1283">
        <f>IF([@data_scadentei]&lt;[@data_factura],"SCADENTA INAINTEA FACTURII","")</f>
        <v/>
      </c>
      <c r="T1283">
        <f>IF(NETWORKDAYS.INTL([@data_factura],[@data_factura],1,tbl_SarbatoriLegale[data])=0,"ZI NELUCRATOARE","")</f>
        <v/>
      </c>
      <c r="U1283">
        <f>IF([@motiv_anomalie]="","OK","DE INVESTIGAT")</f>
        <v/>
      </c>
      <c r="V1283">
        <f>TEXTJOIN("; ",TRUE,[@flag_oras],[@flag_tva],[@flag_scadenta],[@flag_zi])</f>
        <v/>
      </c>
    </row>
    <row r="1284">
      <c r="A1284" t="inlineStr">
        <is>
          <t>F-2025-01283</t>
        </is>
      </c>
      <c r="B1284" s="12" t="n">
        <v>46155</v>
      </c>
      <c r="C1284" t="inlineStr">
        <is>
          <t>SC INTEGROMED SA</t>
        </is>
      </c>
      <c r="D1284" t="inlineStr">
        <is>
          <t>Cluj</t>
        </is>
      </c>
      <c r="E1284" t="inlineStr">
        <is>
          <t>PRD-008</t>
        </is>
      </c>
      <c r="F1284" t="inlineStr">
        <is>
          <t>Monitor 27" 4K</t>
        </is>
      </c>
      <c r="G1284" t="inlineStr">
        <is>
          <t>Hardware IT</t>
        </is>
      </c>
      <c r="H1284" t="n">
        <v>5</v>
      </c>
      <c r="I1284" t="n">
        <v>464.29</v>
      </c>
      <c r="J1284" t="n">
        <v>2321.45</v>
      </c>
      <c r="K1284" s="13" t="n">
        <v>0.19</v>
      </c>
      <c r="L1284" t="n">
        <v>441.08</v>
      </c>
      <c r="M1284" t="n">
        <v>2762.53</v>
      </c>
      <c r="N1284" t="inlineStr">
        <is>
          <t>RON</t>
        </is>
      </c>
      <c r="O1284" t="inlineStr">
        <is>
          <t>Cluj-Napoca</t>
        </is>
      </c>
      <c r="P1284" s="12" t="n">
        <v>46185</v>
      </c>
      <c r="Q1284">
        <f>IF(COUNTIF(tbl_Localitati[oras_oficial],[@oras])=0,"ORAS NEALINIAT",IF(XLOOKUP([@oras],tbl_Localitati[oras_oficial],tbl_Localitati[judet],"?")&lt;&gt;[@judet],"JUDET NECORESPUNZATOR",""))</f>
        <v/>
      </c>
      <c r="R1284">
        <f>IF(XLOOKUP([@categorie],tbl_RegulriTVA[categorie],tbl_RegulriTVA[cota_legala],-1)&lt;&gt;[@cota_tva],"TVA GRESIT","")</f>
        <v/>
      </c>
      <c r="S1284">
        <f>IF([@data_scadentei]&lt;[@data_factura],"SCADENTA INAINTEA FACTURII","")</f>
        <v/>
      </c>
      <c r="T1284">
        <f>IF(NETWORKDAYS.INTL([@data_factura],[@data_factura],1,tbl_SarbatoriLegale[data])=0,"ZI NELUCRATOARE","")</f>
        <v/>
      </c>
      <c r="U1284">
        <f>IF([@motiv_anomalie]="","OK","DE INVESTIGAT")</f>
        <v/>
      </c>
      <c r="V1284">
        <f>TEXTJOIN("; ",TRUE,[@flag_oras],[@flag_tva],[@flag_scadenta],[@flag_zi])</f>
        <v/>
      </c>
    </row>
    <row r="1285">
      <c r="A1285" t="inlineStr">
        <is>
          <t>F-2025-01284</t>
        </is>
      </c>
      <c r="B1285" s="12" t="n">
        <v>46220</v>
      </c>
      <c r="C1285" t="inlineStr">
        <is>
          <t>SC AROMET TRADING SRL</t>
        </is>
      </c>
      <c r="D1285" t="inlineStr">
        <is>
          <t>Alba</t>
        </is>
      </c>
      <c r="E1285" t="inlineStr">
        <is>
          <t>PRD-010</t>
        </is>
      </c>
      <c r="F1285" t="inlineStr">
        <is>
          <t>Consultanta implementare IT</t>
        </is>
      </c>
      <c r="G1285" t="inlineStr">
        <is>
          <t>Servicii consultanță</t>
        </is>
      </c>
      <c r="H1285" t="n">
        <v>20</v>
      </c>
      <c r="I1285" t="n">
        <v>365.84</v>
      </c>
      <c r="J1285" t="n">
        <v>7316.8</v>
      </c>
      <c r="K1285" s="13" t="n">
        <v>0.19</v>
      </c>
      <c r="L1285" t="n">
        <v>1390.19</v>
      </c>
      <c r="M1285" t="n">
        <v>8706.99</v>
      </c>
      <c r="N1285" t="inlineStr">
        <is>
          <t>RON</t>
        </is>
      </c>
      <c r="O1285" t="inlineStr">
        <is>
          <t>Alba Iulia</t>
        </is>
      </c>
      <c r="P1285" s="12" t="n">
        <v>46250</v>
      </c>
      <c r="Q1285">
        <f>IF(COUNTIF(tbl_Localitati[oras_oficial],[@oras])=0,"ORAS NEALINIAT",IF(XLOOKUP([@oras],tbl_Localitati[oras_oficial],tbl_Localitati[judet],"?")&lt;&gt;[@judet],"JUDET NECORESPUNZATOR",""))</f>
        <v/>
      </c>
      <c r="R1285">
        <f>IF(XLOOKUP([@categorie],tbl_RegulriTVA[categorie],tbl_RegulriTVA[cota_legala],-1)&lt;&gt;[@cota_tva],"TVA GRESIT","")</f>
        <v/>
      </c>
      <c r="S1285">
        <f>IF([@data_scadentei]&lt;[@data_factura],"SCADENTA INAINTEA FACTURII","")</f>
        <v/>
      </c>
      <c r="T1285">
        <f>IF(NETWORKDAYS.INTL([@data_factura],[@data_factura],1,tbl_SarbatoriLegale[data])=0,"ZI NELUCRATOARE","")</f>
        <v/>
      </c>
      <c r="U1285">
        <f>IF([@motiv_anomalie]="","OK","DE INVESTIGAT")</f>
        <v/>
      </c>
      <c r="V1285">
        <f>TEXTJOIN("; ",TRUE,[@flag_oras],[@flag_tva],[@flag_scadenta],[@flag_zi])</f>
        <v/>
      </c>
    </row>
    <row r="1286">
      <c r="A1286" t="inlineStr">
        <is>
          <t>F-2025-01285</t>
        </is>
      </c>
      <c r="B1286" s="12" t="n">
        <v>46358</v>
      </c>
      <c r="C1286" t="inlineStr">
        <is>
          <t>SC AROMET TRADING SRL</t>
        </is>
      </c>
      <c r="D1286" t="inlineStr">
        <is>
          <t>Alba</t>
        </is>
      </c>
      <c r="E1286" t="inlineStr">
        <is>
          <t>PRD-001</t>
        </is>
      </c>
      <c r="F1286" t="inlineStr">
        <is>
          <t>Server rack 1U</t>
        </is>
      </c>
      <c r="G1286" t="inlineStr">
        <is>
          <t>Hardware IT</t>
        </is>
      </c>
      <c r="H1286" t="n">
        <v>3</v>
      </c>
      <c r="I1286" t="n">
        <v>2330.87</v>
      </c>
      <c r="J1286" t="n">
        <v>6992.61</v>
      </c>
      <c r="K1286" s="13" t="n">
        <v>0.19</v>
      </c>
      <c r="L1286" t="n">
        <v>1328.6</v>
      </c>
      <c r="M1286" t="n">
        <v>8321.209999999999</v>
      </c>
      <c r="N1286" t="inlineStr">
        <is>
          <t>RON</t>
        </is>
      </c>
      <c r="O1286" t="inlineStr">
        <is>
          <t>Alba Iulia</t>
        </is>
      </c>
      <c r="P1286" s="12" t="n">
        <v>46388</v>
      </c>
      <c r="Q1286">
        <f>IF(COUNTIF(tbl_Localitati[oras_oficial],[@oras])=0,"ORAS NEALINIAT",IF(XLOOKUP([@oras],tbl_Localitati[oras_oficial],tbl_Localitati[judet],"?")&lt;&gt;[@judet],"JUDET NECORESPUNZATOR",""))</f>
        <v/>
      </c>
      <c r="R1286">
        <f>IF(XLOOKUP([@categorie],tbl_RegulriTVA[categorie],tbl_RegulriTVA[cota_legala],-1)&lt;&gt;[@cota_tva],"TVA GRESIT","")</f>
        <v/>
      </c>
      <c r="S1286">
        <f>IF([@data_scadentei]&lt;[@data_factura],"SCADENTA INAINTEA FACTURII","")</f>
        <v/>
      </c>
      <c r="T1286">
        <f>IF(NETWORKDAYS.INTL([@data_factura],[@data_factura],1,tbl_SarbatoriLegale[data])=0,"ZI NELUCRATOARE","")</f>
        <v/>
      </c>
      <c r="U1286">
        <f>IF([@motiv_anomalie]="","OK","DE INVESTIGAT")</f>
        <v/>
      </c>
      <c r="V1286">
        <f>TEXTJOIN("; ",TRUE,[@flag_oras],[@flag_tva],[@flag_scadenta],[@flag_zi])</f>
        <v/>
      </c>
    </row>
    <row r="1287">
      <c r="A1287" t="inlineStr">
        <is>
          <t>F-2025-01286</t>
        </is>
      </c>
      <c r="B1287" s="12" t="n">
        <v>46329</v>
      </c>
      <c r="C1287" t="inlineStr">
        <is>
          <t>SC DACTECH SOLUTIONS SRL</t>
        </is>
      </c>
      <c r="D1287" t="inlineStr">
        <is>
          <t>Argeș</t>
        </is>
      </c>
      <c r="E1287" t="inlineStr">
        <is>
          <t>PRD-011</t>
        </is>
      </c>
      <c r="F1287" t="inlineStr">
        <is>
          <t>Server rack 1U</t>
        </is>
      </c>
      <c r="G1287" t="inlineStr">
        <is>
          <t>Hardware IT</t>
        </is>
      </c>
      <c r="H1287" t="n">
        <v>10</v>
      </c>
      <c r="I1287" t="n">
        <v>45.16</v>
      </c>
      <c r="J1287" t="n">
        <v>451.6</v>
      </c>
      <c r="K1287" s="13" t="n">
        <v>0.19</v>
      </c>
      <c r="L1287" t="n">
        <v>85.8</v>
      </c>
      <c r="M1287" t="n">
        <v>537.4</v>
      </c>
      <c r="N1287" t="inlineStr">
        <is>
          <t>EUR</t>
        </is>
      </c>
      <c r="O1287" t="inlineStr">
        <is>
          <t>Pitești</t>
        </is>
      </c>
      <c r="P1287" s="12" t="n">
        <v>46389</v>
      </c>
      <c r="Q1287">
        <f>IF(COUNTIF(tbl_Localitati[oras_oficial],[@oras])=0,"ORAS NEALINIAT",IF(XLOOKUP([@oras],tbl_Localitati[oras_oficial],tbl_Localitati[judet],"?")&lt;&gt;[@judet],"JUDET NECORESPUNZATOR",""))</f>
        <v/>
      </c>
      <c r="R1287">
        <f>IF(XLOOKUP([@categorie],tbl_RegulriTVA[categorie],tbl_RegulriTVA[cota_legala],-1)&lt;&gt;[@cota_tva],"TVA GRESIT","")</f>
        <v/>
      </c>
      <c r="S1287">
        <f>IF([@data_scadentei]&lt;[@data_factura],"SCADENTA INAINTEA FACTURII","")</f>
        <v/>
      </c>
      <c r="T1287">
        <f>IF(NETWORKDAYS.INTL([@data_factura],[@data_factura],1,tbl_SarbatoriLegale[data])=0,"ZI NELUCRATOARE","")</f>
        <v/>
      </c>
      <c r="U1287">
        <f>IF([@motiv_anomalie]="","OK","DE INVESTIGAT")</f>
        <v/>
      </c>
      <c r="V1287">
        <f>TEXTJOIN("; ",TRUE,[@flag_oras],[@flag_tva],[@flag_scadenta],[@flag_zi])</f>
        <v/>
      </c>
    </row>
    <row r="1288">
      <c r="A1288" t="inlineStr">
        <is>
          <t>F-2025-01287</t>
        </is>
      </c>
      <c r="B1288" s="12" t="n">
        <v>46120</v>
      </c>
      <c r="C1288" t="inlineStr">
        <is>
          <t>SC AROMET TRADING SRL</t>
        </is>
      </c>
      <c r="D1288" t="inlineStr">
        <is>
          <t>Alba</t>
        </is>
      </c>
      <c r="E1288" t="inlineStr">
        <is>
          <t>PRD-004</t>
        </is>
      </c>
      <c r="F1288" t="inlineStr">
        <is>
          <t>Statie de lucru desktop</t>
        </is>
      </c>
      <c r="G1288" t="inlineStr">
        <is>
          <t>Hardware IT</t>
        </is>
      </c>
      <c r="H1288" t="n">
        <v>1</v>
      </c>
      <c r="I1288" t="n">
        <v>892.9</v>
      </c>
      <c r="J1288" t="n">
        <v>892.9</v>
      </c>
      <c r="K1288" s="13" t="n">
        <v>0.19</v>
      </c>
      <c r="L1288" t="n">
        <v>169.65</v>
      </c>
      <c r="M1288" t="n">
        <v>1062.55</v>
      </c>
      <c r="N1288" t="inlineStr">
        <is>
          <t>RON</t>
        </is>
      </c>
      <c r="O1288" t="inlineStr">
        <is>
          <t>Alba Iulia</t>
        </is>
      </c>
      <c r="P1288" s="12" t="n">
        <v>46165</v>
      </c>
      <c r="Q1288">
        <f>IF(COUNTIF(tbl_Localitati[oras_oficial],[@oras])=0,"ORAS NEALINIAT",IF(XLOOKUP([@oras],tbl_Localitati[oras_oficial],tbl_Localitati[judet],"?")&lt;&gt;[@judet],"JUDET NECORESPUNZATOR",""))</f>
        <v/>
      </c>
      <c r="R1288">
        <f>IF(XLOOKUP([@categorie],tbl_RegulriTVA[categorie],tbl_RegulriTVA[cota_legala],-1)&lt;&gt;[@cota_tva],"TVA GRESIT","")</f>
        <v/>
      </c>
      <c r="S1288">
        <f>IF([@data_scadentei]&lt;[@data_factura],"SCADENTA INAINTEA FACTURII","")</f>
        <v/>
      </c>
      <c r="T1288">
        <f>IF(NETWORKDAYS.INTL([@data_factura],[@data_factura],1,tbl_SarbatoriLegale[data])=0,"ZI NELUCRATOARE","")</f>
        <v/>
      </c>
      <c r="U1288">
        <f>IF([@motiv_anomalie]="","OK","DE INVESTIGAT")</f>
        <v/>
      </c>
      <c r="V1288">
        <f>TEXTJOIN("; ",TRUE,[@flag_oras],[@flag_tva],[@flag_scadenta],[@flag_zi])</f>
        <v/>
      </c>
    </row>
    <row r="1289">
      <c r="A1289" t="inlineStr">
        <is>
          <t>F-2025-01288</t>
        </is>
      </c>
      <c r="B1289" s="12" t="n">
        <v>46071</v>
      </c>
      <c r="C1289" t="inlineStr">
        <is>
          <t>SC RAPID LOGISTIC SA</t>
        </is>
      </c>
      <c r="D1289" t="inlineStr">
        <is>
          <t>Prahova</t>
        </is>
      </c>
      <c r="E1289" t="inlineStr">
        <is>
          <t>PRD-005</t>
        </is>
      </c>
      <c r="F1289" t="inlineStr">
        <is>
          <t>Statie de lucru desktop</t>
        </is>
      </c>
      <c r="G1289" t="inlineStr">
        <is>
          <t>Hardware IT</t>
        </is>
      </c>
      <c r="H1289" t="n">
        <v>3</v>
      </c>
      <c r="I1289" t="n">
        <v>259.26</v>
      </c>
      <c r="J1289" t="n">
        <v>777.78</v>
      </c>
      <c r="K1289" s="13" t="n">
        <v>0.19</v>
      </c>
      <c r="L1289" t="n">
        <v>147.78</v>
      </c>
      <c r="M1289" t="n">
        <v>925.5599999999999</v>
      </c>
      <c r="N1289" t="inlineStr">
        <is>
          <t>RON</t>
        </is>
      </c>
      <c r="O1289" t="inlineStr">
        <is>
          <t>Ploiești</t>
        </is>
      </c>
      <c r="P1289" s="12" t="n">
        <v>46101</v>
      </c>
      <c r="Q1289">
        <f>IF(COUNTIF(tbl_Localitati[oras_oficial],[@oras])=0,"ORAS NEALINIAT",IF(XLOOKUP([@oras],tbl_Localitati[oras_oficial],tbl_Localitati[judet],"?")&lt;&gt;[@judet],"JUDET NECORESPUNZATOR",""))</f>
        <v/>
      </c>
      <c r="R1289">
        <f>IF(XLOOKUP([@categorie],tbl_RegulriTVA[categorie],tbl_RegulriTVA[cota_legala],-1)&lt;&gt;[@cota_tva],"TVA GRESIT","")</f>
        <v/>
      </c>
      <c r="S1289">
        <f>IF([@data_scadentei]&lt;[@data_factura],"SCADENTA INAINTEA FACTURII","")</f>
        <v/>
      </c>
      <c r="T1289">
        <f>IF(NETWORKDAYS.INTL([@data_factura],[@data_factura],1,tbl_SarbatoriLegale[data])=0,"ZI NELUCRATOARE","")</f>
        <v/>
      </c>
      <c r="U1289">
        <f>IF([@motiv_anomalie]="","OK","DE INVESTIGAT")</f>
        <v/>
      </c>
      <c r="V1289">
        <f>TEXTJOIN("; ",TRUE,[@flag_oras],[@flag_tva],[@flag_scadenta],[@flag_zi])</f>
        <v/>
      </c>
    </row>
    <row r="1290">
      <c r="A1290" t="inlineStr">
        <is>
          <t>F-2025-01289</t>
        </is>
      </c>
      <c r="B1290" s="12" t="n">
        <v>46330</v>
      </c>
      <c r="C1290" t="inlineStr">
        <is>
          <t>SC INTEGROMED SA</t>
        </is>
      </c>
      <c r="D1290" t="inlineStr">
        <is>
          <t>Cluj</t>
        </is>
      </c>
      <c r="E1290" t="inlineStr">
        <is>
          <t>PRD-001</t>
        </is>
      </c>
      <c r="F1290" t="inlineStr">
        <is>
          <t>Videoproiector sala</t>
        </is>
      </c>
      <c r="G1290" t="inlineStr">
        <is>
          <t>Echipamente birou</t>
        </is>
      </c>
      <c r="H1290" t="n">
        <v>1</v>
      </c>
      <c r="I1290" t="n">
        <v>2477.4</v>
      </c>
      <c r="J1290" t="n">
        <v>2477.4</v>
      </c>
      <c r="K1290" s="13" t="n">
        <v>0.19</v>
      </c>
      <c r="L1290" t="n">
        <v>470.71</v>
      </c>
      <c r="M1290" t="n">
        <v>2948.11</v>
      </c>
      <c r="N1290" t="inlineStr">
        <is>
          <t>RON</t>
        </is>
      </c>
      <c r="O1290" t="inlineStr">
        <is>
          <t>Cluj-Napoca</t>
        </is>
      </c>
      <c r="P1290" s="12" t="n">
        <v>46360</v>
      </c>
      <c r="Q1290">
        <f>IF(COUNTIF(tbl_Localitati[oras_oficial],[@oras])=0,"ORAS NEALINIAT",IF(XLOOKUP([@oras],tbl_Localitati[oras_oficial],tbl_Localitati[judet],"?")&lt;&gt;[@judet],"JUDET NECORESPUNZATOR",""))</f>
        <v/>
      </c>
      <c r="R1290">
        <f>IF(XLOOKUP([@categorie],tbl_RegulriTVA[categorie],tbl_RegulriTVA[cota_legala],-1)&lt;&gt;[@cota_tva],"TVA GRESIT","")</f>
        <v/>
      </c>
      <c r="S1290">
        <f>IF([@data_scadentei]&lt;[@data_factura],"SCADENTA INAINTEA FACTURII","")</f>
        <v/>
      </c>
      <c r="T1290">
        <f>IF(NETWORKDAYS.INTL([@data_factura],[@data_factura],1,tbl_SarbatoriLegale[data])=0,"ZI NELUCRATOARE","")</f>
        <v/>
      </c>
      <c r="U1290">
        <f>IF([@motiv_anomalie]="","OK","DE INVESTIGAT")</f>
        <v/>
      </c>
      <c r="V1290">
        <f>TEXTJOIN("; ",TRUE,[@flag_oras],[@flag_tva],[@flag_scadenta],[@flag_zi])</f>
        <v/>
      </c>
    </row>
    <row r="1291">
      <c r="A1291" t="inlineStr">
        <is>
          <t>F-2025-01290</t>
        </is>
      </c>
      <c r="B1291" s="12" t="n">
        <v>46304</v>
      </c>
      <c r="C1291" t="inlineStr">
        <is>
          <t>SC UNIFOOD DISTRIBUTION SA</t>
        </is>
      </c>
      <c r="D1291" t="inlineStr">
        <is>
          <t>Sibiu</t>
        </is>
      </c>
      <c r="E1291" t="inlineStr">
        <is>
          <t>PRD-011</t>
        </is>
      </c>
      <c r="F1291" t="inlineStr">
        <is>
          <t>Laptop business 15"</t>
        </is>
      </c>
      <c r="G1291" t="inlineStr">
        <is>
          <t>Hardware IT</t>
        </is>
      </c>
      <c r="H1291" t="n">
        <v>20</v>
      </c>
      <c r="I1291" t="n">
        <v>43.96</v>
      </c>
      <c r="J1291" t="n">
        <v>879.2</v>
      </c>
      <c r="K1291" s="13" t="n">
        <v>0.19</v>
      </c>
      <c r="L1291" t="n">
        <v>167.05</v>
      </c>
      <c r="M1291" t="n">
        <v>1046.25</v>
      </c>
      <c r="N1291" t="inlineStr">
        <is>
          <t>RON</t>
        </is>
      </c>
      <c r="O1291" t="inlineStr">
        <is>
          <t>Mediaș</t>
        </is>
      </c>
      <c r="P1291" s="12" t="n">
        <v>46334</v>
      </c>
      <c r="Q1291">
        <f>IF(COUNTIF(tbl_Localitati[oras_oficial],[@oras])=0,"ORAS NEALINIAT",IF(XLOOKUP([@oras],tbl_Localitati[oras_oficial],tbl_Localitati[judet],"?")&lt;&gt;[@judet],"JUDET NECORESPUNZATOR",""))</f>
        <v/>
      </c>
      <c r="R1291">
        <f>IF(XLOOKUP([@categorie],tbl_RegulriTVA[categorie],tbl_RegulriTVA[cota_legala],-1)&lt;&gt;[@cota_tva],"TVA GRESIT","")</f>
        <v/>
      </c>
      <c r="S1291">
        <f>IF([@data_scadentei]&lt;[@data_factura],"SCADENTA INAINTEA FACTURII","")</f>
        <v/>
      </c>
      <c r="T1291">
        <f>IF(NETWORKDAYS.INTL([@data_factura],[@data_factura],1,tbl_SarbatoriLegale[data])=0,"ZI NELUCRATOARE","")</f>
        <v/>
      </c>
      <c r="U1291">
        <f>IF([@motiv_anomalie]="","OK","DE INVESTIGAT")</f>
        <v/>
      </c>
      <c r="V1291">
        <f>TEXTJOIN("; ",TRUE,[@flag_oras],[@flag_tva],[@flag_scadenta],[@flag_zi])</f>
        <v/>
      </c>
    </row>
    <row r="1292">
      <c r="A1292" t="inlineStr">
        <is>
          <t>F-2025-01291</t>
        </is>
      </c>
      <c r="B1292" s="12" t="n">
        <v>46335</v>
      </c>
      <c r="C1292" t="inlineStr">
        <is>
          <t>SC INTEGROMED SA</t>
        </is>
      </c>
      <c r="D1292" t="inlineStr">
        <is>
          <t>Cluj</t>
        </is>
      </c>
      <c r="E1292" t="inlineStr">
        <is>
          <t>PRD-001</t>
        </is>
      </c>
      <c r="F1292" t="inlineStr">
        <is>
          <t>Cafea boabe 1kg</t>
        </is>
      </c>
      <c r="G1292" t="inlineStr">
        <is>
          <t>Alimente</t>
        </is>
      </c>
      <c r="H1292" t="n">
        <v>5</v>
      </c>
      <c r="I1292" t="n">
        <v>2322.18</v>
      </c>
      <c r="J1292" t="n">
        <v>11610.9</v>
      </c>
      <c r="K1292" s="13" t="n">
        <v>0.09</v>
      </c>
      <c r="L1292" t="n">
        <v>1044.98</v>
      </c>
      <c r="M1292" t="n">
        <v>12655.88</v>
      </c>
      <c r="N1292" t="inlineStr">
        <is>
          <t>RON</t>
        </is>
      </c>
      <c r="O1292" t="inlineStr">
        <is>
          <t>Cluj-Napoca</t>
        </is>
      </c>
      <c r="P1292" s="12" t="n">
        <v>46395</v>
      </c>
      <c r="Q1292">
        <f>IF(COUNTIF(tbl_Localitati[oras_oficial],[@oras])=0,"ORAS NEALINIAT",IF(XLOOKUP([@oras],tbl_Localitati[oras_oficial],tbl_Localitati[judet],"?")&lt;&gt;[@judet],"JUDET NECORESPUNZATOR",""))</f>
        <v/>
      </c>
      <c r="R1292">
        <f>IF(XLOOKUP([@categorie],tbl_RegulriTVA[categorie],tbl_RegulriTVA[cota_legala],-1)&lt;&gt;[@cota_tva],"TVA GRESIT","")</f>
        <v/>
      </c>
      <c r="S1292">
        <f>IF([@data_scadentei]&lt;[@data_factura],"SCADENTA INAINTEA FACTURII","")</f>
        <v/>
      </c>
      <c r="T1292">
        <f>IF(NETWORKDAYS.INTL([@data_factura],[@data_factura],1,tbl_SarbatoriLegale[data])=0,"ZI NELUCRATOARE","")</f>
        <v/>
      </c>
      <c r="U1292">
        <f>IF([@motiv_anomalie]="","OK","DE INVESTIGAT")</f>
        <v/>
      </c>
      <c r="V1292">
        <f>TEXTJOIN("; ",TRUE,[@flag_oras],[@flag_tva],[@flag_scadenta],[@flag_zi])</f>
        <v/>
      </c>
    </row>
    <row r="1293">
      <c r="A1293" t="inlineStr">
        <is>
          <t>F-2025-01292</t>
        </is>
      </c>
      <c r="B1293" s="12" t="n">
        <v>46353</v>
      </c>
      <c r="C1293" t="inlineStr">
        <is>
          <t>SC DACTECH SOLUTIONS SRL</t>
        </is>
      </c>
      <c r="D1293" t="inlineStr">
        <is>
          <t>Argeș</t>
        </is>
      </c>
      <c r="E1293" t="inlineStr">
        <is>
          <t>PRD-003</t>
        </is>
      </c>
      <c r="F1293" t="inlineStr">
        <is>
          <t>Set carti formare</t>
        </is>
      </c>
      <c r="G1293" t="inlineStr">
        <is>
          <t>Cărți și manuale</t>
        </is>
      </c>
      <c r="H1293" t="n">
        <v>3</v>
      </c>
      <c r="I1293" t="n">
        <v>4039.24</v>
      </c>
      <c r="J1293" t="n">
        <v>12117.72</v>
      </c>
      <c r="K1293" s="13" t="n">
        <v>0.05</v>
      </c>
      <c r="L1293" t="n">
        <v>605.89</v>
      </c>
      <c r="M1293" t="n">
        <v>12723.61</v>
      </c>
      <c r="N1293" t="inlineStr">
        <is>
          <t>RON</t>
        </is>
      </c>
      <c r="O1293" t="inlineStr">
        <is>
          <t>Pitești</t>
        </is>
      </c>
      <c r="P1293" s="12" t="n">
        <v>46383</v>
      </c>
      <c r="Q1293">
        <f>IF(COUNTIF(tbl_Localitati[oras_oficial],[@oras])=0,"ORAS NEALINIAT",IF(XLOOKUP([@oras],tbl_Localitati[oras_oficial],tbl_Localitati[judet],"?")&lt;&gt;[@judet],"JUDET NECORESPUNZATOR",""))</f>
        <v/>
      </c>
      <c r="R1293">
        <f>IF(XLOOKUP([@categorie],tbl_RegulriTVA[categorie],tbl_RegulriTVA[cota_legala],-1)&lt;&gt;[@cota_tva],"TVA GRESIT","")</f>
        <v/>
      </c>
      <c r="S1293">
        <f>IF([@data_scadentei]&lt;[@data_factura],"SCADENTA INAINTEA FACTURII","")</f>
        <v/>
      </c>
      <c r="T1293">
        <f>IF(NETWORKDAYS.INTL([@data_factura],[@data_factura],1,tbl_SarbatoriLegale[data])=0,"ZI NELUCRATOARE","")</f>
        <v/>
      </c>
      <c r="U1293">
        <f>IF([@motiv_anomalie]="","OK","DE INVESTIGAT")</f>
        <v/>
      </c>
      <c r="V1293">
        <f>TEXTJOIN("; ",TRUE,[@flag_oras],[@flag_tva],[@flag_scadenta],[@flag_zi])</f>
        <v/>
      </c>
    </row>
    <row r="1294">
      <c r="A1294" t="inlineStr">
        <is>
          <t>F-2025-01293</t>
        </is>
      </c>
      <c r="B1294" s="12" t="n">
        <v>46245</v>
      </c>
      <c r="C1294" t="inlineStr">
        <is>
          <t>SC NORDIS DISTRIBUTIE SRL</t>
        </is>
      </c>
      <c r="D1294" t="inlineStr">
        <is>
          <t>Constanța</t>
        </is>
      </c>
      <c r="E1294" t="inlineStr">
        <is>
          <t>PRD-002</t>
        </is>
      </c>
      <c r="F1294" t="inlineStr">
        <is>
          <t>Apa plata bax</t>
        </is>
      </c>
      <c r="G1294" t="inlineStr">
        <is>
          <t>Alimente</t>
        </is>
      </c>
      <c r="H1294" t="n">
        <v>10</v>
      </c>
      <c r="I1294" t="n">
        <v>1102.37</v>
      </c>
      <c r="J1294" t="n">
        <v>11023.7</v>
      </c>
      <c r="K1294" s="13" t="n">
        <v>0.09</v>
      </c>
      <c r="L1294" t="n">
        <v>992.13</v>
      </c>
      <c r="M1294" t="n">
        <v>12015.83</v>
      </c>
      <c r="N1294" t="inlineStr">
        <is>
          <t>RON</t>
        </is>
      </c>
      <c r="O1294" t="inlineStr">
        <is>
          <t>Mangalia</t>
        </is>
      </c>
      <c r="P1294" s="12" t="n">
        <v>46290</v>
      </c>
      <c r="Q1294">
        <f>IF(COUNTIF(tbl_Localitati[oras_oficial],[@oras])=0,"ORAS NEALINIAT",IF(XLOOKUP([@oras],tbl_Localitati[oras_oficial],tbl_Localitati[judet],"?")&lt;&gt;[@judet],"JUDET NECORESPUNZATOR",""))</f>
        <v/>
      </c>
      <c r="R1294">
        <f>IF(XLOOKUP([@categorie],tbl_RegulriTVA[categorie],tbl_RegulriTVA[cota_legala],-1)&lt;&gt;[@cota_tva],"TVA GRESIT","")</f>
        <v/>
      </c>
      <c r="S1294">
        <f>IF([@data_scadentei]&lt;[@data_factura],"SCADENTA INAINTEA FACTURII","")</f>
        <v/>
      </c>
      <c r="T1294">
        <f>IF(NETWORKDAYS.INTL([@data_factura],[@data_factura],1,tbl_SarbatoriLegale[data])=0,"ZI NELUCRATOARE","")</f>
        <v/>
      </c>
      <c r="U1294">
        <f>IF([@motiv_anomalie]="","OK","DE INVESTIGAT")</f>
        <v/>
      </c>
      <c r="V1294">
        <f>TEXTJOIN("; ",TRUE,[@flag_oras],[@flag_tva],[@flag_scadenta],[@flag_zi])</f>
        <v/>
      </c>
    </row>
    <row r="1295">
      <c r="A1295" t="inlineStr">
        <is>
          <t>F-2025-01294</t>
        </is>
      </c>
      <c r="B1295" s="12" t="n">
        <v>46030</v>
      </c>
      <c r="C1295" t="inlineStr">
        <is>
          <t>SC INTEGROMED SA</t>
        </is>
      </c>
      <c r="D1295" t="inlineStr">
        <is>
          <t>Cluj</t>
        </is>
      </c>
      <c r="E1295" t="inlineStr">
        <is>
          <t>PRD-005</t>
        </is>
      </c>
      <c r="F1295" t="inlineStr">
        <is>
          <t>Multifunctionala laser</t>
        </is>
      </c>
      <c r="G1295" t="inlineStr">
        <is>
          <t>Echipamente birou</t>
        </is>
      </c>
      <c r="H1295" t="n">
        <v>1</v>
      </c>
      <c r="I1295" t="n">
        <v>249.15</v>
      </c>
      <c r="J1295" t="n">
        <v>249.15</v>
      </c>
      <c r="K1295" s="13" t="n">
        <v>0.19</v>
      </c>
      <c r="L1295" t="n">
        <v>47.34</v>
      </c>
      <c r="M1295" t="n">
        <v>296.49</v>
      </c>
      <c r="N1295" t="inlineStr">
        <is>
          <t>RON</t>
        </is>
      </c>
      <c r="O1295" t="inlineStr">
        <is>
          <t>Cluj-Napoca</t>
        </is>
      </c>
      <c r="P1295" s="12" t="n">
        <v>46075</v>
      </c>
      <c r="Q1295">
        <f>IF(COUNTIF(tbl_Localitati[oras_oficial],[@oras])=0,"ORAS NEALINIAT",IF(XLOOKUP([@oras],tbl_Localitati[oras_oficial],tbl_Localitati[judet],"?")&lt;&gt;[@judet],"JUDET NECORESPUNZATOR",""))</f>
        <v/>
      </c>
      <c r="R1295">
        <f>IF(XLOOKUP([@categorie],tbl_RegulriTVA[categorie],tbl_RegulriTVA[cota_legala],-1)&lt;&gt;[@cota_tva],"TVA GRESIT","")</f>
        <v/>
      </c>
      <c r="S1295">
        <f>IF([@data_scadentei]&lt;[@data_factura],"SCADENTA INAINTEA FACTURII","")</f>
        <v/>
      </c>
      <c r="T1295">
        <f>IF(NETWORKDAYS.INTL([@data_factura],[@data_factura],1,tbl_SarbatoriLegale[data])=0,"ZI NELUCRATOARE","")</f>
        <v/>
      </c>
      <c r="U1295">
        <f>IF([@motiv_anomalie]="","OK","DE INVESTIGAT")</f>
        <v/>
      </c>
      <c r="V1295">
        <f>TEXTJOIN("; ",TRUE,[@flag_oras],[@flag_tva],[@flag_scadenta],[@flag_zi])</f>
        <v/>
      </c>
    </row>
    <row r="1296">
      <c r="A1296" t="inlineStr">
        <is>
          <t>F-2025-01295</t>
        </is>
      </c>
      <c r="B1296" s="12" t="n">
        <v>46372</v>
      </c>
      <c r="C1296" t="inlineStr">
        <is>
          <t>SC PROVITA MEDICAL SRL</t>
        </is>
      </c>
      <c r="D1296" t="inlineStr">
        <is>
          <t>Mureș</t>
        </is>
      </c>
      <c r="E1296" t="inlineStr">
        <is>
          <t>PRD-011</t>
        </is>
      </c>
      <c r="F1296" t="inlineStr">
        <is>
          <t>Training utilizatori</t>
        </is>
      </c>
      <c r="G1296" t="inlineStr">
        <is>
          <t>Servicii consultanță</t>
        </is>
      </c>
      <c r="H1296" t="n">
        <v>5</v>
      </c>
      <c r="I1296" t="n">
        <v>43.67</v>
      </c>
      <c r="J1296" t="n">
        <v>218.35</v>
      </c>
      <c r="K1296" s="13" t="n">
        <v>0.19</v>
      </c>
      <c r="L1296" t="n">
        <v>41.49</v>
      </c>
      <c r="M1296" t="n">
        <v>259.84</v>
      </c>
      <c r="N1296" t="inlineStr">
        <is>
          <t>RON</t>
        </is>
      </c>
      <c r="O1296" t="inlineStr">
        <is>
          <t>Târgu Mureș</t>
        </is>
      </c>
      <c r="P1296" s="12" t="n">
        <v>46402</v>
      </c>
      <c r="Q1296">
        <f>IF(COUNTIF(tbl_Localitati[oras_oficial],[@oras])=0,"ORAS NEALINIAT",IF(XLOOKUP([@oras],tbl_Localitati[oras_oficial],tbl_Localitati[judet],"?")&lt;&gt;[@judet],"JUDET NECORESPUNZATOR",""))</f>
        <v/>
      </c>
      <c r="R1296">
        <f>IF(XLOOKUP([@categorie],tbl_RegulriTVA[categorie],tbl_RegulriTVA[cota_legala],-1)&lt;&gt;[@cota_tva],"TVA GRESIT","")</f>
        <v/>
      </c>
      <c r="S1296">
        <f>IF([@data_scadentei]&lt;[@data_factura],"SCADENTA INAINTEA FACTURII","")</f>
        <v/>
      </c>
      <c r="T1296">
        <f>IF(NETWORKDAYS.INTL([@data_factura],[@data_factura],1,tbl_SarbatoriLegale[data])=0,"ZI NELUCRATOARE","")</f>
        <v/>
      </c>
      <c r="U1296">
        <f>IF([@motiv_anomalie]="","OK","DE INVESTIGAT")</f>
        <v/>
      </c>
      <c r="V1296">
        <f>TEXTJOIN("; ",TRUE,[@flag_oras],[@flag_tva],[@flag_scadenta],[@flag_zi])</f>
        <v/>
      </c>
    </row>
    <row r="1297">
      <c r="A1297" t="inlineStr">
        <is>
          <t>F-2025-01296</t>
        </is>
      </c>
      <c r="B1297" s="12" t="n">
        <v>46314</v>
      </c>
      <c r="C1297" t="inlineStr">
        <is>
          <t>SC AROMET TRADING SRL</t>
        </is>
      </c>
      <c r="D1297" t="inlineStr">
        <is>
          <t>Alba</t>
        </is>
      </c>
      <c r="E1297" t="inlineStr">
        <is>
          <t>PRD-001</t>
        </is>
      </c>
      <c r="F1297" t="inlineStr">
        <is>
          <t>Tocator documente</t>
        </is>
      </c>
      <c r="G1297" t="inlineStr">
        <is>
          <t>Echipamente birou</t>
        </is>
      </c>
      <c r="H1297" t="n">
        <v>2</v>
      </c>
      <c r="I1297" t="n">
        <v>2295.83</v>
      </c>
      <c r="J1297" t="n">
        <v>4591.66</v>
      </c>
      <c r="K1297" s="13" t="n">
        <v>0.19</v>
      </c>
      <c r="L1297" t="n">
        <v>872.42</v>
      </c>
      <c r="M1297" t="n">
        <v>5464.08</v>
      </c>
      <c r="N1297" t="inlineStr">
        <is>
          <t>RON</t>
        </is>
      </c>
      <c r="O1297" t="inlineStr">
        <is>
          <t>Alba Iulia</t>
        </is>
      </c>
      <c r="P1297" s="12" t="n">
        <v>46344</v>
      </c>
      <c r="Q1297">
        <f>IF(COUNTIF(tbl_Localitati[oras_oficial],[@oras])=0,"ORAS NEALINIAT",IF(XLOOKUP([@oras],tbl_Localitati[oras_oficial],tbl_Localitati[judet],"?")&lt;&gt;[@judet],"JUDET NECORESPUNZATOR",""))</f>
        <v/>
      </c>
      <c r="R1297">
        <f>IF(XLOOKUP([@categorie],tbl_RegulriTVA[categorie],tbl_RegulriTVA[cota_legala],-1)&lt;&gt;[@cota_tva],"TVA GRESIT","")</f>
        <v/>
      </c>
      <c r="S1297">
        <f>IF([@data_scadentei]&lt;[@data_factura],"SCADENTA INAINTEA FACTURII","")</f>
        <v/>
      </c>
      <c r="T1297">
        <f>IF(NETWORKDAYS.INTL([@data_factura],[@data_factura],1,tbl_SarbatoriLegale[data])=0,"ZI NELUCRATOARE","")</f>
        <v/>
      </c>
      <c r="U1297">
        <f>IF([@motiv_anomalie]="","OK","DE INVESTIGAT")</f>
        <v/>
      </c>
      <c r="V1297">
        <f>TEXTJOIN("; ",TRUE,[@flag_oras],[@flag_tva],[@flag_scadenta],[@flag_zi])</f>
        <v/>
      </c>
    </row>
    <row r="1298">
      <c r="A1298" t="inlineStr">
        <is>
          <t>F-2025-01297</t>
        </is>
      </c>
      <c r="B1298" s="12" t="n">
        <v>46325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Trusa prim ajutor</t>
        </is>
      </c>
      <c r="G1298" t="inlineStr">
        <is>
          <t>Produse farmaceutice</t>
        </is>
      </c>
      <c r="H1298" t="n">
        <v>5</v>
      </c>
      <c r="I1298" t="n">
        <v>26.61</v>
      </c>
      <c r="J1298" t="n">
        <v>133.05</v>
      </c>
      <c r="K1298" s="13" t="n">
        <v>0.09</v>
      </c>
      <c r="L1298" t="n">
        <v>11.97</v>
      </c>
      <c r="M1298" t="n">
        <v>145.02</v>
      </c>
      <c r="N1298" t="inlineStr">
        <is>
          <t>RON</t>
        </is>
      </c>
      <c r="O1298" t="inlineStr">
        <is>
          <t>Sibiu</t>
        </is>
      </c>
      <c r="P1298" s="12" t="n">
        <v>46355</v>
      </c>
      <c r="Q1298">
        <f>IF(COUNTIF(tbl_Localitati[oras_oficial],[@oras])=0,"ORAS NEALINIAT",IF(XLOOKUP([@oras],tbl_Localitati[oras_oficial],tbl_Localitati[judet],"?")&lt;&gt;[@judet],"JUDET NECORESPUNZATOR",""))</f>
        <v/>
      </c>
      <c r="R1298">
        <f>IF(XLOOKUP([@categorie],tbl_RegulriTVA[categorie],tbl_RegulriTVA[cota_legala],-1)&lt;&gt;[@cota_tva],"TVA GRESIT","")</f>
        <v/>
      </c>
      <c r="S1298">
        <f>IF([@data_scadentei]&lt;[@data_factura],"SCADENTA INAINTEA FACTURII","")</f>
        <v/>
      </c>
      <c r="T1298">
        <f>IF(NETWORKDAYS.INTL([@data_factura],[@data_factura],1,tbl_SarbatoriLegale[data])=0,"ZI NELUCRATOARE","")</f>
        <v/>
      </c>
      <c r="U1298">
        <f>IF([@motiv_anomalie]="","OK","DE INVESTIGAT")</f>
        <v/>
      </c>
      <c r="V1298">
        <f>TEXTJOIN("; ",TRUE,[@flag_oras],[@flag_tva],[@flag_scadenta],[@flag_zi])</f>
        <v/>
      </c>
    </row>
    <row r="1299">
      <c r="A1299" t="inlineStr">
        <is>
          <t>F-2025-01298</t>
        </is>
      </c>
      <c r="B1299" s="12" t="n">
        <v>46269</v>
      </c>
      <c r="C1299" t="inlineStr">
        <is>
          <t>SC FARMAVITAL DISTRIBUTIE SA</t>
        </is>
      </c>
      <c r="D1299" t="inlineStr">
        <is>
          <t>Bihor</t>
        </is>
      </c>
      <c r="E1299" t="inlineStr">
        <is>
          <t>PRD-012</t>
        </is>
      </c>
      <c r="F1299" t="inlineStr">
        <is>
          <t>Videoproiector sala</t>
        </is>
      </c>
      <c r="G1299" t="inlineStr">
        <is>
          <t>Echipamente birou</t>
        </is>
      </c>
      <c r="H1299" t="n">
        <v>4</v>
      </c>
      <c r="I1299" t="n">
        <v>178.96</v>
      </c>
      <c r="J1299" t="n">
        <v>715.84</v>
      </c>
      <c r="K1299" s="13" t="n">
        <v>0.19</v>
      </c>
      <c r="L1299" t="n">
        <v>136.01</v>
      </c>
      <c r="M1299" t="n">
        <v>851.85</v>
      </c>
      <c r="N1299" t="inlineStr">
        <is>
          <t>EUR</t>
        </is>
      </c>
      <c r="O1299" t="inlineStr">
        <is>
          <t>Oradea</t>
        </is>
      </c>
      <c r="P1299" s="12" t="n">
        <v>46314</v>
      </c>
      <c r="Q1299">
        <f>IF(COUNTIF(tbl_Localitati[oras_oficial],[@oras])=0,"ORAS NEALINIAT",IF(XLOOKUP([@oras],tbl_Localitati[oras_oficial],tbl_Localitati[judet],"?")&lt;&gt;[@judet],"JUDET NECORESPUNZATOR",""))</f>
        <v/>
      </c>
      <c r="R1299">
        <f>IF(XLOOKUP([@categorie],tbl_RegulriTVA[categorie],tbl_RegulriTVA[cota_legala],-1)&lt;&gt;[@cota_tva],"TVA GRESIT","")</f>
        <v/>
      </c>
      <c r="S1299">
        <f>IF([@data_scadentei]&lt;[@data_factura],"SCADENTA INAINTEA FACTURII","")</f>
        <v/>
      </c>
      <c r="T1299">
        <f>IF(NETWORKDAYS.INTL([@data_factura],[@data_factura],1,tbl_SarbatoriLegale[data])=0,"ZI NELUCRATOARE","")</f>
        <v/>
      </c>
      <c r="U1299">
        <f>IF([@motiv_anomalie]="","OK","DE INVESTIGAT")</f>
        <v/>
      </c>
      <c r="V1299">
        <f>TEXTJOIN("; ",TRUE,[@flag_oras],[@flag_tva],[@flag_scadenta],[@flag_zi])</f>
        <v/>
      </c>
    </row>
    <row r="1300">
      <c r="A1300" t="inlineStr">
        <is>
          <t>F-2025-01299</t>
        </is>
      </c>
      <c r="B1300" s="12" t="n">
        <v>46350</v>
      </c>
      <c r="C1300" t="inlineStr">
        <is>
          <t>SC NORDIS DISTRIBUTIE SRL</t>
        </is>
      </c>
      <c r="D1300" t="inlineStr">
        <is>
          <t>Constanța</t>
        </is>
      </c>
      <c r="E1300" t="inlineStr">
        <is>
          <t>PRD-006</t>
        </is>
      </c>
      <c r="F1300" t="inlineStr">
        <is>
          <t>Telefon IP birou</t>
        </is>
      </c>
      <c r="G1300" t="inlineStr">
        <is>
          <t>Echipamente birou</t>
        </is>
      </c>
      <c r="H1300" t="n">
        <v>25</v>
      </c>
      <c r="I1300" t="n">
        <v>723.41</v>
      </c>
      <c r="J1300" t="n">
        <v>18085.25</v>
      </c>
      <c r="K1300" s="13" t="n">
        <v>0.19</v>
      </c>
      <c r="L1300" t="n">
        <v>3436.2</v>
      </c>
      <c r="M1300" t="n">
        <v>21521.45</v>
      </c>
      <c r="N1300" t="inlineStr">
        <is>
          <t>RON</t>
        </is>
      </c>
      <c r="O1300" t="inlineStr">
        <is>
          <t>Mangalia</t>
        </is>
      </c>
      <c r="P1300" s="12" t="n">
        <v>46380</v>
      </c>
      <c r="Q1300">
        <f>IF(COUNTIF(tbl_Localitati[oras_oficial],[@oras])=0,"ORAS NEALINIAT",IF(XLOOKUP([@oras],tbl_Localitati[oras_oficial],tbl_Localitati[judet],"?")&lt;&gt;[@judet],"JUDET NECORESPUNZATOR",""))</f>
        <v/>
      </c>
      <c r="R1300">
        <f>IF(XLOOKUP([@categorie],tbl_RegulriTVA[categorie],tbl_RegulriTVA[cota_legala],-1)&lt;&gt;[@cota_tva],"TVA GRESIT","")</f>
        <v/>
      </c>
      <c r="S1300">
        <f>IF([@data_scadentei]&lt;[@data_factura],"SCADENTA INAINTEA FACTURII","")</f>
        <v/>
      </c>
      <c r="T1300">
        <f>IF(NETWORKDAYS.INTL([@data_factura],[@data_factura],1,tbl_SarbatoriLegale[data])=0,"ZI NELUCRATOARE","")</f>
        <v/>
      </c>
      <c r="U1300">
        <f>IF([@motiv_anomalie]="","OK","DE INVESTIGAT")</f>
        <v/>
      </c>
      <c r="V1300">
        <f>TEXTJOIN("; ",TRUE,[@flag_oras],[@flag_tva],[@flag_scadenta],[@flag_zi])</f>
        <v/>
      </c>
    </row>
    <row r="1301">
      <c r="A1301" t="inlineStr">
        <is>
          <t>F-2025-01300</t>
        </is>
      </c>
      <c r="B1301" s="12" t="n">
        <v>46365</v>
      </c>
      <c r="C1301" t="inlineStr">
        <is>
          <t>SC DACTECH SOLUTIONS SRL</t>
        </is>
      </c>
      <c r="D1301" t="inlineStr">
        <is>
          <t>Argeș</t>
        </is>
      </c>
      <c r="E1301" t="inlineStr">
        <is>
          <t>PRD-004</t>
        </is>
      </c>
      <c r="F1301" t="inlineStr">
        <is>
          <t>Audit infrastructura</t>
        </is>
      </c>
      <c r="G1301" t="inlineStr">
        <is>
          <t>Servicii consultanță</t>
        </is>
      </c>
      <c r="H1301" t="n">
        <v>1</v>
      </c>
      <c r="I1301" t="n">
        <v>921.42</v>
      </c>
      <c r="J1301" t="n">
        <v>921.42</v>
      </c>
      <c r="K1301" s="13" t="n">
        <v>0.19</v>
      </c>
      <c r="L1301" t="n">
        <v>175.07</v>
      </c>
      <c r="M1301" t="n">
        <v>1096.49</v>
      </c>
      <c r="N1301" t="inlineStr">
        <is>
          <t>RON</t>
        </is>
      </c>
      <c r="O1301" t="inlineStr">
        <is>
          <t>Pitești</t>
        </is>
      </c>
      <c r="P1301" s="12" t="n">
        <v>46425</v>
      </c>
      <c r="Q1301">
        <f>IF(COUNTIF(tbl_Localitati[oras_oficial],[@oras])=0,"ORAS NEALINIAT",IF(XLOOKUP([@oras],tbl_Localitati[oras_oficial],tbl_Localitati[judet],"?")&lt;&gt;[@judet],"JUDET NECORESPUNZATOR",""))</f>
        <v/>
      </c>
      <c r="R1301">
        <f>IF(XLOOKUP([@categorie],tbl_RegulriTVA[categorie],tbl_RegulriTVA[cota_legala],-1)&lt;&gt;[@cota_tva],"TVA GRESIT","")</f>
        <v/>
      </c>
      <c r="S1301">
        <f>IF([@data_scadentei]&lt;[@data_factura],"SCADENTA INAINTEA FACTURII","")</f>
        <v/>
      </c>
      <c r="T1301">
        <f>IF(NETWORKDAYS.INTL([@data_factura],[@data_factura],1,tbl_SarbatoriLegale[data])=0,"ZI NELUCRATOARE","")</f>
        <v/>
      </c>
      <c r="U1301">
        <f>IF([@motiv_anomalie]="","OK","DE INVESTIGAT")</f>
        <v/>
      </c>
      <c r="V1301">
        <f>TEXTJOIN("; ",TRUE,[@flag_oras],[@flag_tva],[@flag_scadenta],[@flag_zi])</f>
        <v/>
      </c>
    </row>
    <row r="1302">
      <c r="A1302" t="inlineStr">
        <is>
          <t>F-2025-01301</t>
        </is>
      </c>
      <c r="B1302" s="12" t="n">
        <v>46176</v>
      </c>
      <c r="C1302" t="inlineStr">
        <is>
          <t>SC ZENITH AUTO SRL</t>
        </is>
      </c>
      <c r="D1302" t="inlineStr">
        <is>
          <t>București</t>
        </is>
      </c>
      <c r="E1302" t="inlineStr">
        <is>
          <t>PRD-011</t>
        </is>
      </c>
      <c r="F1302" t="inlineStr">
        <is>
          <t>Licenta ERP contabilitate</t>
        </is>
      </c>
      <c r="G1302" t="inlineStr">
        <is>
          <t>Licențe software</t>
        </is>
      </c>
      <c r="H1302" t="n">
        <v>20</v>
      </c>
      <c r="I1302" t="n">
        <v>46.77</v>
      </c>
      <c r="J1302" t="n">
        <v>935.4</v>
      </c>
      <c r="K1302" s="13" t="n">
        <v>0.19</v>
      </c>
      <c r="L1302" t="n">
        <v>177.73</v>
      </c>
      <c r="M1302" t="n">
        <v>1113.13</v>
      </c>
      <c r="N1302" t="inlineStr">
        <is>
          <t>RON</t>
        </is>
      </c>
      <c r="O1302" t="inlineStr">
        <is>
          <t>București</t>
        </is>
      </c>
      <c r="P1302" s="12" t="n">
        <v>46206</v>
      </c>
      <c r="Q1302">
        <f>IF(COUNTIF(tbl_Localitati[oras_oficial],[@oras])=0,"ORAS NEALINIAT",IF(XLOOKUP([@oras],tbl_Localitati[oras_oficial],tbl_Localitati[judet],"?")&lt;&gt;[@judet],"JUDET NECORESPUNZATOR",""))</f>
        <v/>
      </c>
      <c r="R1302">
        <f>IF(XLOOKUP([@categorie],tbl_RegulriTVA[categorie],tbl_RegulriTVA[cota_legala],-1)&lt;&gt;[@cota_tva],"TVA GRESIT","")</f>
        <v/>
      </c>
      <c r="S1302">
        <f>IF([@data_scadentei]&lt;[@data_factura],"SCADENTA INAINTEA FACTURII","")</f>
        <v/>
      </c>
      <c r="T1302">
        <f>IF(NETWORKDAYS.INTL([@data_factura],[@data_factura],1,tbl_SarbatoriLegale[data])=0,"ZI NELUCRATOARE","")</f>
        <v/>
      </c>
      <c r="U1302">
        <f>IF([@motiv_anomalie]="","OK","DE INVESTIGAT")</f>
        <v/>
      </c>
      <c r="V1302">
        <f>TEXTJOIN("; ",TRUE,[@flag_oras],[@flag_tva],[@flag_scadenta],[@flag_zi])</f>
        <v/>
      </c>
    </row>
    <row r="1303">
      <c r="A1303" t="inlineStr">
        <is>
          <t>F-2025-01302</t>
        </is>
      </c>
      <c r="B1303" s="12" t="n">
        <v>46323</v>
      </c>
      <c r="C1303" t="inlineStr">
        <is>
          <t>SC AROMET TRADING SRL</t>
        </is>
      </c>
      <c r="D1303" t="inlineStr">
        <is>
          <t>Alba</t>
        </is>
      </c>
      <c r="E1303" t="inlineStr">
        <is>
          <t>PRD-005</t>
        </is>
      </c>
      <c r="F1303" t="inlineStr">
        <is>
          <t>Tocator documente</t>
        </is>
      </c>
      <c r="G1303" t="inlineStr">
        <is>
          <t>Echipamente birou</t>
        </is>
      </c>
      <c r="H1303" t="n">
        <v>5</v>
      </c>
      <c r="I1303" t="n">
        <v>255.29</v>
      </c>
      <c r="J1303" t="n">
        <v>1276.45</v>
      </c>
      <c r="K1303" s="13" t="n">
        <v>0.19</v>
      </c>
      <c r="L1303" t="n">
        <v>242.53</v>
      </c>
      <c r="M1303" t="n">
        <v>1518.98</v>
      </c>
      <c r="N1303" t="inlineStr">
        <is>
          <t>RON</t>
        </is>
      </c>
      <c r="O1303" t="inlineStr">
        <is>
          <t>Alba Iulia</t>
        </is>
      </c>
      <c r="P1303" s="12" t="n">
        <v>46353</v>
      </c>
      <c r="Q1303">
        <f>IF(COUNTIF(tbl_Localitati[oras_oficial],[@oras])=0,"ORAS NEALINIAT",IF(XLOOKUP([@oras],tbl_Localitati[oras_oficial],tbl_Localitati[judet],"?")&lt;&gt;[@judet],"JUDET NECORESPUNZATOR",""))</f>
        <v/>
      </c>
      <c r="R1303">
        <f>IF(XLOOKUP([@categorie],tbl_RegulriTVA[categorie],tbl_RegulriTVA[cota_legala],-1)&lt;&gt;[@cota_tva],"TVA GRESIT","")</f>
        <v/>
      </c>
      <c r="S1303">
        <f>IF([@data_scadentei]&lt;[@data_factura],"SCADENTA INAINTEA FACTURII","")</f>
        <v/>
      </c>
      <c r="T1303">
        <f>IF(NETWORKDAYS.INTL([@data_factura],[@data_factura],1,tbl_SarbatoriLegale[data])=0,"ZI NELUCRATOARE","")</f>
        <v/>
      </c>
      <c r="U1303">
        <f>IF([@motiv_anomalie]="","OK","DE INVESTIGAT")</f>
        <v/>
      </c>
      <c r="V1303">
        <f>TEXTJOIN("; ",TRUE,[@flag_oras],[@flag_tva],[@flag_scadenta],[@flag_zi])</f>
        <v/>
      </c>
    </row>
    <row r="1304">
      <c r="A1304" t="inlineStr">
        <is>
          <t>F-2025-01303</t>
        </is>
      </c>
      <c r="B1304" s="12" t="n">
        <v>46251</v>
      </c>
      <c r="C1304" t="inlineStr">
        <is>
          <t>SC OMEGA SOFT SRL</t>
        </is>
      </c>
      <c r="D1304" t="inlineStr">
        <is>
          <t>Dolj</t>
        </is>
      </c>
      <c r="E1304" t="inlineStr">
        <is>
          <t>PRD-004</t>
        </is>
      </c>
      <c r="F1304" t="inlineStr">
        <is>
          <t>Videoproiector sala</t>
        </is>
      </c>
      <c r="G1304" t="inlineStr">
        <is>
          <t>Echipamente birou</t>
        </is>
      </c>
      <c r="H1304" t="n">
        <v>5</v>
      </c>
      <c r="I1304" t="n">
        <v>879.4</v>
      </c>
      <c r="J1304" t="n">
        <v>4397</v>
      </c>
      <c r="K1304" s="13" t="n">
        <v>0.19</v>
      </c>
      <c r="L1304" t="n">
        <v>835.4299999999999</v>
      </c>
      <c r="M1304" t="n">
        <v>5232.43</v>
      </c>
      <c r="N1304" t="inlineStr">
        <is>
          <t>RON</t>
        </is>
      </c>
      <c r="O1304" t="inlineStr">
        <is>
          <t>Craiova</t>
        </is>
      </c>
      <c r="P1304" s="12" t="n">
        <v>46311</v>
      </c>
      <c r="Q1304">
        <f>IF(COUNTIF(tbl_Localitati[oras_oficial],[@oras])=0,"ORAS NEALINIAT",IF(XLOOKUP([@oras],tbl_Localitati[oras_oficial],tbl_Localitati[judet],"?")&lt;&gt;[@judet],"JUDET NECORESPUNZATOR",""))</f>
        <v/>
      </c>
      <c r="R1304">
        <f>IF(XLOOKUP([@categorie],tbl_RegulriTVA[categorie],tbl_RegulriTVA[cota_legala],-1)&lt;&gt;[@cota_tva],"TVA GRESIT","")</f>
        <v/>
      </c>
      <c r="S1304">
        <f>IF([@data_scadentei]&lt;[@data_factura],"SCADENTA INAINTEA FACTURII","")</f>
        <v/>
      </c>
      <c r="T1304">
        <f>IF(NETWORKDAYS.INTL([@data_factura],[@data_factura],1,tbl_SarbatoriLegale[data])=0,"ZI NELUCRATOARE","")</f>
        <v/>
      </c>
      <c r="U1304">
        <f>IF([@motiv_anomalie]="","OK","DE INVESTIGAT")</f>
        <v/>
      </c>
      <c r="V1304">
        <f>TEXTJOIN("; ",TRUE,[@flag_oras],[@flag_tva],[@flag_scadenta],[@flag_zi])</f>
        <v/>
      </c>
    </row>
    <row r="1305">
      <c r="A1305" t="inlineStr">
        <is>
          <t>F-2025-01304</t>
        </is>
      </c>
      <c r="B1305" s="12" t="n">
        <v>46231</v>
      </c>
      <c r="C1305" t="inlineStr">
        <is>
          <t>SC NORDIS DISTRIBUTIE SRL</t>
        </is>
      </c>
      <c r="D1305" t="inlineStr">
        <is>
          <t>Constanța</t>
        </is>
      </c>
      <c r="E1305" t="inlineStr">
        <is>
          <t>PRD-009</t>
        </is>
      </c>
      <c r="F1305" t="inlineStr">
        <is>
          <t>Dezinfectant maini 5L</t>
        </is>
      </c>
      <c r="G1305" t="inlineStr">
        <is>
          <t>Produse farmaceutice</t>
        </is>
      </c>
      <c r="H1305" t="n">
        <v>10</v>
      </c>
      <c r="I1305" t="n">
        <v>28.41</v>
      </c>
      <c r="J1305" t="n">
        <v>284.1</v>
      </c>
      <c r="K1305" s="13" t="n">
        <v>0.09</v>
      </c>
      <c r="L1305" t="n">
        <v>25.57</v>
      </c>
      <c r="M1305" t="n">
        <v>309.67</v>
      </c>
      <c r="N1305" t="inlineStr">
        <is>
          <t>RON</t>
        </is>
      </c>
      <c r="O1305" t="inlineStr">
        <is>
          <t>Mangalia</t>
        </is>
      </c>
      <c r="P1305" s="12" t="n">
        <v>46261</v>
      </c>
      <c r="Q1305">
        <f>IF(COUNTIF(tbl_Localitati[oras_oficial],[@oras])=0,"ORAS NEALINIAT",IF(XLOOKUP([@oras],tbl_Localitati[oras_oficial],tbl_Localitati[judet],"?")&lt;&gt;[@judet],"JUDET NECORESPUNZATOR",""))</f>
        <v/>
      </c>
      <c r="R1305">
        <f>IF(XLOOKUP([@categorie],tbl_RegulriTVA[categorie],tbl_RegulriTVA[cota_legala],-1)&lt;&gt;[@cota_tva],"TVA GRESIT","")</f>
        <v/>
      </c>
      <c r="S1305">
        <f>IF([@data_scadentei]&lt;[@data_factura],"SCADENTA INAINTEA FACTURII","")</f>
        <v/>
      </c>
      <c r="T1305">
        <f>IF(NETWORKDAYS.INTL([@data_factura],[@data_factura],1,tbl_SarbatoriLegale[data])=0,"ZI NELUCRATOARE","")</f>
        <v/>
      </c>
      <c r="U1305">
        <f>IF([@motiv_anomalie]="","OK","DE INVESTIGAT")</f>
        <v/>
      </c>
      <c r="V1305">
        <f>TEXTJOIN("; ",TRUE,[@flag_oras],[@flag_tva],[@flag_scadenta],[@flag_zi])</f>
        <v/>
      </c>
    </row>
    <row r="1306">
      <c r="A1306" t="inlineStr">
        <is>
          <t>F-2025-01305</t>
        </is>
      </c>
      <c r="B1306" s="12" t="n">
        <v>46104</v>
      </c>
      <c r="C1306" t="inlineStr">
        <is>
          <t>SC DACTECH SOLUTIONS SRL</t>
        </is>
      </c>
      <c r="D1306" t="inlineStr">
        <is>
          <t>Argeș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 IT</t>
        </is>
      </c>
      <c r="H1306" t="n">
        <v>5</v>
      </c>
      <c r="I1306" t="n">
        <v>1071.44</v>
      </c>
      <c r="J1306" t="n">
        <v>5357.2</v>
      </c>
      <c r="K1306" s="13" t="n">
        <v>0.19</v>
      </c>
      <c r="L1306" t="n">
        <v>1017.87</v>
      </c>
      <c r="M1306" t="n">
        <v>6375.07</v>
      </c>
      <c r="N1306" t="inlineStr">
        <is>
          <t>RON</t>
        </is>
      </c>
      <c r="O1306" t="inlineStr">
        <is>
          <t>Pitești</t>
        </is>
      </c>
      <c r="P1306" s="12" t="n">
        <v>46149</v>
      </c>
      <c r="Q1306">
        <f>IF(COUNTIF(tbl_Localitati[oras_oficial],[@oras])=0,"ORAS NEALINIAT",IF(XLOOKUP([@oras],tbl_Localitati[oras_oficial],tbl_Localitati[judet],"?")&lt;&gt;[@judet],"JUDET NECORESPUNZATOR",""))</f>
        <v/>
      </c>
      <c r="R1306">
        <f>IF(XLOOKUP([@categorie],tbl_RegulriTVA[categorie],tbl_RegulriTVA[cota_legala],-1)&lt;&gt;[@cota_tva],"TVA GRESIT","")</f>
        <v/>
      </c>
      <c r="S1306">
        <f>IF([@data_scadentei]&lt;[@data_factura],"SCADENTA INAINTEA FACTURII","")</f>
        <v/>
      </c>
      <c r="T1306">
        <f>IF(NETWORKDAYS.INTL([@data_factura],[@data_factura],1,tbl_SarbatoriLegale[data])=0,"ZI NELUCRATOARE","")</f>
        <v/>
      </c>
      <c r="U1306">
        <f>IF([@motiv_anomalie]="","OK","DE INVESTIGAT")</f>
        <v/>
      </c>
      <c r="V1306">
        <f>TEXTJOIN("; ",TRUE,[@flag_oras],[@flag_tva],[@flag_scadenta],[@flag_zi])</f>
        <v/>
      </c>
    </row>
    <row r="1307">
      <c r="A1307" t="inlineStr">
        <is>
          <t>F-2025-01306</t>
        </is>
      </c>
      <c r="B1307" s="12" t="n">
        <v>46156</v>
      </c>
      <c r="C1307" t="inlineStr">
        <is>
          <t>SC AROMET TRADING SRL</t>
        </is>
      </c>
      <c r="D1307" t="inlineStr">
        <is>
          <t>Alba</t>
        </is>
      </c>
      <c r="E1307" t="inlineStr">
        <is>
          <t>PRD-004</t>
        </is>
      </c>
      <c r="F1307" t="inlineStr">
        <is>
          <t>Dezinfectant maini 5L</t>
        </is>
      </c>
      <c r="G1307" t="inlineStr">
        <is>
          <t>Produse farmaceutice</t>
        </is>
      </c>
      <c r="H1307" t="n">
        <v>1</v>
      </c>
      <c r="I1307" t="n">
        <v>863.03</v>
      </c>
      <c r="J1307" t="n">
        <v>863.03</v>
      </c>
      <c r="K1307" s="13" t="n">
        <v>0.09</v>
      </c>
      <c r="L1307" t="n">
        <v>77.67</v>
      </c>
      <c r="M1307" t="n">
        <v>940.7</v>
      </c>
      <c r="N1307" t="inlineStr">
        <is>
          <t>RON</t>
        </is>
      </c>
      <c r="O1307" t="inlineStr">
        <is>
          <t>Alba Iulia</t>
        </is>
      </c>
      <c r="P1307" s="12" t="n">
        <v>46216</v>
      </c>
      <c r="Q1307">
        <f>IF(COUNTIF(tbl_Localitati[oras_oficial],[@oras])=0,"ORAS NEALINIAT",IF(XLOOKUP([@oras],tbl_Localitati[oras_oficial],tbl_Localitati[judet],"?")&lt;&gt;[@judet],"JUDET NECORESPUNZATOR",""))</f>
        <v/>
      </c>
      <c r="R1307">
        <f>IF(XLOOKUP([@categorie],tbl_RegulriTVA[categorie],tbl_RegulriTVA[cota_legala],-1)&lt;&gt;[@cota_tva],"TVA GRESIT","")</f>
        <v/>
      </c>
      <c r="S1307">
        <f>IF([@data_scadentei]&lt;[@data_factura],"SCADENTA INAINTEA FACTURII","")</f>
        <v/>
      </c>
      <c r="T1307">
        <f>IF(NETWORKDAYS.INTL([@data_factura],[@data_factura],1,tbl_SarbatoriLegale[data])=0,"ZI NELUCRATOARE","")</f>
        <v/>
      </c>
      <c r="U1307">
        <f>IF([@motiv_anomalie]="","OK","DE INVESTIGAT")</f>
        <v/>
      </c>
      <c r="V1307">
        <f>TEXTJOIN("; ",TRUE,[@flag_oras],[@flag_tva],[@flag_scadenta],[@flag_zi])</f>
        <v/>
      </c>
    </row>
    <row r="1308">
      <c r="A1308" t="inlineStr">
        <is>
          <t>F-2025-01307</t>
        </is>
      </c>
      <c r="B1308" s="12" t="n">
        <v>46267</v>
      </c>
      <c r="C1308" t="inlineStr">
        <is>
          <t>SC AROMET TRADING SRL</t>
        </is>
      </c>
      <c r="D1308" t="inlineStr">
        <is>
          <t>Alba</t>
        </is>
      </c>
      <c r="E1308" t="inlineStr">
        <is>
          <t>PRD-002</t>
        </is>
      </c>
      <c r="F1308" t="inlineStr">
        <is>
          <t>Masti protectie cutie</t>
        </is>
      </c>
      <c r="G1308" t="inlineStr">
        <is>
          <t>Produse farmaceutice</t>
        </is>
      </c>
      <c r="H1308" t="n">
        <v>1</v>
      </c>
      <c r="I1308" t="n">
        <v>1062.73</v>
      </c>
      <c r="J1308" t="n">
        <v>1062.73</v>
      </c>
      <c r="K1308" s="13" t="n">
        <v>0.09</v>
      </c>
      <c r="L1308" t="n">
        <v>95.65000000000001</v>
      </c>
      <c r="M1308" t="n">
        <v>1158.38</v>
      </c>
      <c r="N1308" t="inlineStr">
        <is>
          <t>RON</t>
        </is>
      </c>
      <c r="O1308" t="inlineStr">
        <is>
          <t>Alba Iulia</t>
        </is>
      </c>
      <c r="P1308" s="12" t="n">
        <v>46297</v>
      </c>
      <c r="Q1308">
        <f>IF(COUNTIF(tbl_Localitati[oras_oficial],[@oras])=0,"ORAS NEALINIAT",IF(XLOOKUP([@oras],tbl_Localitati[oras_oficial],tbl_Localitati[judet],"?")&lt;&gt;[@judet],"JUDET NECORESPUNZATOR",""))</f>
        <v/>
      </c>
      <c r="R1308">
        <f>IF(XLOOKUP([@categorie],tbl_RegulriTVA[categorie],tbl_RegulriTVA[cota_legala],-1)&lt;&gt;[@cota_tva],"TVA GRESIT","")</f>
        <v/>
      </c>
      <c r="S1308">
        <f>IF([@data_scadentei]&lt;[@data_factura],"SCADENTA INAINTEA FACTURII","")</f>
        <v/>
      </c>
      <c r="T1308">
        <f>IF(NETWORKDAYS.INTL([@data_factura],[@data_factura],1,tbl_SarbatoriLegale[data])=0,"ZI NELUCRATOARE","")</f>
        <v/>
      </c>
      <c r="U1308">
        <f>IF([@motiv_anomalie]="","OK","DE INVESTIGAT")</f>
        <v/>
      </c>
      <c r="V1308">
        <f>TEXTJOIN("; ",TRUE,[@flag_oras],[@flag_tva],[@flag_scadenta],[@flag_zi])</f>
        <v/>
      </c>
    </row>
    <row r="1309">
      <c r="A1309" t="inlineStr">
        <is>
          <t>F-2025-01308</t>
        </is>
      </c>
      <c r="B1309" s="12" t="n">
        <v>46070</v>
      </c>
      <c r="C1309" t="inlineStr">
        <is>
          <t>SC SOLARIS ENERGY SRL</t>
        </is>
      </c>
      <c r="D1309" t="inlineStr">
        <is>
          <t>Prahova</t>
        </is>
      </c>
      <c r="E1309" t="inlineStr">
        <is>
          <t>PRD-002</t>
        </is>
      </c>
      <c r="F1309" t="inlineStr">
        <is>
          <t>Termometru digital</t>
        </is>
      </c>
      <c r="G1309" t="inlineStr">
        <is>
          <t>Produse farmaceutice</t>
        </is>
      </c>
      <c r="H1309" t="n">
        <v>3</v>
      </c>
      <c r="I1309" t="n">
        <v>1075.1</v>
      </c>
      <c r="J1309" t="n">
        <v>3225.3</v>
      </c>
      <c r="K1309" s="13" t="n">
        <v>0.09</v>
      </c>
      <c r="L1309" t="n">
        <v>290.28</v>
      </c>
      <c r="M1309" t="n">
        <v>3515.58</v>
      </c>
      <c r="N1309" t="inlineStr">
        <is>
          <t>EUR</t>
        </is>
      </c>
      <c r="O1309" t="inlineStr">
        <is>
          <t>Câmpina</t>
        </is>
      </c>
      <c r="P1309" s="12" t="n">
        <v>46100</v>
      </c>
      <c r="Q1309">
        <f>IF(COUNTIF(tbl_Localitati[oras_oficial],[@oras])=0,"ORAS NEALINIAT",IF(XLOOKUP([@oras],tbl_Localitati[oras_oficial],tbl_Localitati[judet],"?")&lt;&gt;[@judet],"JUDET NECORESPUNZATOR",""))</f>
        <v/>
      </c>
      <c r="R1309">
        <f>IF(XLOOKUP([@categorie],tbl_RegulriTVA[categorie],tbl_RegulriTVA[cota_legala],-1)&lt;&gt;[@cota_tva],"TVA GRESIT","")</f>
        <v/>
      </c>
      <c r="S1309">
        <f>IF([@data_scadentei]&lt;[@data_factura],"SCADENTA INAINTEA FACTURII","")</f>
        <v/>
      </c>
      <c r="T1309">
        <f>IF(NETWORKDAYS.INTL([@data_factura],[@data_factura],1,tbl_SarbatoriLegale[data])=0,"ZI NELUCRATOARE","")</f>
        <v/>
      </c>
      <c r="U1309">
        <f>IF([@motiv_anomalie]="","OK","DE INVESTIGAT")</f>
        <v/>
      </c>
      <c r="V1309">
        <f>TEXTJOIN("; ",TRUE,[@flag_oras],[@flag_tva],[@flag_scadenta],[@flag_zi])</f>
        <v/>
      </c>
    </row>
    <row r="1310">
      <c r="A1310" t="inlineStr">
        <is>
          <t>F-2025-01309</t>
        </is>
      </c>
      <c r="B1310" s="12" t="n">
        <v>46239</v>
      </c>
      <c r="C1310" t="inlineStr">
        <is>
          <t>SC AROMET TRADING SRL</t>
        </is>
      </c>
      <c r="D1310" t="inlineStr">
        <is>
          <t>Alba</t>
        </is>
      </c>
      <c r="E1310" t="inlineStr">
        <is>
          <t>PRD-004</t>
        </is>
      </c>
      <c r="F1310" t="inlineStr">
        <is>
          <t>Training utilizatori</t>
        </is>
      </c>
      <c r="G1310" t="inlineStr">
        <is>
          <t>Servicii consultanță</t>
        </is>
      </c>
      <c r="H1310" t="n">
        <v>2</v>
      </c>
      <c r="I1310" t="n">
        <v>860.88</v>
      </c>
      <c r="J1310" t="n">
        <v>1721.76</v>
      </c>
      <c r="K1310" s="13" t="n">
        <v>0.19</v>
      </c>
      <c r="L1310" t="n">
        <v>327.13</v>
      </c>
      <c r="M1310" t="n">
        <v>2048.89</v>
      </c>
      <c r="N1310" t="inlineStr">
        <is>
          <t>RON</t>
        </is>
      </c>
      <c r="O1310" t="inlineStr">
        <is>
          <t>Alba Iulia</t>
        </is>
      </c>
      <c r="P1310" s="12" t="n">
        <v>46299</v>
      </c>
      <c r="Q1310">
        <f>IF(COUNTIF(tbl_Localitati[oras_oficial],[@oras])=0,"ORAS NEALINIAT",IF(XLOOKUP([@oras],tbl_Localitati[oras_oficial],tbl_Localitati[judet],"?")&lt;&gt;[@judet],"JUDET NECORESPUNZATOR",""))</f>
        <v/>
      </c>
      <c r="R1310">
        <f>IF(XLOOKUP([@categorie],tbl_RegulriTVA[categorie],tbl_RegulriTVA[cota_legala],-1)&lt;&gt;[@cota_tva],"TVA GRESIT","")</f>
        <v/>
      </c>
      <c r="S1310">
        <f>IF([@data_scadentei]&lt;[@data_factura],"SCADENTA INAINTEA FACTURII","")</f>
        <v/>
      </c>
      <c r="T1310">
        <f>IF(NETWORKDAYS.INTL([@data_factura],[@data_factura],1,tbl_SarbatoriLegale[data])=0,"ZI NELUCRATOARE","")</f>
        <v/>
      </c>
      <c r="U1310">
        <f>IF([@motiv_anomalie]="","OK","DE INVESTIGAT")</f>
        <v/>
      </c>
      <c r="V1310">
        <f>TEXTJOIN("; ",TRUE,[@flag_oras],[@flag_tva],[@flag_scadenta],[@flag_zi])</f>
        <v/>
      </c>
    </row>
    <row r="1311">
      <c r="A1311" t="inlineStr">
        <is>
          <t>F-2025-01310</t>
        </is>
      </c>
      <c r="B1311" s="12" t="n">
        <v>46302</v>
      </c>
      <c r="C1311" t="inlineStr">
        <is>
          <t>SC DACTECH SOLUTIONS SRL</t>
        </is>
      </c>
      <c r="D1311" t="inlineStr">
        <is>
          <t>Argeș</t>
        </is>
      </c>
      <c r="E1311" t="inlineStr">
        <is>
          <t>PRD-009</t>
        </is>
      </c>
      <c r="F1311" t="inlineStr">
        <is>
          <t>Pachet protocol sedinte</t>
        </is>
      </c>
      <c r="G1311" t="inlineStr">
        <is>
          <t>Alimente</t>
        </is>
      </c>
      <c r="H1311" t="n">
        <v>100</v>
      </c>
      <c r="I1311" t="n">
        <v>28.91</v>
      </c>
      <c r="J1311" t="n">
        <v>2891</v>
      </c>
      <c r="K1311" s="13" t="n">
        <v>0.09</v>
      </c>
      <c r="L1311" t="n">
        <v>260.19</v>
      </c>
      <c r="M1311" t="n">
        <v>3151.19</v>
      </c>
      <c r="N1311" t="inlineStr">
        <is>
          <t>RON</t>
        </is>
      </c>
      <c r="O1311" t="inlineStr">
        <is>
          <t>Pitești</t>
        </is>
      </c>
      <c r="P1311" s="12" t="n">
        <v>46347</v>
      </c>
      <c r="Q1311">
        <f>IF(COUNTIF(tbl_Localitati[oras_oficial],[@oras])=0,"ORAS NEALINIAT",IF(XLOOKUP([@oras],tbl_Localitati[oras_oficial],tbl_Localitati[judet],"?")&lt;&gt;[@judet],"JUDET NECORESPUNZATOR",""))</f>
        <v/>
      </c>
      <c r="R1311">
        <f>IF(XLOOKUP([@categorie],tbl_RegulriTVA[categorie],tbl_RegulriTVA[cota_legala],-1)&lt;&gt;[@cota_tva],"TVA GRESIT","")</f>
        <v/>
      </c>
      <c r="S1311">
        <f>IF([@data_scadentei]&lt;[@data_factura],"SCADENTA INAINTEA FACTURII","")</f>
        <v/>
      </c>
      <c r="T1311">
        <f>IF(NETWORKDAYS.INTL([@data_factura],[@data_factura],1,tbl_SarbatoriLegale[data])=0,"ZI NELUCRATOARE","")</f>
        <v/>
      </c>
      <c r="U1311">
        <f>IF([@motiv_anomalie]="","OK","DE INVESTIGAT")</f>
        <v/>
      </c>
      <c r="V1311">
        <f>TEXTJOIN("; ",TRUE,[@flag_oras],[@flag_tva],[@flag_scadenta],[@flag_zi])</f>
        <v/>
      </c>
    </row>
    <row r="1312">
      <c r="A1312" t="inlineStr">
        <is>
          <t>F-2025-01311</t>
        </is>
      </c>
      <c r="B1312" s="12" t="n">
        <v>46323</v>
      </c>
      <c r="C1312" t="inlineStr">
        <is>
          <t>SC ELECTROBUILD SRL</t>
        </is>
      </c>
      <c r="D1312" t="inlineStr">
        <is>
          <t>Bacău</t>
        </is>
      </c>
      <c r="E1312" t="inlineStr">
        <is>
          <t>PRD-004</t>
        </is>
      </c>
      <c r="F1312" t="inlineStr">
        <is>
          <t>Multifunctionala laser</t>
        </is>
      </c>
      <c r="G1312" t="inlineStr">
        <is>
          <t>Echipamente birou</t>
        </is>
      </c>
      <c r="H1312" t="n">
        <v>3</v>
      </c>
      <c r="I1312" t="n">
        <v>929.86</v>
      </c>
      <c r="J1312" t="n">
        <v>2789.58</v>
      </c>
      <c r="K1312" s="13" t="n">
        <v>0.19</v>
      </c>
      <c r="L1312" t="n">
        <v>530.02</v>
      </c>
      <c r="M1312" t="n">
        <v>3319.6</v>
      </c>
      <c r="N1312" t="inlineStr">
        <is>
          <t>RON</t>
        </is>
      </c>
      <c r="O1312" t="inlineStr">
        <is>
          <t>Bacău</t>
        </is>
      </c>
      <c r="P1312" s="12" t="n">
        <v>46338</v>
      </c>
      <c r="Q1312">
        <f>IF(COUNTIF(tbl_Localitati[oras_oficial],[@oras])=0,"ORAS NEALINIAT",IF(XLOOKUP([@oras],tbl_Localitati[oras_oficial],tbl_Localitati[judet],"?")&lt;&gt;[@judet],"JUDET NECORESPUNZATOR",""))</f>
        <v/>
      </c>
      <c r="R1312">
        <f>IF(XLOOKUP([@categorie],tbl_RegulriTVA[categorie],tbl_RegulriTVA[cota_legala],-1)&lt;&gt;[@cota_tva],"TVA GRESIT","")</f>
        <v/>
      </c>
      <c r="S1312">
        <f>IF([@data_scadentei]&lt;[@data_factura],"SCADENTA INAINTEA FACTURII","")</f>
        <v/>
      </c>
      <c r="T1312">
        <f>IF(NETWORKDAYS.INTL([@data_factura],[@data_factura],1,tbl_SarbatoriLegale[data])=0,"ZI NELUCRATOARE","")</f>
        <v/>
      </c>
      <c r="U1312">
        <f>IF([@motiv_anomalie]="","OK","DE INVESTIGAT")</f>
        <v/>
      </c>
      <c r="V1312">
        <f>TEXTJOIN("; ",TRUE,[@flag_oras],[@flag_tva],[@flag_scadenta],[@flag_zi])</f>
        <v/>
      </c>
    </row>
    <row r="1313">
      <c r="A1313" t="inlineStr">
        <is>
          <t>F-2025-01312</t>
        </is>
      </c>
      <c r="B1313" s="12" t="n">
        <v>46169</v>
      </c>
      <c r="C1313" t="inlineStr">
        <is>
          <t>SC AROMET TRADING SRL</t>
        </is>
      </c>
      <c r="D1313" t="inlineStr">
        <is>
          <t>Alba</t>
        </is>
      </c>
      <c r="E1313" t="inlineStr">
        <is>
          <t>PRD-004</t>
        </is>
      </c>
      <c r="F1313" t="inlineStr">
        <is>
          <t>Laptop business 15"</t>
        </is>
      </c>
      <c r="G1313" t="inlineStr">
        <is>
          <t>Hardware IT</t>
        </is>
      </c>
      <c r="H1313" t="n">
        <v>1</v>
      </c>
      <c r="I1313" t="n">
        <v>938.22</v>
      </c>
      <c r="J1313" t="n">
        <v>938.22</v>
      </c>
      <c r="K1313" s="13" t="n">
        <v>0.19</v>
      </c>
      <c r="L1313" t="n">
        <v>178.26</v>
      </c>
      <c r="M1313" t="n">
        <v>1116.48</v>
      </c>
      <c r="N1313" t="inlineStr">
        <is>
          <t>RON</t>
        </is>
      </c>
      <c r="O1313" t="inlineStr">
        <is>
          <t>Alba Iulia</t>
        </is>
      </c>
      <c r="P1313" s="12" t="n">
        <v>46199</v>
      </c>
      <c r="Q1313">
        <f>IF(COUNTIF(tbl_Localitati[oras_oficial],[@oras])=0,"ORAS NEALINIAT",IF(XLOOKUP([@oras],tbl_Localitati[oras_oficial],tbl_Localitati[judet],"?")&lt;&gt;[@judet],"JUDET NECORESPUNZATOR",""))</f>
        <v/>
      </c>
      <c r="R1313">
        <f>IF(XLOOKUP([@categorie],tbl_RegulriTVA[categorie],tbl_RegulriTVA[cota_legala],-1)&lt;&gt;[@cota_tva],"TVA GRESIT","")</f>
        <v/>
      </c>
      <c r="S1313">
        <f>IF([@data_scadentei]&lt;[@data_factura],"SCADENTA INAINTEA FACTURII","")</f>
        <v/>
      </c>
      <c r="T1313">
        <f>IF(NETWORKDAYS.INTL([@data_factura],[@data_factura],1,tbl_SarbatoriLegale[data])=0,"ZI NELUCRATOARE","")</f>
        <v/>
      </c>
      <c r="U1313">
        <f>IF([@motiv_anomalie]="","OK","DE INVESTIGAT")</f>
        <v/>
      </c>
      <c r="V1313">
        <f>TEXTJOIN("; ",TRUE,[@flag_oras],[@flag_tva],[@flag_scadenta],[@flag_zi])</f>
        <v/>
      </c>
    </row>
    <row r="1314">
      <c r="A1314" t="inlineStr">
        <is>
          <t>F-2025-01313</t>
        </is>
      </c>
      <c r="B1314" s="12" t="n">
        <v>46049</v>
      </c>
      <c r="C1314" t="inlineStr">
        <is>
          <t>SC RAPID LOGISTIC SA</t>
        </is>
      </c>
      <c r="D1314" t="inlineStr">
        <is>
          <t>Prahova</t>
        </is>
      </c>
      <c r="E1314" t="inlineStr">
        <is>
          <t>PRD-011</t>
        </is>
      </c>
      <c r="F1314" t="inlineStr">
        <is>
          <t>Pachet protocol sedinte</t>
        </is>
      </c>
      <c r="G1314" t="inlineStr">
        <is>
          <t>Alimente</t>
        </is>
      </c>
      <c r="H1314" t="n">
        <v>20</v>
      </c>
      <c r="I1314" t="n">
        <v>44.17</v>
      </c>
      <c r="J1314" t="n">
        <v>883.4</v>
      </c>
      <c r="K1314" s="13" t="n">
        <v>0.09</v>
      </c>
      <c r="L1314" t="n">
        <v>79.51000000000001</v>
      </c>
      <c r="M1314" t="n">
        <v>962.91</v>
      </c>
      <c r="N1314" t="inlineStr">
        <is>
          <t>RON</t>
        </is>
      </c>
      <c r="O1314" t="inlineStr">
        <is>
          <t>Ploiești</t>
        </is>
      </c>
      <c r="P1314" s="12" t="n">
        <v>46079</v>
      </c>
      <c r="Q1314">
        <f>IF(COUNTIF(tbl_Localitati[oras_oficial],[@oras])=0,"ORAS NEALINIAT",IF(XLOOKUP([@oras],tbl_Localitati[oras_oficial],tbl_Localitati[judet],"?")&lt;&gt;[@judet],"JUDET NECORESPUNZATOR",""))</f>
        <v/>
      </c>
      <c r="R1314">
        <f>IF(XLOOKUP([@categorie],tbl_RegulriTVA[categorie],tbl_RegulriTVA[cota_legala],-1)&lt;&gt;[@cota_tva],"TVA GRESIT","")</f>
        <v/>
      </c>
      <c r="S1314">
        <f>IF([@data_scadentei]&lt;[@data_factura],"SCADENTA INAINTEA FACTURII","")</f>
        <v/>
      </c>
      <c r="T1314">
        <f>IF(NETWORKDAYS.INTL([@data_factura],[@data_factura],1,tbl_SarbatoriLegale[data])=0,"ZI NELUCRATOARE","")</f>
        <v/>
      </c>
      <c r="U1314">
        <f>IF([@motiv_anomalie]="","OK","DE INVESTIGAT")</f>
        <v/>
      </c>
      <c r="V1314">
        <f>TEXTJOIN("; ",TRUE,[@flag_oras],[@flag_tva],[@flag_scadenta],[@flag_zi])</f>
        <v/>
      </c>
    </row>
    <row r="1315">
      <c r="A1315" t="inlineStr">
        <is>
          <t>F-2025-01314</t>
        </is>
      </c>
      <c r="B1315" s="12" t="n">
        <v>46316</v>
      </c>
      <c r="C1315" t="inlineStr">
        <is>
          <t>SC METALPLAST INVEST SA</t>
        </is>
      </c>
      <c r="D1315" t="inlineStr">
        <is>
          <t>Cluj</t>
        </is>
      </c>
      <c r="E1315" t="inlineStr">
        <is>
          <t>PRD-007</t>
        </is>
      </c>
      <c r="F1315" t="inlineStr">
        <is>
          <t>Ghid legislatie GDPR</t>
        </is>
      </c>
      <c r="G1315" t="inlineStr">
        <is>
          <t>Cărți și manuale</t>
        </is>
      </c>
      <c r="H1315" t="n">
        <v>5</v>
      </c>
      <c r="I1315" t="n">
        <v>172.5</v>
      </c>
      <c r="J1315" t="n">
        <v>862.5</v>
      </c>
      <c r="K1315" s="13" t="n">
        <v>0.05</v>
      </c>
      <c r="L1315" t="n">
        <v>43.12</v>
      </c>
      <c r="M1315" t="n">
        <v>905.62</v>
      </c>
      <c r="N1315" t="inlineStr">
        <is>
          <t>RON</t>
        </is>
      </c>
      <c r="O1315" t="inlineStr">
        <is>
          <t>Turda</t>
        </is>
      </c>
      <c r="P1315" s="12" t="n">
        <v>46346</v>
      </c>
      <c r="Q1315">
        <f>IF(COUNTIF(tbl_Localitati[oras_oficial],[@oras])=0,"ORAS NEALINIAT",IF(XLOOKUP([@oras],tbl_Localitati[oras_oficial],tbl_Localitati[judet],"?")&lt;&gt;[@judet],"JUDET NECORESPUNZATOR",""))</f>
        <v/>
      </c>
      <c r="R1315">
        <f>IF(XLOOKUP([@categorie],tbl_RegulriTVA[categorie],tbl_RegulriTVA[cota_legala],-1)&lt;&gt;[@cota_tva],"TVA GRESIT","")</f>
        <v/>
      </c>
      <c r="S1315">
        <f>IF([@data_scadentei]&lt;[@data_factura],"SCADENTA INAINTEA FACTURII","")</f>
        <v/>
      </c>
      <c r="T1315">
        <f>IF(NETWORKDAYS.INTL([@data_factura],[@data_factura],1,tbl_SarbatoriLegale[data])=0,"ZI NELUCRATOARE","")</f>
        <v/>
      </c>
      <c r="U1315">
        <f>IF([@motiv_anomalie]="","OK","DE INVESTIGAT")</f>
        <v/>
      </c>
      <c r="V1315">
        <f>TEXTJOIN("; ",TRUE,[@flag_oras],[@flag_tva],[@flag_scadenta],[@flag_zi])</f>
        <v/>
      </c>
    </row>
    <row r="1316">
      <c r="A1316" t="inlineStr">
        <is>
          <t>F-2025-01315</t>
        </is>
      </c>
      <c r="B1316" s="12" t="n">
        <v>46119</v>
      </c>
      <c r="C1316" t="inlineStr">
        <is>
          <t>SC AROMET TRADING SRL</t>
        </is>
      </c>
      <c r="D1316" t="inlineStr">
        <is>
          <t>Alba</t>
        </is>
      </c>
      <c r="E1316" t="inlineStr">
        <is>
          <t>PRD-002</t>
        </is>
      </c>
      <c r="F1316" t="inlineStr">
        <is>
          <t>Trusa prim ajutor</t>
        </is>
      </c>
      <c r="G1316" t="inlineStr">
        <is>
          <t>Produse farmaceutice</t>
        </is>
      </c>
      <c r="H1316" t="n">
        <v>5</v>
      </c>
      <c r="I1316" t="n">
        <v>1045.8</v>
      </c>
      <c r="J1316" t="n">
        <v>5229</v>
      </c>
      <c r="K1316" s="13" t="n">
        <v>0.09</v>
      </c>
      <c r="L1316" t="n">
        <v>470.61</v>
      </c>
      <c r="M1316" t="n">
        <v>5699.61</v>
      </c>
      <c r="N1316" t="inlineStr">
        <is>
          <t>RON</t>
        </is>
      </c>
      <c r="O1316" t="inlineStr">
        <is>
          <t>Cluj</t>
        </is>
      </c>
      <c r="P1316" s="12" t="n">
        <v>46149</v>
      </c>
      <c r="Q1316">
        <f>IF(COUNTIF(tbl_Localitati[oras_oficial],[@oras])=0,"ORAS NEALINIAT",IF(XLOOKUP([@oras],tbl_Localitati[oras_oficial],tbl_Localitati[judet],"?")&lt;&gt;[@judet],"JUDET NECORESPUNZATOR",""))</f>
        <v/>
      </c>
      <c r="R1316">
        <f>IF(XLOOKUP([@categorie],tbl_RegulriTVA[categorie],tbl_RegulriTVA[cota_legala],-1)&lt;&gt;[@cota_tva],"TVA GRESIT","")</f>
        <v/>
      </c>
      <c r="S1316">
        <f>IF([@data_scadentei]&lt;[@data_factura],"SCADENTA INAINTEA FACTURII","")</f>
        <v/>
      </c>
      <c r="T1316">
        <f>IF(NETWORKDAYS.INTL([@data_factura],[@data_factura],1,tbl_SarbatoriLegale[data])=0,"ZI NELUCRATOARE","")</f>
        <v/>
      </c>
      <c r="U1316">
        <f>IF([@motiv_anomalie]="","OK","DE INVESTIGAT")</f>
        <v/>
      </c>
      <c r="V1316">
        <f>TEXTJOIN("; ",TRUE,[@flag_oras],[@flag_tva],[@flag_scadenta],[@flag_zi])</f>
        <v/>
      </c>
    </row>
    <row r="1317">
      <c r="A1317" t="inlineStr">
        <is>
          <t>F-2025-01316</t>
        </is>
      </c>
      <c r="B1317" s="12" t="n">
        <v>46315</v>
      </c>
      <c r="C1317" t="inlineStr">
        <is>
          <t>SC INTEGROMED SA</t>
        </is>
      </c>
      <c r="D1317" t="inlineStr">
        <is>
          <t>Cluj</t>
        </is>
      </c>
      <c r="E1317" t="inlineStr">
        <is>
          <t>PRD-005</t>
        </is>
      </c>
      <c r="F1317" t="inlineStr">
        <is>
          <t>Dezinfectant maini 5L</t>
        </is>
      </c>
      <c r="G1317" t="inlineStr">
        <is>
          <t>Produse farmaceutice</t>
        </is>
      </c>
      <c r="H1317" t="n">
        <v>5</v>
      </c>
      <c r="I1317" t="n">
        <v>250.91</v>
      </c>
      <c r="J1317" t="n">
        <v>1254.55</v>
      </c>
      <c r="K1317" s="13" t="n">
        <v>0.09</v>
      </c>
      <c r="L1317" t="n">
        <v>112.91</v>
      </c>
      <c r="M1317" t="n">
        <v>1367.46</v>
      </c>
      <c r="N1317" t="inlineStr">
        <is>
          <t>EUR</t>
        </is>
      </c>
      <c r="O1317" t="inlineStr">
        <is>
          <t>Cluj-Napoca</t>
        </is>
      </c>
      <c r="P1317" s="12" t="n">
        <v>46345</v>
      </c>
      <c r="Q1317">
        <f>IF(COUNTIF(tbl_Localitati[oras_oficial],[@oras])=0,"ORAS NEALINIAT",IF(XLOOKUP([@oras],tbl_Localitati[oras_oficial],tbl_Localitati[judet],"?")&lt;&gt;[@judet],"JUDET NECORESPUNZATOR",""))</f>
        <v/>
      </c>
      <c r="R1317">
        <f>IF(XLOOKUP([@categorie],tbl_RegulriTVA[categorie],tbl_RegulriTVA[cota_legala],-1)&lt;&gt;[@cota_tva],"TVA GRESIT","")</f>
        <v/>
      </c>
      <c r="S1317">
        <f>IF([@data_scadentei]&lt;[@data_factura],"SCADENTA INAINTEA FACTURII","")</f>
        <v/>
      </c>
      <c r="T1317">
        <f>IF(NETWORKDAYS.INTL([@data_factura],[@data_factura],1,tbl_SarbatoriLegale[data])=0,"ZI NELUCRATOARE","")</f>
        <v/>
      </c>
      <c r="U1317">
        <f>IF([@motiv_anomalie]="","OK","DE INVESTIGAT")</f>
        <v/>
      </c>
      <c r="V1317">
        <f>TEXTJOIN("; ",TRUE,[@flag_oras],[@flag_tva],[@flag_scadenta],[@flag_zi])</f>
        <v/>
      </c>
    </row>
    <row r="1318">
      <c r="A1318" t="inlineStr">
        <is>
          <t>F-2025-01317</t>
        </is>
      </c>
      <c r="B1318" s="12" t="n">
        <v>46227</v>
      </c>
      <c r="C1318" t="inlineStr">
        <is>
          <t>SC INTEGROMED SA</t>
        </is>
      </c>
      <c r="D1318" t="inlineStr">
        <is>
          <t>Cluj</t>
        </is>
      </c>
      <c r="E1318" t="inlineStr">
        <is>
          <t>PRD-006</t>
        </is>
      </c>
      <c r="F1318" t="inlineStr">
        <is>
          <t>Ghid legislatie GDPR</t>
        </is>
      </c>
      <c r="G1318" t="inlineStr">
        <is>
          <t>Cărți și manuale</t>
        </is>
      </c>
      <c r="H1318" t="n">
        <v>5</v>
      </c>
      <c r="I1318" t="n">
        <v>785.46</v>
      </c>
      <c r="J1318" t="n">
        <v>3927.3</v>
      </c>
      <c r="K1318" s="13" t="n">
        <v>0.05</v>
      </c>
      <c r="L1318" t="n">
        <v>196.37</v>
      </c>
      <c r="M1318" t="n">
        <v>4123.67</v>
      </c>
      <c r="N1318" t="inlineStr">
        <is>
          <t>RON</t>
        </is>
      </c>
      <c r="O1318" t="inlineStr">
        <is>
          <t>Cluj-Napoca</t>
        </is>
      </c>
      <c r="P1318" s="12" t="n">
        <v>46242</v>
      </c>
      <c r="Q1318">
        <f>IF(COUNTIF(tbl_Localitati[oras_oficial],[@oras])=0,"ORAS NEALINIAT",IF(XLOOKUP([@oras],tbl_Localitati[oras_oficial],tbl_Localitati[judet],"?")&lt;&gt;[@judet],"JUDET NECORESPUNZATOR",""))</f>
        <v/>
      </c>
      <c r="R1318">
        <f>IF(XLOOKUP([@categorie],tbl_RegulriTVA[categorie],tbl_RegulriTVA[cota_legala],-1)&lt;&gt;[@cota_tva],"TVA GRESIT","")</f>
        <v/>
      </c>
      <c r="S1318">
        <f>IF([@data_scadentei]&lt;[@data_factura],"SCADENTA INAINTEA FACTURII","")</f>
        <v/>
      </c>
      <c r="T1318">
        <f>IF(NETWORKDAYS.INTL([@data_factura],[@data_factura],1,tbl_SarbatoriLegale[data])=0,"ZI NELUCRATOARE","")</f>
        <v/>
      </c>
      <c r="U1318">
        <f>IF([@motiv_anomalie]="","OK","DE INVESTIGAT")</f>
        <v/>
      </c>
      <c r="V1318">
        <f>TEXTJOIN("; ",TRUE,[@flag_oras],[@flag_tva],[@flag_scadenta],[@flag_zi])</f>
        <v/>
      </c>
    </row>
    <row r="1319">
      <c r="A1319" t="inlineStr">
        <is>
          <t>F-2025-01318</t>
        </is>
      </c>
      <c r="B1319" s="12" t="n">
        <v>46065</v>
      </c>
      <c r="C1319" t="inlineStr">
        <is>
          <t>SC INTEGROMED SA</t>
        </is>
      </c>
      <c r="D1319" t="inlineStr">
        <is>
          <t>Cluj</t>
        </is>
      </c>
      <c r="E1319" t="inlineStr">
        <is>
          <t>PRD-004</t>
        </is>
      </c>
      <c r="F1319" t="inlineStr">
        <is>
          <t>Tocator documente</t>
        </is>
      </c>
      <c r="G1319" t="inlineStr">
        <is>
          <t>Echipamente birou</t>
        </is>
      </c>
      <c r="H1319" t="n">
        <v>10</v>
      </c>
      <c r="I1319" t="n">
        <v>898.77</v>
      </c>
      <c r="J1319" t="n">
        <v>8987.700000000001</v>
      </c>
      <c r="K1319" s="13" t="n">
        <v>0.19</v>
      </c>
      <c r="L1319" t="n">
        <v>1707.66</v>
      </c>
      <c r="M1319" t="n">
        <v>10695.36</v>
      </c>
      <c r="N1319" t="inlineStr">
        <is>
          <t>RON</t>
        </is>
      </c>
      <c r="O1319" t="inlineStr">
        <is>
          <t>Cluj-Napoca</t>
        </is>
      </c>
      <c r="P1319" s="12" t="n">
        <v>46110</v>
      </c>
      <c r="Q1319">
        <f>IF(COUNTIF(tbl_Localitati[oras_oficial],[@oras])=0,"ORAS NEALINIAT",IF(XLOOKUP([@oras],tbl_Localitati[oras_oficial],tbl_Localitati[judet],"?")&lt;&gt;[@judet],"JUDET NECORESPUNZATOR",""))</f>
        <v/>
      </c>
      <c r="R1319">
        <f>IF(XLOOKUP([@categorie],tbl_RegulriTVA[categorie],tbl_RegulriTVA[cota_legala],-1)&lt;&gt;[@cota_tva],"TVA GRESIT","")</f>
        <v/>
      </c>
      <c r="S1319">
        <f>IF([@data_scadentei]&lt;[@data_factura],"SCADENTA INAINTEA FACTURII","")</f>
        <v/>
      </c>
      <c r="T1319">
        <f>IF(NETWORKDAYS.INTL([@data_factura],[@data_factura],1,tbl_SarbatoriLegale[data])=0,"ZI NELUCRATOARE","")</f>
        <v/>
      </c>
      <c r="U1319">
        <f>IF([@motiv_anomalie]="","OK","DE INVESTIGAT")</f>
        <v/>
      </c>
      <c r="V1319">
        <f>TEXTJOIN("; ",TRUE,[@flag_oras],[@flag_tva],[@flag_scadenta],[@flag_zi])</f>
        <v/>
      </c>
    </row>
    <row r="1320">
      <c r="A1320" t="inlineStr">
        <is>
          <t>F-2025-01319</t>
        </is>
      </c>
      <c r="B1320" s="12" t="n">
        <v>46266</v>
      </c>
      <c r="C1320" t="inlineStr">
        <is>
          <t>SC AROMET TRADING SRL</t>
        </is>
      </c>
      <c r="D1320" t="inlineStr">
        <is>
          <t>Alba</t>
        </is>
      </c>
      <c r="E1320" t="inlineStr">
        <is>
          <t>PRD-003</t>
        </is>
      </c>
      <c r="F1320" t="inlineStr">
        <is>
          <t>Set carti formare</t>
        </is>
      </c>
      <c r="G1320" t="inlineStr">
        <is>
          <t>Cărți și manuale</t>
        </is>
      </c>
      <c r="H1320" t="n">
        <v>1</v>
      </c>
      <c r="I1320" t="n">
        <v>4369.54</v>
      </c>
      <c r="J1320" t="n">
        <v>4369.54</v>
      </c>
      <c r="K1320" s="13" t="n">
        <v>0.05</v>
      </c>
      <c r="L1320" t="n">
        <v>218.48</v>
      </c>
      <c r="M1320" t="n">
        <v>4588.02</v>
      </c>
      <c r="N1320" t="inlineStr">
        <is>
          <t>RON</t>
        </is>
      </c>
      <c r="O1320" t="inlineStr">
        <is>
          <t>Alba Iulia</t>
        </is>
      </c>
      <c r="P1320" s="12" t="n">
        <v>46311</v>
      </c>
      <c r="Q1320">
        <f>IF(COUNTIF(tbl_Localitati[oras_oficial],[@oras])=0,"ORAS NEALINIAT",IF(XLOOKUP([@oras],tbl_Localitati[oras_oficial],tbl_Localitati[judet],"?")&lt;&gt;[@judet],"JUDET NECORESPUNZATOR",""))</f>
        <v/>
      </c>
      <c r="R1320">
        <f>IF(XLOOKUP([@categorie],tbl_RegulriTVA[categorie],tbl_RegulriTVA[cota_legala],-1)&lt;&gt;[@cota_tva],"TVA GRESIT","")</f>
        <v/>
      </c>
      <c r="S1320">
        <f>IF([@data_scadentei]&lt;[@data_factura],"SCADENTA INAINTEA FACTURII","")</f>
        <v/>
      </c>
      <c r="T1320">
        <f>IF(NETWORKDAYS.INTL([@data_factura],[@data_factura],1,tbl_SarbatoriLegale[data])=0,"ZI NELUCRATOARE","")</f>
        <v/>
      </c>
      <c r="U1320">
        <f>IF([@motiv_anomalie]="","OK","DE INVESTIGAT")</f>
        <v/>
      </c>
      <c r="V1320">
        <f>TEXTJOIN("; ",TRUE,[@flag_oras],[@flag_tva],[@flag_scadenta],[@flag_zi])</f>
        <v/>
      </c>
    </row>
    <row r="1321">
      <c r="A1321" t="inlineStr">
        <is>
          <t>F-2025-01320</t>
        </is>
      </c>
      <c r="B1321" s="12" t="n">
        <v>46217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Licenta ERP contabilitate</t>
        </is>
      </c>
      <c r="G1321" t="inlineStr">
        <is>
          <t>Licențe software</t>
        </is>
      </c>
      <c r="H1321" t="n">
        <v>3</v>
      </c>
      <c r="I1321" t="n">
        <v>889.1</v>
      </c>
      <c r="J1321" t="n">
        <v>2667.3</v>
      </c>
      <c r="K1321" s="13" t="n">
        <v>0.19</v>
      </c>
      <c r="L1321" t="n">
        <v>506.79</v>
      </c>
      <c r="M1321" t="n">
        <v>3174.09</v>
      </c>
      <c r="N1321" t="inlineStr">
        <is>
          <t>RON</t>
        </is>
      </c>
      <c r="O1321" t="inlineStr">
        <is>
          <t>Sibiu</t>
        </is>
      </c>
      <c r="P1321" s="12" t="n">
        <v>46277</v>
      </c>
      <c r="Q1321">
        <f>IF(COUNTIF(tbl_Localitati[oras_oficial],[@oras])=0,"ORAS NEALINIAT",IF(XLOOKUP([@oras],tbl_Localitati[oras_oficial],tbl_Localitati[judet],"?")&lt;&gt;[@judet],"JUDET NECORESPUNZATOR",""))</f>
        <v/>
      </c>
      <c r="R1321">
        <f>IF(XLOOKUP([@categorie],tbl_RegulriTVA[categorie],tbl_RegulriTVA[cota_legala],-1)&lt;&gt;[@cota_tva],"TVA GRESIT","")</f>
        <v/>
      </c>
      <c r="S1321">
        <f>IF([@data_scadentei]&lt;[@data_factura],"SCADENTA INAINTEA FACTURII","")</f>
        <v/>
      </c>
      <c r="T1321">
        <f>IF(NETWORKDAYS.INTL([@data_factura],[@data_factura],1,tbl_SarbatoriLegale[data])=0,"ZI NELUCRATOARE","")</f>
        <v/>
      </c>
      <c r="U1321">
        <f>IF([@motiv_anomalie]="","OK","DE INVESTIGAT")</f>
        <v/>
      </c>
      <c r="V1321">
        <f>TEXTJOIN("; ",TRUE,[@flag_oras],[@flag_tva],[@flag_scadenta],[@flag_zi])</f>
        <v/>
      </c>
    </row>
    <row r="1322">
      <c r="A1322" t="inlineStr">
        <is>
          <t>F-2025-01321</t>
        </is>
      </c>
      <c r="B1322" s="12" t="n">
        <v>46273</v>
      </c>
      <c r="C1322" t="inlineStr">
        <is>
          <t>SC DACTECH SOLUTIONS SRL</t>
        </is>
      </c>
      <c r="D1322" t="inlineStr">
        <is>
          <t>Argeș</t>
        </is>
      </c>
      <c r="E1322" t="inlineStr">
        <is>
          <t>PRD-009</t>
        </is>
      </c>
      <c r="F1322" t="inlineStr">
        <is>
          <t>Termometru digital</t>
        </is>
      </c>
      <c r="G1322" t="inlineStr">
        <is>
          <t>Produse farmaceutice</t>
        </is>
      </c>
      <c r="H1322" t="n">
        <v>50</v>
      </c>
      <c r="I1322" t="n">
        <v>28.56</v>
      </c>
      <c r="J1322" t="n">
        <v>1428</v>
      </c>
      <c r="K1322" s="13" t="n">
        <v>0.09</v>
      </c>
      <c r="L1322" t="n">
        <v>128.52</v>
      </c>
      <c r="M1322" t="n">
        <v>1556.52</v>
      </c>
      <c r="N1322" t="inlineStr">
        <is>
          <t>RON</t>
        </is>
      </c>
      <c r="O1322" t="inlineStr">
        <is>
          <t>Pitești</t>
        </is>
      </c>
      <c r="P1322" s="12" t="n">
        <v>46288</v>
      </c>
      <c r="Q1322">
        <f>IF(COUNTIF(tbl_Localitati[oras_oficial],[@oras])=0,"ORAS NEALINIAT",IF(XLOOKUP([@oras],tbl_Localitati[oras_oficial],tbl_Localitati[judet],"?")&lt;&gt;[@judet],"JUDET NECORESPUNZATOR",""))</f>
        <v/>
      </c>
      <c r="R1322">
        <f>IF(XLOOKUP([@categorie],tbl_RegulriTVA[categorie],tbl_RegulriTVA[cota_legala],-1)&lt;&gt;[@cota_tva],"TVA GRESIT","")</f>
        <v/>
      </c>
      <c r="S1322">
        <f>IF([@data_scadentei]&lt;[@data_factura],"SCADENTA INAINTEA FACTURII","")</f>
        <v/>
      </c>
      <c r="T1322">
        <f>IF(NETWORKDAYS.INTL([@data_factura],[@data_factura],1,tbl_SarbatoriLegale[data])=0,"ZI NELUCRATOARE","")</f>
        <v/>
      </c>
      <c r="U1322">
        <f>IF([@motiv_anomalie]="","OK","DE INVESTIGAT")</f>
        <v/>
      </c>
      <c r="V1322">
        <f>TEXTJOIN("; ",TRUE,[@flag_oras],[@flag_tva],[@flag_scadenta],[@flag_zi])</f>
        <v/>
      </c>
    </row>
    <row r="1323">
      <c r="A1323" t="inlineStr">
        <is>
          <t>F-2025-01322</t>
        </is>
      </c>
      <c r="B1323" s="12" t="n">
        <v>46183</v>
      </c>
      <c r="C1323" t="inlineStr">
        <is>
          <t>SC VECTOR CONSULT SRL</t>
        </is>
      </c>
      <c r="D1323" t="inlineStr">
        <is>
          <t>Timiș</t>
        </is>
      </c>
      <c r="E1323" t="inlineStr">
        <is>
          <t>PRD-004</t>
        </is>
      </c>
      <c r="F1323" t="inlineStr">
        <is>
          <t>Videoproiector sala</t>
        </is>
      </c>
      <c r="G1323" t="inlineStr">
        <is>
          <t>Echipamente birou</t>
        </is>
      </c>
      <c r="H1323" t="n">
        <v>10</v>
      </c>
      <c r="I1323" t="n">
        <v>911.34</v>
      </c>
      <c r="J1323" t="n">
        <v>9113.4</v>
      </c>
      <c r="K1323" s="13" t="n">
        <v>0.19</v>
      </c>
      <c r="L1323" t="n">
        <v>1731.55</v>
      </c>
      <c r="M1323" t="n">
        <v>10844.95</v>
      </c>
      <c r="N1323" t="inlineStr">
        <is>
          <t>RON</t>
        </is>
      </c>
      <c r="O1323" t="inlineStr">
        <is>
          <t>Timișoara</t>
        </is>
      </c>
      <c r="P1323" s="12" t="n">
        <v>46243</v>
      </c>
      <c r="Q1323">
        <f>IF(COUNTIF(tbl_Localitati[oras_oficial],[@oras])=0,"ORAS NEALINIAT",IF(XLOOKUP([@oras],tbl_Localitati[oras_oficial],tbl_Localitati[judet],"?")&lt;&gt;[@judet],"JUDET NECORESPUNZATOR",""))</f>
        <v/>
      </c>
      <c r="R1323">
        <f>IF(XLOOKUP([@categorie],tbl_RegulriTVA[categorie],tbl_RegulriTVA[cota_legala],-1)&lt;&gt;[@cota_tva],"TVA GRESIT","")</f>
        <v/>
      </c>
      <c r="S1323">
        <f>IF([@data_scadentei]&lt;[@data_factura],"SCADENTA INAINTEA FACTURII","")</f>
        <v/>
      </c>
      <c r="T1323">
        <f>IF(NETWORKDAYS.INTL([@data_factura],[@data_factura],1,tbl_SarbatoriLegale[data])=0,"ZI NELUCRATOARE","")</f>
        <v/>
      </c>
      <c r="U1323">
        <f>IF([@motiv_anomalie]="","OK","DE INVESTIGAT")</f>
        <v/>
      </c>
      <c r="V1323">
        <f>TEXTJOIN("; ",TRUE,[@flag_oras],[@flag_tva],[@flag_scadenta],[@flag_zi])</f>
        <v/>
      </c>
    </row>
    <row r="1324">
      <c r="A1324" t="inlineStr">
        <is>
          <t>F-2025-01323</t>
        </is>
      </c>
      <c r="B1324" s="12" t="n">
        <v>46048</v>
      </c>
      <c r="C1324" t="inlineStr">
        <is>
          <t>SC INTEGROMED SA</t>
        </is>
      </c>
      <c r="D1324" t="inlineStr">
        <is>
          <t>Cluj</t>
        </is>
      </c>
      <c r="E1324" t="inlineStr">
        <is>
          <t>PRD-005</t>
        </is>
      </c>
      <c r="F1324" t="inlineStr">
        <is>
          <t>Suport tehnic anual</t>
        </is>
      </c>
      <c r="G1324" t="inlineStr">
        <is>
          <t>Servicii consultanță</t>
        </is>
      </c>
      <c r="H1324" t="n">
        <v>1</v>
      </c>
      <c r="I1324" t="n">
        <v>260.54</v>
      </c>
      <c r="J1324" t="n">
        <v>260.54</v>
      </c>
      <c r="K1324" s="13" t="n">
        <v>0.19</v>
      </c>
      <c r="L1324" t="n">
        <v>49.5</v>
      </c>
      <c r="M1324" t="n">
        <v>310.04</v>
      </c>
      <c r="N1324" t="inlineStr">
        <is>
          <t>RON</t>
        </is>
      </c>
      <c r="O1324" t="inlineStr">
        <is>
          <t>Cluj-Napoca</t>
        </is>
      </c>
      <c r="P1324" s="12" t="n">
        <v>46063</v>
      </c>
      <c r="Q1324">
        <f>IF(COUNTIF(tbl_Localitati[oras_oficial],[@oras])=0,"ORAS NEALINIAT",IF(XLOOKUP([@oras],tbl_Localitati[oras_oficial],tbl_Localitati[judet],"?")&lt;&gt;[@judet],"JUDET NECORESPUNZATOR",""))</f>
        <v/>
      </c>
      <c r="R1324">
        <f>IF(XLOOKUP([@categorie],tbl_RegulriTVA[categorie],tbl_RegulriTVA[cota_legala],-1)&lt;&gt;[@cota_tva],"TVA GRESIT","")</f>
        <v/>
      </c>
      <c r="S1324">
        <f>IF([@data_scadentei]&lt;[@data_factura],"SCADENTA INAINTEA FACTURII","")</f>
        <v/>
      </c>
      <c r="T1324">
        <f>IF(NETWORKDAYS.INTL([@data_factura],[@data_factura],1,tbl_SarbatoriLegale[data])=0,"ZI NELUCRATOARE","")</f>
        <v/>
      </c>
      <c r="U1324">
        <f>IF([@motiv_anomalie]="","OK","DE INVESTIGAT")</f>
        <v/>
      </c>
      <c r="V1324">
        <f>TEXTJOIN("; ",TRUE,[@flag_oras],[@flag_tva],[@flag_scadenta],[@flag_zi])</f>
        <v/>
      </c>
    </row>
    <row r="1325">
      <c r="A1325" t="inlineStr">
        <is>
          <t>F-2025-01324</t>
        </is>
      </c>
      <c r="B1325" s="12" t="n">
        <v>46255</v>
      </c>
      <c r="C1325" t="inlineStr">
        <is>
          <t>SC AROMET TRADING SRL</t>
        </is>
      </c>
      <c r="D1325" t="inlineStr">
        <is>
          <t>Alba</t>
        </is>
      </c>
      <c r="E1325" t="inlineStr">
        <is>
          <t>PRD-009</t>
        </is>
      </c>
      <c r="F1325" t="inlineStr">
        <is>
          <t>Statie de lucru desktop</t>
        </is>
      </c>
      <c r="G1325" t="inlineStr">
        <is>
          <t>Hardware IT</t>
        </is>
      </c>
      <c r="H1325" t="n">
        <v>20</v>
      </c>
      <c r="I1325" t="n">
        <v>27.27</v>
      </c>
      <c r="J1325" t="n">
        <v>545.4</v>
      </c>
      <c r="K1325" s="13" t="n">
        <v>0.19</v>
      </c>
      <c r="L1325" t="n">
        <v>103.63</v>
      </c>
      <c r="M1325" t="n">
        <v>649.03</v>
      </c>
      <c r="N1325" t="inlineStr">
        <is>
          <t>RON</t>
        </is>
      </c>
      <c r="O1325" t="inlineStr">
        <is>
          <t>Alba Iulia</t>
        </is>
      </c>
      <c r="P1325" s="12" t="n">
        <v>46285</v>
      </c>
      <c r="Q1325">
        <f>IF(COUNTIF(tbl_Localitati[oras_oficial],[@oras])=0,"ORAS NEALINIAT",IF(XLOOKUP([@oras],tbl_Localitati[oras_oficial],tbl_Localitati[judet],"?")&lt;&gt;[@judet],"JUDET NECORESPUNZATOR",""))</f>
        <v/>
      </c>
      <c r="R1325">
        <f>IF(XLOOKUP([@categorie],tbl_RegulriTVA[categorie],tbl_RegulriTVA[cota_legala],-1)&lt;&gt;[@cota_tva],"TVA GRESIT","")</f>
        <v/>
      </c>
      <c r="S1325">
        <f>IF([@data_scadentei]&lt;[@data_factura],"SCADENTA INAINTEA FACTURII","")</f>
        <v/>
      </c>
      <c r="T1325">
        <f>IF(NETWORKDAYS.INTL([@data_factura],[@data_factura],1,tbl_SarbatoriLegale[data])=0,"ZI NELUCRATOARE","")</f>
        <v/>
      </c>
      <c r="U1325">
        <f>IF([@motiv_anomalie]="","OK","DE INVESTIGAT")</f>
        <v/>
      </c>
      <c r="V1325">
        <f>TEXTJOIN("; ",TRUE,[@flag_oras],[@flag_tva],[@flag_scadenta],[@flag_zi])</f>
        <v/>
      </c>
    </row>
    <row r="1326">
      <c r="A1326" t="inlineStr">
        <is>
          <t>F-2025-01325</t>
        </is>
      </c>
      <c r="B1326" s="12" t="n">
        <v>46287</v>
      </c>
      <c r="C1326" t="inlineStr">
        <is>
          <t>SC INTEGROMED SA</t>
        </is>
      </c>
      <c r="D1326" t="inlineStr">
        <is>
          <t>Cluj</t>
        </is>
      </c>
      <c r="E1326" t="inlineStr">
        <is>
          <t>PRD-008</t>
        </is>
      </c>
      <c r="F1326" t="inlineStr">
        <is>
          <t>Pachet protocol sedinte</t>
        </is>
      </c>
      <c r="G1326" t="inlineStr">
        <is>
          <t>Alimente</t>
        </is>
      </c>
      <c r="H1326" t="n">
        <v>5</v>
      </c>
      <c r="I1326" t="n">
        <v>427.95</v>
      </c>
      <c r="J1326" t="n">
        <v>2139.75</v>
      </c>
      <c r="K1326" s="13" t="n">
        <v>0.09</v>
      </c>
      <c r="L1326" t="n">
        <v>192.58</v>
      </c>
      <c r="M1326" t="n">
        <v>2332.33</v>
      </c>
      <c r="N1326" t="inlineStr">
        <is>
          <t>RON</t>
        </is>
      </c>
      <c r="O1326" t="inlineStr">
        <is>
          <t>Cluj-Napoca</t>
        </is>
      </c>
      <c r="P1326" s="12" t="n">
        <v>46282</v>
      </c>
      <c r="Q1326">
        <f>IF(COUNTIF(tbl_Localitati[oras_oficial],[@oras])=0,"ORAS NEALINIAT",IF(XLOOKUP([@oras],tbl_Localitati[oras_oficial],tbl_Localitati[judet],"?")&lt;&gt;[@judet],"JUDET NECORESPUNZATOR",""))</f>
        <v/>
      </c>
      <c r="R1326">
        <f>IF(XLOOKUP([@categorie],tbl_RegulriTVA[categorie],tbl_RegulriTVA[cota_legala],-1)&lt;&gt;[@cota_tva],"TVA GRESIT","")</f>
        <v/>
      </c>
      <c r="S1326">
        <f>IF([@data_scadentei]&lt;[@data_factura],"SCADENTA INAINTEA FACTURII","")</f>
        <v/>
      </c>
      <c r="T1326">
        <f>IF(NETWORKDAYS.INTL([@data_factura],[@data_factura],1,tbl_SarbatoriLegale[data])=0,"ZI NELUCRATOARE","")</f>
        <v/>
      </c>
      <c r="U1326">
        <f>IF([@motiv_anomalie]="","OK","DE INVESTIGAT")</f>
        <v/>
      </c>
      <c r="V1326">
        <f>TEXTJOIN("; ",TRUE,[@flag_oras],[@flag_tva],[@flag_scadenta],[@flag_zi])</f>
        <v/>
      </c>
    </row>
    <row r="1327">
      <c r="A1327" t="inlineStr">
        <is>
          <t>F-2025-01326</t>
        </is>
      </c>
      <c r="B1327" s="12" t="n">
        <v>46245</v>
      </c>
      <c r="C1327" t="inlineStr">
        <is>
          <t>SC AROMET TRADING SRL</t>
        </is>
      </c>
      <c r="D1327" t="inlineStr">
        <is>
          <t>Alba</t>
        </is>
      </c>
      <c r="E1327" t="inlineStr">
        <is>
          <t>PRD-006</t>
        </is>
      </c>
      <c r="F1327" t="inlineStr">
        <is>
          <t>Carte tehnica IT</t>
        </is>
      </c>
      <c r="G1327" t="inlineStr">
        <is>
          <t>Cărți și manuale</t>
        </is>
      </c>
      <c r="H1327" t="n">
        <v>5</v>
      </c>
      <c r="I1327" t="n">
        <v>780.8099999999999</v>
      </c>
      <c r="J1327" t="n">
        <v>3904.05</v>
      </c>
      <c r="K1327" s="13" t="n">
        <v>0.05</v>
      </c>
      <c r="L1327" t="n">
        <v>195.2</v>
      </c>
      <c r="M1327" t="n">
        <v>4099.25</v>
      </c>
      <c r="N1327" t="inlineStr">
        <is>
          <t>RON</t>
        </is>
      </c>
      <c r="O1327" t="inlineStr">
        <is>
          <t>Alba Iulia</t>
        </is>
      </c>
      <c r="P1327" s="12" t="n">
        <v>46290</v>
      </c>
      <c r="Q1327">
        <f>IF(COUNTIF(tbl_Localitati[oras_oficial],[@oras])=0,"ORAS NEALINIAT",IF(XLOOKUP([@oras],tbl_Localitati[oras_oficial],tbl_Localitati[judet],"?")&lt;&gt;[@judet],"JUDET NECORESPUNZATOR",""))</f>
        <v/>
      </c>
      <c r="R1327">
        <f>IF(XLOOKUP([@categorie],tbl_RegulriTVA[categorie],tbl_RegulriTVA[cota_legala],-1)&lt;&gt;[@cota_tva],"TVA GRESIT","")</f>
        <v/>
      </c>
      <c r="S1327">
        <f>IF([@data_scadentei]&lt;[@data_factura],"SCADENTA INAINTEA FACTURII","")</f>
        <v/>
      </c>
      <c r="T1327">
        <f>IF(NETWORKDAYS.INTL([@data_factura],[@data_factura],1,tbl_SarbatoriLegale[data])=0,"ZI NELUCRATOARE","")</f>
        <v/>
      </c>
      <c r="U1327">
        <f>IF([@motiv_anomalie]="","OK","DE INVESTIGAT")</f>
        <v/>
      </c>
      <c r="V1327">
        <f>TEXTJOIN("; ",TRUE,[@flag_oras],[@flag_tva],[@flag_scadenta],[@flag_zi])</f>
        <v/>
      </c>
    </row>
    <row r="1328">
      <c r="A1328" t="inlineStr">
        <is>
          <t>F-2025-01327</t>
        </is>
      </c>
      <c r="B1328" s="12" t="n">
        <v>46294</v>
      </c>
      <c r="C1328" t="inlineStr">
        <is>
          <t>SC FARMAVITAL DISTRIBUTIE SA</t>
        </is>
      </c>
      <c r="D1328" t="inlineStr">
        <is>
          <t>Bihor</t>
        </is>
      </c>
      <c r="E1328" t="inlineStr">
        <is>
          <t>PRD-009</t>
        </is>
      </c>
      <c r="F1328" t="inlineStr">
        <is>
          <t>Ghid legislatie GDPR</t>
        </is>
      </c>
      <c r="G1328" t="inlineStr">
        <is>
          <t>Cărți și manuale</t>
        </is>
      </c>
      <c r="H1328" t="n">
        <v>20</v>
      </c>
      <c r="I1328" t="n">
        <v>27.37</v>
      </c>
      <c r="J1328" t="n">
        <v>547.4</v>
      </c>
      <c r="K1328" s="13" t="n">
        <v>0.05</v>
      </c>
      <c r="L1328" t="n">
        <v>27.37</v>
      </c>
      <c r="M1328" t="n">
        <v>574.77</v>
      </c>
      <c r="N1328" t="inlineStr">
        <is>
          <t>RON</t>
        </is>
      </c>
      <c r="O1328" t="inlineStr">
        <is>
          <t>Oradea</t>
        </is>
      </c>
      <c r="P1328" s="12" t="n">
        <v>46324</v>
      </c>
      <c r="Q1328">
        <f>IF(COUNTIF(tbl_Localitati[oras_oficial],[@oras])=0,"ORAS NEALINIAT",IF(XLOOKUP([@oras],tbl_Localitati[oras_oficial],tbl_Localitati[judet],"?")&lt;&gt;[@judet],"JUDET NECORESPUNZATOR",""))</f>
        <v/>
      </c>
      <c r="R1328">
        <f>IF(XLOOKUP([@categorie],tbl_RegulriTVA[categorie],tbl_RegulriTVA[cota_legala],-1)&lt;&gt;[@cota_tva],"TVA GRESIT","")</f>
        <v/>
      </c>
      <c r="S1328">
        <f>IF([@data_scadentei]&lt;[@data_factura],"SCADENTA INAINTEA FACTURII","")</f>
        <v/>
      </c>
      <c r="T1328">
        <f>IF(NETWORKDAYS.INTL([@data_factura],[@data_factura],1,tbl_SarbatoriLegale[data])=0,"ZI NELUCRATOARE","")</f>
        <v/>
      </c>
      <c r="U1328">
        <f>IF([@motiv_anomalie]="","OK","DE INVESTIGAT")</f>
        <v/>
      </c>
      <c r="V1328">
        <f>TEXTJOIN("; ",TRUE,[@flag_oras],[@flag_tva],[@flag_scadenta],[@flag_zi])</f>
        <v/>
      </c>
    </row>
    <row r="1329">
      <c r="A1329" t="inlineStr">
        <is>
          <t>F-2025-01328</t>
        </is>
      </c>
      <c r="B1329" s="12" t="n">
        <v>46092</v>
      </c>
      <c r="C1329" t="inlineStr">
        <is>
          <t>SC AROMET TRADING SRL</t>
        </is>
      </c>
      <c r="D1329" t="inlineStr">
        <is>
          <t>Alba</t>
        </is>
      </c>
      <c r="E1329" t="inlineStr">
        <is>
          <t>PRD-002</t>
        </is>
      </c>
      <c r="F1329" t="inlineStr">
        <is>
          <t>Multifunctionala laser</t>
        </is>
      </c>
      <c r="G1329" t="inlineStr">
        <is>
          <t>Echipamente birou</t>
        </is>
      </c>
      <c r="H1329" t="n">
        <v>1</v>
      </c>
      <c r="I1329" t="n">
        <v>1150.55</v>
      </c>
      <c r="J1329" t="n">
        <v>1150.55</v>
      </c>
      <c r="K1329" s="13" t="n">
        <v>0.19</v>
      </c>
      <c r="L1329" t="n">
        <v>218.6</v>
      </c>
      <c r="M1329" t="n">
        <v>1369.15</v>
      </c>
      <c r="N1329" t="inlineStr">
        <is>
          <t>RON</t>
        </is>
      </c>
      <c r="O1329" t="inlineStr">
        <is>
          <t>Alba Iulia</t>
        </is>
      </c>
      <c r="P1329" s="12" t="n">
        <v>46152</v>
      </c>
      <c r="Q1329">
        <f>IF(COUNTIF(tbl_Localitati[oras_oficial],[@oras])=0,"ORAS NEALINIAT",IF(XLOOKUP([@oras],tbl_Localitati[oras_oficial],tbl_Localitati[judet],"?")&lt;&gt;[@judet],"JUDET NECORESPUNZATOR",""))</f>
        <v/>
      </c>
      <c r="R1329">
        <f>IF(XLOOKUP([@categorie],tbl_RegulriTVA[categorie],tbl_RegulriTVA[cota_legala],-1)&lt;&gt;[@cota_tva],"TVA GRESIT","")</f>
        <v/>
      </c>
      <c r="S1329">
        <f>IF([@data_scadentei]&lt;[@data_factura],"SCADENTA INAINTEA FACTURII","")</f>
        <v/>
      </c>
      <c r="T1329">
        <f>IF(NETWORKDAYS.INTL([@data_factura],[@data_factura],1,tbl_SarbatoriLegale[data])=0,"ZI NELUCRATOARE","")</f>
        <v/>
      </c>
      <c r="U1329">
        <f>IF([@motiv_anomalie]="","OK","DE INVESTIGAT")</f>
        <v/>
      </c>
      <c r="V1329">
        <f>TEXTJOIN("; ",TRUE,[@flag_oras],[@flag_tva],[@flag_scadenta],[@flag_zi])</f>
        <v/>
      </c>
    </row>
    <row r="1330">
      <c r="A1330" t="inlineStr">
        <is>
          <t>F-2025-01329</t>
        </is>
      </c>
      <c r="B1330" s="12" t="n">
        <v>46384</v>
      </c>
      <c r="C1330" t="inlineStr">
        <is>
          <t>SC DACTECH SOLUTIONS SRL</t>
        </is>
      </c>
      <c r="D1330" t="inlineStr">
        <is>
          <t>Argeș</t>
        </is>
      </c>
      <c r="E1330" t="inlineStr">
        <is>
          <t>PRD-002</t>
        </is>
      </c>
      <c r="F1330" t="inlineStr">
        <is>
          <t>Switch gigabit 24p</t>
        </is>
      </c>
      <c r="G1330" t="inlineStr">
        <is>
          <t>Hardware IT</t>
        </is>
      </c>
      <c r="H1330" t="n">
        <v>5</v>
      </c>
      <c r="I1330" t="n">
        <v>1065.77</v>
      </c>
      <c r="J1330" t="n">
        <v>5328.85</v>
      </c>
      <c r="K1330" s="13" t="n">
        <v>0.19</v>
      </c>
      <c r="L1330" t="n">
        <v>1012.48</v>
      </c>
      <c r="M1330" t="n">
        <v>6341.33</v>
      </c>
      <c r="N1330" t="inlineStr">
        <is>
          <t>RON</t>
        </is>
      </c>
      <c r="O1330" t="inlineStr">
        <is>
          <t>Pitești</t>
        </is>
      </c>
      <c r="P1330" s="12" t="n">
        <v>46414</v>
      </c>
      <c r="Q1330">
        <f>IF(COUNTIF(tbl_Localitati[oras_oficial],[@oras])=0,"ORAS NEALINIAT",IF(XLOOKUP([@oras],tbl_Localitati[oras_oficial],tbl_Localitati[judet],"?")&lt;&gt;[@judet],"JUDET NECORESPUNZATOR",""))</f>
        <v/>
      </c>
      <c r="R1330">
        <f>IF(XLOOKUP([@categorie],tbl_RegulriTVA[categorie],tbl_RegulriTVA[cota_legala],-1)&lt;&gt;[@cota_tva],"TVA GRESIT","")</f>
        <v/>
      </c>
      <c r="S1330">
        <f>IF([@data_scadentei]&lt;[@data_factura],"SCADENTA INAINTEA FACTURII","")</f>
        <v/>
      </c>
      <c r="T1330">
        <f>IF(NETWORKDAYS.INTL([@data_factura],[@data_factura],1,tbl_SarbatoriLegale[data])=0,"ZI NELUCRATOARE","")</f>
        <v/>
      </c>
      <c r="U1330">
        <f>IF([@motiv_anomalie]="","OK","DE INVESTIGAT")</f>
        <v/>
      </c>
      <c r="V1330">
        <f>TEXTJOIN("; ",TRUE,[@flag_oras],[@flag_tva],[@flag_scadenta],[@flag_zi])</f>
        <v/>
      </c>
    </row>
    <row r="1331">
      <c r="A1331" t="inlineStr">
        <is>
          <t>F-2025-01330</t>
        </is>
      </c>
      <c r="B1331" s="12" t="n">
        <v>46168</v>
      </c>
      <c r="C1331" t="inlineStr">
        <is>
          <t>SC AROMET TRADING SRL</t>
        </is>
      </c>
      <c r="D1331" t="inlineStr">
        <is>
          <t>Alba</t>
        </is>
      </c>
      <c r="E1331" t="inlineStr">
        <is>
          <t>PRD-010</t>
        </is>
      </c>
      <c r="F1331" t="inlineStr">
        <is>
          <t>Server rack 1U</t>
        </is>
      </c>
      <c r="G1331" t="inlineStr">
        <is>
          <t>Hardware IT</t>
        </is>
      </c>
      <c r="H1331" t="n">
        <v>10</v>
      </c>
      <c r="I1331" t="n">
        <v>362.5</v>
      </c>
      <c r="J1331" t="n">
        <v>3625</v>
      </c>
      <c r="K1331" s="13" t="n">
        <v>0.19</v>
      </c>
      <c r="L1331" t="n">
        <v>688.75</v>
      </c>
      <c r="M1331" t="n">
        <v>4313.75</v>
      </c>
      <c r="N1331" t="inlineStr">
        <is>
          <t>RON</t>
        </is>
      </c>
      <c r="O1331" t="inlineStr">
        <is>
          <t>Alba Iulia</t>
        </is>
      </c>
      <c r="P1331" s="12" t="n">
        <v>46183</v>
      </c>
      <c r="Q1331">
        <f>IF(COUNTIF(tbl_Localitati[oras_oficial],[@oras])=0,"ORAS NEALINIAT",IF(XLOOKUP([@oras],tbl_Localitati[oras_oficial],tbl_Localitati[judet],"?")&lt;&gt;[@judet],"JUDET NECORESPUNZATOR",""))</f>
        <v/>
      </c>
      <c r="R1331">
        <f>IF(XLOOKUP([@categorie],tbl_RegulriTVA[categorie],tbl_RegulriTVA[cota_legala],-1)&lt;&gt;[@cota_tva],"TVA GRESIT","")</f>
        <v/>
      </c>
      <c r="S1331">
        <f>IF([@data_scadentei]&lt;[@data_factura],"SCADENTA INAINTEA FACTURII","")</f>
        <v/>
      </c>
      <c r="T1331">
        <f>IF(NETWORKDAYS.INTL([@data_factura],[@data_factura],1,tbl_SarbatoriLegale[data])=0,"ZI NELUCRATOARE","")</f>
        <v/>
      </c>
      <c r="U1331">
        <f>IF([@motiv_anomalie]="","OK","DE INVESTIGAT")</f>
        <v/>
      </c>
      <c r="V1331">
        <f>TEXTJOIN("; ",TRUE,[@flag_oras],[@flag_tva],[@flag_scadenta],[@flag_zi])</f>
        <v/>
      </c>
    </row>
    <row r="1332">
      <c r="A1332" t="inlineStr">
        <is>
          <t>F-2025-01331</t>
        </is>
      </c>
      <c r="B1332" s="12" t="n">
        <v>46233</v>
      </c>
      <c r="C1332" t="inlineStr">
        <is>
          <t>SC DACTECH SOLUTIONS SRL</t>
        </is>
      </c>
      <c r="D1332" t="inlineStr">
        <is>
          <t>Argeș</t>
        </is>
      </c>
      <c r="E1332" t="inlineStr">
        <is>
          <t>PRD-001</t>
        </is>
      </c>
      <c r="F1332" t="inlineStr">
        <is>
          <t>Licenta antivirus enterprise</t>
        </is>
      </c>
      <c r="G1332" t="inlineStr">
        <is>
          <t>Licențe software</t>
        </is>
      </c>
      <c r="H1332" t="n">
        <v>5</v>
      </c>
      <c r="I1332" t="n">
        <v>2336.9</v>
      </c>
      <c r="J1332" t="n">
        <v>11684.5</v>
      </c>
      <c r="K1332" s="13" t="n">
        <v>0.19</v>
      </c>
      <c r="L1332" t="n">
        <v>2220.05</v>
      </c>
      <c r="M1332" t="n">
        <v>13904.55</v>
      </c>
      <c r="N1332" t="inlineStr">
        <is>
          <t>RON</t>
        </is>
      </c>
      <c r="O1332" t="inlineStr">
        <is>
          <t>Pitești</t>
        </is>
      </c>
      <c r="P1332" s="12" t="n">
        <v>46263</v>
      </c>
      <c r="Q1332">
        <f>IF(COUNTIF(tbl_Localitati[oras_oficial],[@oras])=0,"ORAS NEALINIAT",IF(XLOOKUP([@oras],tbl_Localitati[oras_oficial],tbl_Localitati[judet],"?")&lt;&gt;[@judet],"JUDET NECORESPUNZATOR",""))</f>
        <v/>
      </c>
      <c r="R1332">
        <f>IF(XLOOKUP([@categorie],tbl_RegulriTVA[categorie],tbl_RegulriTVA[cota_legala],-1)&lt;&gt;[@cota_tva],"TVA GRESIT","")</f>
        <v/>
      </c>
      <c r="S1332">
        <f>IF([@data_scadentei]&lt;[@data_factura],"SCADENTA INAINTEA FACTURII","")</f>
        <v/>
      </c>
      <c r="T1332">
        <f>IF(NETWORKDAYS.INTL([@data_factura],[@data_factura],1,tbl_SarbatoriLegale[data])=0,"ZI NELUCRATOARE","")</f>
        <v/>
      </c>
      <c r="U1332">
        <f>IF([@motiv_anomalie]="","OK","DE INVESTIGAT")</f>
        <v/>
      </c>
      <c r="V1332">
        <f>TEXTJOIN("; ",TRUE,[@flag_oras],[@flag_tva],[@flag_scadenta],[@flag_zi])</f>
        <v/>
      </c>
    </row>
    <row r="1333">
      <c r="A1333" t="inlineStr">
        <is>
          <t>F-2025-01332</t>
        </is>
      </c>
      <c r="B1333" s="12" t="n">
        <v>46244</v>
      </c>
      <c r="C1333" t="inlineStr">
        <is>
          <t>SC AROMET TRADING SRL</t>
        </is>
      </c>
      <c r="D1333" t="inlineStr">
        <is>
          <t>Alba</t>
        </is>
      </c>
      <c r="E1333" t="inlineStr">
        <is>
          <t>PRD-008</t>
        </is>
      </c>
      <c r="F1333" t="inlineStr">
        <is>
          <t>Laptop business 15"</t>
        </is>
      </c>
      <c r="G1333" t="inlineStr">
        <is>
          <t>Hardware IT</t>
        </is>
      </c>
      <c r="H1333" t="n">
        <v>1</v>
      </c>
      <c r="I1333" t="n">
        <v>464.84</v>
      </c>
      <c r="J1333" t="n">
        <v>464.84</v>
      </c>
      <c r="K1333" s="13" t="n">
        <v>0.19</v>
      </c>
      <c r="L1333" t="n">
        <v>88.31999999999999</v>
      </c>
      <c r="M1333" t="n">
        <v>553.16</v>
      </c>
      <c r="N1333" t="inlineStr">
        <is>
          <t>RON</t>
        </is>
      </c>
      <c r="O1333" t="inlineStr">
        <is>
          <t>Alba Iulia</t>
        </is>
      </c>
      <c r="P1333" s="12" t="n">
        <v>46274</v>
      </c>
      <c r="Q1333">
        <f>IF(COUNTIF(tbl_Localitati[oras_oficial],[@oras])=0,"ORAS NEALINIAT",IF(XLOOKUP([@oras],tbl_Localitati[oras_oficial],tbl_Localitati[judet],"?")&lt;&gt;[@judet],"JUDET NECORESPUNZATOR",""))</f>
        <v/>
      </c>
      <c r="R1333">
        <f>IF(XLOOKUP([@categorie],tbl_RegulriTVA[categorie],tbl_RegulriTVA[cota_legala],-1)&lt;&gt;[@cota_tva],"TVA GRESIT","")</f>
        <v/>
      </c>
      <c r="S1333">
        <f>IF([@data_scadentei]&lt;[@data_factura],"SCADENTA INAINTEA FACTURII","")</f>
        <v/>
      </c>
      <c r="T1333">
        <f>IF(NETWORKDAYS.INTL([@data_factura],[@data_factura],1,tbl_SarbatoriLegale[data])=0,"ZI NELUCRATOARE","")</f>
        <v/>
      </c>
      <c r="U1333">
        <f>IF([@motiv_anomalie]="","OK","DE INVESTIGAT")</f>
        <v/>
      </c>
      <c r="V1333">
        <f>TEXTJOIN("; ",TRUE,[@flag_oras],[@flag_tva],[@flag_scadenta],[@flag_zi])</f>
        <v/>
      </c>
    </row>
    <row r="1334">
      <c r="A1334" t="inlineStr">
        <is>
          <t>F-2025-01333</t>
        </is>
      </c>
      <c r="B1334" s="12" t="n">
        <v>46202</v>
      </c>
      <c r="C1334" t="inlineStr">
        <is>
          <t>SC DACTECH SOLUTIONS SRL</t>
        </is>
      </c>
      <c r="D1334" t="inlineStr">
        <is>
          <t>Argeș</t>
        </is>
      </c>
      <c r="E1334" t="inlineStr">
        <is>
          <t>PRD-004</t>
        </is>
      </c>
      <c r="F1334" t="inlineStr">
        <is>
          <t>Licenta antivirus enterprise</t>
        </is>
      </c>
      <c r="G1334" t="inlineStr">
        <is>
          <t>Licențe software</t>
        </is>
      </c>
      <c r="H1334" t="n">
        <v>1</v>
      </c>
      <c r="I1334" t="n">
        <v>878.72</v>
      </c>
      <c r="J1334" t="n">
        <v>878.72</v>
      </c>
      <c r="K1334" s="13" t="n">
        <v>0.19</v>
      </c>
      <c r="L1334" t="n">
        <v>166.96</v>
      </c>
      <c r="M1334" t="n">
        <v>1045.68</v>
      </c>
      <c r="N1334" t="inlineStr">
        <is>
          <t>RON</t>
        </is>
      </c>
      <c r="O1334" t="inlineStr">
        <is>
          <t>Pitești</t>
        </is>
      </c>
      <c r="P1334" s="12" t="n">
        <v>46262</v>
      </c>
      <c r="Q1334">
        <f>IF(COUNTIF(tbl_Localitati[oras_oficial],[@oras])=0,"ORAS NEALINIAT",IF(XLOOKUP([@oras],tbl_Localitati[oras_oficial],tbl_Localitati[judet],"?")&lt;&gt;[@judet],"JUDET NECORESPUNZATOR",""))</f>
        <v/>
      </c>
      <c r="R1334">
        <f>IF(XLOOKUP([@categorie],tbl_RegulriTVA[categorie],tbl_RegulriTVA[cota_legala],-1)&lt;&gt;[@cota_tva],"TVA GRESIT","")</f>
        <v/>
      </c>
      <c r="S1334">
        <f>IF([@data_scadentei]&lt;[@data_factura],"SCADENTA INAINTEA FACTURII","")</f>
        <v/>
      </c>
      <c r="T1334">
        <f>IF(NETWORKDAYS.INTL([@data_factura],[@data_factura],1,tbl_SarbatoriLegale[data])=0,"ZI NELUCRATOARE","")</f>
        <v/>
      </c>
      <c r="U1334">
        <f>IF([@motiv_anomalie]="","OK","DE INVESTIGAT")</f>
        <v/>
      </c>
      <c r="V1334">
        <f>TEXTJOIN("; ",TRUE,[@flag_oras],[@flag_tva],[@flag_scadenta],[@flag_zi])</f>
        <v/>
      </c>
    </row>
    <row r="1335">
      <c r="A1335" t="inlineStr">
        <is>
          <t>F-2025-01334</t>
        </is>
      </c>
      <c r="B1335" s="12" t="n">
        <v>46084</v>
      </c>
      <c r="C1335" t="inlineStr">
        <is>
          <t>SC OMEGA SOFT SRL</t>
        </is>
      </c>
      <c r="D1335" t="inlineStr">
        <is>
          <t>Dolj</t>
        </is>
      </c>
      <c r="E1335" t="inlineStr">
        <is>
          <t>PRD-003</t>
        </is>
      </c>
      <c r="F1335" t="inlineStr">
        <is>
          <t>Switch gigabit 24p</t>
        </is>
      </c>
      <c r="G1335" t="inlineStr">
        <is>
          <t>Hardware IT</t>
        </is>
      </c>
      <c r="H1335" t="n">
        <v>1</v>
      </c>
      <c r="I1335" t="n">
        <v>4235.42</v>
      </c>
      <c r="J1335" t="n">
        <v>4235.42</v>
      </c>
      <c r="K1335" s="13" t="n">
        <v>0.19</v>
      </c>
      <c r="L1335" t="n">
        <v>804.73</v>
      </c>
      <c r="M1335" t="n">
        <v>5040.15</v>
      </c>
      <c r="N1335" t="inlineStr">
        <is>
          <t>RON</t>
        </is>
      </c>
      <c r="O1335" t="inlineStr">
        <is>
          <t>Craiova</t>
        </is>
      </c>
      <c r="P1335" s="12" t="n">
        <v>46114</v>
      </c>
      <c r="Q1335">
        <f>IF(COUNTIF(tbl_Localitati[oras_oficial],[@oras])=0,"ORAS NEALINIAT",IF(XLOOKUP([@oras],tbl_Localitati[oras_oficial],tbl_Localitati[judet],"?")&lt;&gt;[@judet],"JUDET NECORESPUNZATOR",""))</f>
        <v/>
      </c>
      <c r="R1335">
        <f>IF(XLOOKUP([@categorie],tbl_RegulriTVA[categorie],tbl_RegulriTVA[cota_legala],-1)&lt;&gt;[@cota_tva],"TVA GRESIT","")</f>
        <v/>
      </c>
      <c r="S1335">
        <f>IF([@data_scadentei]&lt;[@data_factura],"SCADENTA INAINTEA FACTURII","")</f>
        <v/>
      </c>
      <c r="T1335">
        <f>IF(NETWORKDAYS.INTL([@data_factura],[@data_factura],1,tbl_SarbatoriLegale[data])=0,"ZI NELUCRATOARE","")</f>
        <v/>
      </c>
      <c r="U1335">
        <f>IF([@motiv_anomalie]="","OK","DE INVESTIGAT")</f>
        <v/>
      </c>
      <c r="V1335">
        <f>TEXTJOIN("; ",TRUE,[@flag_oras],[@flag_tva],[@flag_scadenta],[@flag_zi])</f>
        <v/>
      </c>
    </row>
    <row r="1336">
      <c r="A1336" t="inlineStr">
        <is>
          <t>F-2025-01335</t>
        </is>
      </c>
      <c r="B1336" s="12" t="n">
        <v>46311</v>
      </c>
      <c r="C1336" t="inlineStr">
        <is>
          <t>SC DACTECH SOLUTIONS SRL</t>
        </is>
      </c>
      <c r="D1336" t="inlineStr">
        <is>
          <t>Argeș</t>
        </is>
      </c>
      <c r="E1336" t="inlineStr">
        <is>
          <t>PRD-010</t>
        </is>
      </c>
      <c r="F1336" t="inlineStr">
        <is>
          <t>Switch gigabit 24p</t>
        </is>
      </c>
      <c r="G1336" t="inlineStr">
        <is>
          <t>Hardware IT</t>
        </is>
      </c>
      <c r="H1336" t="n">
        <v>10</v>
      </c>
      <c r="I1336" t="n">
        <v>341.9</v>
      </c>
      <c r="J1336" t="n">
        <v>3419</v>
      </c>
      <c r="K1336" s="13" t="n">
        <v>0.19</v>
      </c>
      <c r="L1336" t="n">
        <v>649.61</v>
      </c>
      <c r="M1336" t="n">
        <v>4068.61</v>
      </c>
      <c r="N1336" t="inlineStr">
        <is>
          <t>RON</t>
        </is>
      </c>
      <c r="O1336" t="inlineStr">
        <is>
          <t>Pitești</t>
        </is>
      </c>
      <c r="P1336" s="12" t="n">
        <v>46371</v>
      </c>
      <c r="Q1336">
        <f>IF(COUNTIF(tbl_Localitati[oras_oficial],[@oras])=0,"ORAS NEALINIAT",IF(XLOOKUP([@oras],tbl_Localitati[oras_oficial],tbl_Localitati[judet],"?")&lt;&gt;[@judet],"JUDET NECORESPUNZATOR",""))</f>
        <v/>
      </c>
      <c r="R1336">
        <f>IF(XLOOKUP([@categorie],tbl_RegulriTVA[categorie],tbl_RegulriTVA[cota_legala],-1)&lt;&gt;[@cota_tva],"TVA GRESIT","")</f>
        <v/>
      </c>
      <c r="S1336">
        <f>IF([@data_scadentei]&lt;[@data_factura],"SCADENTA INAINTEA FACTURII","")</f>
        <v/>
      </c>
      <c r="T1336">
        <f>IF(NETWORKDAYS.INTL([@data_factura],[@data_factura],1,tbl_SarbatoriLegale[data])=0,"ZI NELUCRATOARE","")</f>
        <v/>
      </c>
      <c r="U1336">
        <f>IF([@motiv_anomalie]="","OK","DE INVESTIGAT")</f>
        <v/>
      </c>
      <c r="V1336">
        <f>TEXTJOIN("; ",TRUE,[@flag_oras],[@flag_tva],[@flag_scadenta],[@flag_zi])</f>
        <v/>
      </c>
    </row>
    <row r="1337">
      <c r="A1337" t="inlineStr">
        <is>
          <t>F-2025-01336</t>
        </is>
      </c>
      <c r="B1337" s="12" t="n">
        <v>46140</v>
      </c>
      <c r="C1337" t="inlineStr">
        <is>
          <t>SC ZENITH AUTO SRL</t>
        </is>
      </c>
      <c r="D1337" t="inlineStr">
        <is>
          <t>București</t>
        </is>
      </c>
      <c r="E1337" t="inlineStr">
        <is>
          <t>PRD-004</t>
        </is>
      </c>
      <c r="F1337" t="inlineStr">
        <is>
          <t>Pachet protocol sedinte</t>
        </is>
      </c>
      <c r="G1337" t="inlineStr">
        <is>
          <t>Alimente</t>
        </is>
      </c>
      <c r="H1337" t="n">
        <v>3</v>
      </c>
      <c r="I1337" t="n">
        <v>885.51</v>
      </c>
      <c r="J1337" t="n">
        <v>2656.53</v>
      </c>
      <c r="K1337" s="13" t="n">
        <v>0.09</v>
      </c>
      <c r="L1337" t="n">
        <v>239.09</v>
      </c>
      <c r="M1337" t="n">
        <v>2895.62</v>
      </c>
      <c r="N1337" t="inlineStr">
        <is>
          <t>RON</t>
        </is>
      </c>
      <c r="O1337" t="inlineStr">
        <is>
          <t>București</t>
        </is>
      </c>
      <c r="P1337" s="12" t="n">
        <v>46170</v>
      </c>
      <c r="Q1337">
        <f>IF(COUNTIF(tbl_Localitati[oras_oficial],[@oras])=0,"ORAS NEALINIAT",IF(XLOOKUP([@oras],tbl_Localitati[oras_oficial],tbl_Localitati[judet],"?")&lt;&gt;[@judet],"JUDET NECORESPUNZATOR",""))</f>
        <v/>
      </c>
      <c r="R1337">
        <f>IF(XLOOKUP([@categorie],tbl_RegulriTVA[categorie],tbl_RegulriTVA[cota_legala],-1)&lt;&gt;[@cota_tva],"TVA GRESIT","")</f>
        <v/>
      </c>
      <c r="S1337">
        <f>IF([@data_scadentei]&lt;[@data_factura],"SCADENTA INAINTEA FACTURII","")</f>
        <v/>
      </c>
      <c r="T1337">
        <f>IF(NETWORKDAYS.INTL([@data_factura],[@data_factura],1,tbl_SarbatoriLegale[data])=0,"ZI NELUCRATOARE","")</f>
        <v/>
      </c>
      <c r="U1337">
        <f>IF([@motiv_anomalie]="","OK","DE INVESTIGAT")</f>
        <v/>
      </c>
      <c r="V1337">
        <f>TEXTJOIN("; ",TRUE,[@flag_oras],[@flag_tva],[@flag_scadenta],[@flag_zi])</f>
        <v/>
      </c>
    </row>
    <row r="1338">
      <c r="A1338" t="inlineStr">
        <is>
          <t>F-2025-01337</t>
        </is>
      </c>
      <c r="B1338" s="12" t="n">
        <v>46315</v>
      </c>
      <c r="C1338" t="inlineStr">
        <is>
          <t>SC DACTECH SOLUTIONS SRL</t>
        </is>
      </c>
      <c r="D1338" t="inlineStr">
        <is>
          <t>Argeș</t>
        </is>
      </c>
      <c r="E1338" t="inlineStr">
        <is>
          <t>PRD-001</t>
        </is>
      </c>
      <c r="F1338" t="inlineStr">
        <is>
          <t>Monitor 27" 4K</t>
        </is>
      </c>
      <c r="G1338" t="inlineStr">
        <is>
          <t>Hardware IT</t>
        </is>
      </c>
      <c r="H1338" t="n">
        <v>1</v>
      </c>
      <c r="I1338" t="n">
        <v>2492.06</v>
      </c>
      <c r="J1338" t="n">
        <v>2492.06</v>
      </c>
      <c r="K1338" s="13" t="n">
        <v>0.19</v>
      </c>
      <c r="L1338" t="n">
        <v>473.49</v>
      </c>
      <c r="M1338" t="n">
        <v>2965.55</v>
      </c>
      <c r="N1338" t="inlineStr">
        <is>
          <t>RON</t>
        </is>
      </c>
      <c r="O1338" t="inlineStr">
        <is>
          <t>Pitești</t>
        </is>
      </c>
      <c r="P1338" s="12" t="n">
        <v>46375</v>
      </c>
      <c r="Q1338">
        <f>IF(COUNTIF(tbl_Localitati[oras_oficial],[@oras])=0,"ORAS NEALINIAT",IF(XLOOKUP([@oras],tbl_Localitati[oras_oficial],tbl_Localitati[judet],"?")&lt;&gt;[@judet],"JUDET NECORESPUNZATOR",""))</f>
        <v/>
      </c>
      <c r="R1338">
        <f>IF(XLOOKUP([@categorie],tbl_RegulriTVA[categorie],tbl_RegulriTVA[cota_legala],-1)&lt;&gt;[@cota_tva],"TVA GRESIT","")</f>
        <v/>
      </c>
      <c r="S1338">
        <f>IF([@data_scadentei]&lt;[@data_factura],"SCADENTA INAINTEA FACTURII","")</f>
        <v/>
      </c>
      <c r="T1338">
        <f>IF(NETWORKDAYS.INTL([@data_factura],[@data_factura],1,tbl_SarbatoriLegale[data])=0,"ZI NELUCRATOARE","")</f>
        <v/>
      </c>
      <c r="U1338">
        <f>IF([@motiv_anomalie]="","OK","DE INVESTIGAT")</f>
        <v/>
      </c>
      <c r="V1338">
        <f>TEXTJOIN("; ",TRUE,[@flag_oras],[@flag_tva],[@flag_scadenta],[@flag_zi])</f>
        <v/>
      </c>
    </row>
    <row r="1339">
      <c r="A1339" t="inlineStr">
        <is>
          <t>F-2025-01338</t>
        </is>
      </c>
      <c r="B1339" s="12" t="n">
        <v>46107</v>
      </c>
      <c r="C1339" t="inlineStr">
        <is>
          <t>SC DACTECH SOLUTIONS SRL</t>
        </is>
      </c>
      <c r="D1339" t="inlineStr">
        <is>
          <t>Argeș</t>
        </is>
      </c>
      <c r="E1339" t="inlineStr">
        <is>
          <t>PRD-006</t>
        </is>
      </c>
      <c r="F1339" t="inlineStr">
        <is>
          <t>Consultanta implementare IT</t>
        </is>
      </c>
      <c r="G1339" t="inlineStr">
        <is>
          <t>Servicii consultanță</t>
        </is>
      </c>
      <c r="H1339" t="n">
        <v>25</v>
      </c>
      <c r="I1339" t="n">
        <v>723.14</v>
      </c>
      <c r="J1339" t="n">
        <v>18078.5</v>
      </c>
      <c r="K1339" s="13" t="n">
        <v>0.19</v>
      </c>
      <c r="L1339" t="n">
        <v>3434.91</v>
      </c>
      <c r="M1339" t="n">
        <v>21513.41</v>
      </c>
      <c r="N1339" t="inlineStr">
        <is>
          <t>RON</t>
        </is>
      </c>
      <c r="O1339" t="inlineStr">
        <is>
          <t>Pitești</t>
        </is>
      </c>
      <c r="P1339" s="12" t="n">
        <v>46137</v>
      </c>
      <c r="Q1339">
        <f>IF(COUNTIF(tbl_Localitati[oras_oficial],[@oras])=0,"ORAS NEALINIAT",IF(XLOOKUP([@oras],tbl_Localitati[oras_oficial],tbl_Localitati[judet],"?")&lt;&gt;[@judet],"JUDET NECORESPUNZATOR",""))</f>
        <v/>
      </c>
      <c r="R1339">
        <f>IF(XLOOKUP([@categorie],tbl_RegulriTVA[categorie],tbl_RegulriTVA[cota_legala],-1)&lt;&gt;[@cota_tva],"TVA GRESIT","")</f>
        <v/>
      </c>
      <c r="S1339">
        <f>IF([@data_scadentei]&lt;[@data_factura],"SCADENTA INAINTEA FACTURII","")</f>
        <v/>
      </c>
      <c r="T1339">
        <f>IF(NETWORKDAYS.INTL([@data_factura],[@data_factura],1,tbl_SarbatoriLegale[data])=0,"ZI NELUCRATOARE","")</f>
        <v/>
      </c>
      <c r="U1339">
        <f>IF([@motiv_anomalie]="","OK","DE INVESTIGAT")</f>
        <v/>
      </c>
      <c r="V1339">
        <f>TEXTJOIN("; ",TRUE,[@flag_oras],[@flag_tva],[@flag_scadenta],[@flag_zi])</f>
        <v/>
      </c>
    </row>
    <row r="1340">
      <c r="A1340" t="inlineStr">
        <is>
          <t>F-2025-01339</t>
        </is>
      </c>
      <c r="B1340" s="12" t="n">
        <v>46085</v>
      </c>
      <c r="C1340" t="inlineStr">
        <is>
          <t>SC METALPLAST INVEST SA</t>
        </is>
      </c>
      <c r="D1340" t="inlineStr">
        <is>
          <t>Cluj</t>
        </is>
      </c>
      <c r="E1340" t="inlineStr">
        <is>
          <t>PRD-003</t>
        </is>
      </c>
      <c r="F1340" t="inlineStr">
        <is>
          <t>Telefon IP birou</t>
        </is>
      </c>
      <c r="G1340" t="inlineStr">
        <is>
          <t>Echipamente birou</t>
        </is>
      </c>
      <c r="H1340" t="n">
        <v>1</v>
      </c>
      <c r="I1340" t="n">
        <v>4290.27</v>
      </c>
      <c r="J1340" t="n">
        <v>4290.27</v>
      </c>
      <c r="K1340" s="13" t="n">
        <v>0.19</v>
      </c>
      <c r="L1340" t="n">
        <v>815.15</v>
      </c>
      <c r="M1340" t="n">
        <v>5105.42</v>
      </c>
      <c r="N1340" t="inlineStr">
        <is>
          <t>RON</t>
        </is>
      </c>
      <c r="O1340" t="inlineStr">
        <is>
          <t>Turda</t>
        </is>
      </c>
      <c r="P1340" s="12" t="n">
        <v>46115</v>
      </c>
      <c r="Q1340">
        <f>IF(COUNTIF(tbl_Localitati[oras_oficial],[@oras])=0,"ORAS NEALINIAT",IF(XLOOKUP([@oras],tbl_Localitati[oras_oficial],tbl_Localitati[judet],"?")&lt;&gt;[@judet],"JUDET NECORESPUNZATOR",""))</f>
        <v/>
      </c>
      <c r="R1340">
        <f>IF(XLOOKUP([@categorie],tbl_RegulriTVA[categorie],tbl_RegulriTVA[cota_legala],-1)&lt;&gt;[@cota_tva],"TVA GRESIT","")</f>
        <v/>
      </c>
      <c r="S1340">
        <f>IF([@data_scadentei]&lt;[@data_factura],"SCADENTA INAINTEA FACTURII","")</f>
        <v/>
      </c>
      <c r="T1340">
        <f>IF(NETWORKDAYS.INTL([@data_factura],[@data_factura],1,tbl_SarbatoriLegale[data])=0,"ZI NELUCRATOARE","")</f>
        <v/>
      </c>
      <c r="U1340">
        <f>IF([@motiv_anomalie]="","OK","DE INVESTIGAT")</f>
        <v/>
      </c>
      <c r="V1340">
        <f>TEXTJOIN("; ",TRUE,[@flag_oras],[@flag_tva],[@flag_scadenta],[@flag_zi])</f>
        <v/>
      </c>
    </row>
    <row r="1341">
      <c r="A1341" t="inlineStr">
        <is>
          <t>F-2025-01340</t>
        </is>
      </c>
      <c r="B1341" s="12" t="n">
        <v>46157</v>
      </c>
      <c r="C1341" t="inlineStr">
        <is>
          <t>SC NORDIS DISTRIBUTIE SRL</t>
        </is>
      </c>
      <c r="D1341" t="inlineStr">
        <is>
          <t>Constanța</t>
        </is>
      </c>
      <c r="E1341" t="inlineStr">
        <is>
          <t>PRD-002</t>
        </is>
      </c>
      <c r="F1341" t="inlineStr">
        <is>
          <t>Statie de lucru desktop</t>
        </is>
      </c>
      <c r="G1341" t="inlineStr">
        <is>
          <t>Hardware IT</t>
        </is>
      </c>
      <c r="H1341" t="n">
        <v>1</v>
      </c>
      <c r="I1341" t="n">
        <v>1145.25</v>
      </c>
      <c r="J1341" t="n">
        <v>1145.25</v>
      </c>
      <c r="K1341" s="13" t="n">
        <v>0.19</v>
      </c>
      <c r="L1341" t="n">
        <v>217.6</v>
      </c>
      <c r="M1341" t="n">
        <v>1362.85</v>
      </c>
      <c r="N1341" t="inlineStr">
        <is>
          <t>RON</t>
        </is>
      </c>
      <c r="O1341" t="inlineStr">
        <is>
          <t>Mangalia</t>
        </is>
      </c>
      <c r="P1341" s="12" t="n">
        <v>46187</v>
      </c>
      <c r="Q1341">
        <f>IF(COUNTIF(tbl_Localitati[oras_oficial],[@oras])=0,"ORAS NEALINIAT",IF(XLOOKUP([@oras],tbl_Localitati[oras_oficial],tbl_Localitati[judet],"?")&lt;&gt;[@judet],"JUDET NECORESPUNZATOR",""))</f>
        <v/>
      </c>
      <c r="R1341">
        <f>IF(XLOOKUP([@categorie],tbl_RegulriTVA[categorie],tbl_RegulriTVA[cota_legala],-1)&lt;&gt;[@cota_tva],"TVA GRESIT","")</f>
        <v/>
      </c>
      <c r="S1341">
        <f>IF([@data_scadentei]&lt;[@data_factura],"SCADENTA INAINTEA FACTURII","")</f>
        <v/>
      </c>
      <c r="T1341">
        <f>IF(NETWORKDAYS.INTL([@data_factura],[@data_factura],1,tbl_SarbatoriLegale[data])=0,"ZI NELUCRATOARE","")</f>
        <v/>
      </c>
      <c r="U1341">
        <f>IF([@motiv_anomalie]="","OK","DE INVESTIGAT")</f>
        <v/>
      </c>
      <c r="V1341">
        <f>TEXTJOIN("; ",TRUE,[@flag_oras],[@flag_tva],[@flag_scadenta],[@flag_zi])</f>
        <v/>
      </c>
    </row>
    <row r="1342">
      <c r="A1342" t="inlineStr">
        <is>
          <t>F-2025-01341</t>
        </is>
      </c>
      <c r="B1342" s="12" t="n">
        <v>46150</v>
      </c>
      <c r="C1342" t="inlineStr">
        <is>
          <t>SC UNIFOOD DISTRIBUTION SA</t>
        </is>
      </c>
      <c r="D1342" t="inlineStr">
        <is>
          <t>Sibiu</t>
        </is>
      </c>
      <c r="E1342" t="inlineStr">
        <is>
          <t>PRD-009</t>
        </is>
      </c>
      <c r="F1342" t="inlineStr">
        <is>
          <t>Pachet protocol sedinte</t>
        </is>
      </c>
      <c r="G1342" t="inlineStr">
        <is>
          <t>Alimente</t>
        </is>
      </c>
      <c r="H1342" t="n">
        <v>50</v>
      </c>
      <c r="I1342" t="n">
        <v>28</v>
      </c>
      <c r="J1342" t="n">
        <v>1400</v>
      </c>
      <c r="K1342" s="13" t="n">
        <v>0.09</v>
      </c>
      <c r="L1342" t="n">
        <v>126</v>
      </c>
      <c r="M1342" t="n">
        <v>1526</v>
      </c>
      <c r="N1342" t="inlineStr">
        <is>
          <t>RON</t>
        </is>
      </c>
      <c r="O1342" t="inlineStr">
        <is>
          <t>Mediaș</t>
        </is>
      </c>
      <c r="P1342" s="12" t="n">
        <v>46180</v>
      </c>
      <c r="Q1342">
        <f>IF(COUNTIF(tbl_Localitati[oras_oficial],[@oras])=0,"ORAS NEALINIAT",IF(XLOOKUP([@oras],tbl_Localitati[oras_oficial],tbl_Localitati[judet],"?")&lt;&gt;[@judet],"JUDET NECORESPUNZATOR",""))</f>
        <v/>
      </c>
      <c r="R1342">
        <f>IF(XLOOKUP([@categorie],tbl_RegulriTVA[categorie],tbl_RegulriTVA[cota_legala],-1)&lt;&gt;[@cota_tva],"TVA GRESIT","")</f>
        <v/>
      </c>
      <c r="S1342">
        <f>IF([@data_scadentei]&lt;[@data_factura],"SCADENTA INAINTEA FACTURII","")</f>
        <v/>
      </c>
      <c r="T1342">
        <f>IF(NETWORKDAYS.INTL([@data_factura],[@data_factura],1,tbl_SarbatoriLegale[data])=0,"ZI NELUCRATOARE","")</f>
        <v/>
      </c>
      <c r="U1342">
        <f>IF([@motiv_anomalie]="","OK","DE INVESTIGAT")</f>
        <v/>
      </c>
      <c r="V1342">
        <f>TEXTJOIN("; ",TRUE,[@flag_oras],[@flag_tva],[@flag_scadenta],[@flag_zi])</f>
        <v/>
      </c>
    </row>
    <row r="1343">
      <c r="A1343" t="inlineStr">
        <is>
          <t>F-2025-01342</t>
        </is>
      </c>
      <c r="B1343" s="12" t="n">
        <v>46106</v>
      </c>
      <c r="C1343" t="inlineStr">
        <is>
          <t>SC GHOST COMPANY SRL</t>
        </is>
      </c>
      <c r="D1343" t="inlineStr">
        <is>
          <t>Brașov</t>
        </is>
      </c>
      <c r="E1343" t="inlineStr">
        <is>
          <t>PRD-008</t>
        </is>
      </c>
      <c r="F1343" t="inlineStr">
        <is>
          <t>Abonament suita cloud</t>
        </is>
      </c>
      <c r="G1343" t="inlineStr">
        <is>
          <t>Licențe software</t>
        </is>
      </c>
      <c r="H1343" t="n">
        <v>1</v>
      </c>
      <c r="I1343" t="n">
        <v>454.18</v>
      </c>
      <c r="J1343" t="n">
        <v>454.18</v>
      </c>
      <c r="K1343" s="13" t="n">
        <v>0.19</v>
      </c>
      <c r="L1343" t="n">
        <v>86.29000000000001</v>
      </c>
      <c r="M1343" t="n">
        <v>540.47</v>
      </c>
      <c r="N1343" t="inlineStr">
        <is>
          <t>USD</t>
        </is>
      </c>
      <c r="O1343" t="inlineStr">
        <is>
          <t>Brașov</t>
        </is>
      </c>
      <c r="P1343" s="12" t="n">
        <v>46151</v>
      </c>
      <c r="Q1343">
        <f>IF(COUNTIF(tbl_Localitati[oras_oficial],[@oras])=0,"ORAS NEALINIAT",IF(XLOOKUP([@oras],tbl_Localitati[oras_oficial],tbl_Localitati[judet],"?")&lt;&gt;[@judet],"JUDET NECORESPUNZATOR",""))</f>
        <v/>
      </c>
      <c r="R1343">
        <f>IF(XLOOKUP([@categorie],tbl_RegulriTVA[categorie],tbl_RegulriTVA[cota_legala],-1)&lt;&gt;[@cota_tva],"TVA GRESIT","")</f>
        <v/>
      </c>
      <c r="S1343">
        <f>IF([@data_scadentei]&lt;[@data_factura],"SCADENTA INAINTEA FACTURII","")</f>
        <v/>
      </c>
      <c r="T1343">
        <f>IF(NETWORKDAYS.INTL([@data_factura],[@data_factura],1,tbl_SarbatoriLegale[data])=0,"ZI NELUCRATOARE","")</f>
        <v/>
      </c>
      <c r="U1343">
        <f>IF([@motiv_anomalie]="","OK","DE INVESTIGAT")</f>
        <v/>
      </c>
      <c r="V1343">
        <f>TEXTJOIN("; ",TRUE,[@flag_oras],[@flag_tva],[@flag_scadenta],[@flag_zi])</f>
        <v/>
      </c>
    </row>
    <row r="1344">
      <c r="A1344" t="inlineStr">
        <is>
          <t>F-2025-01343</t>
        </is>
      </c>
      <c r="B1344" s="12" t="n">
        <v>46329</v>
      </c>
      <c r="C1344" t="inlineStr">
        <is>
          <t>SC DACTECH SOLUTIONS SRL</t>
        </is>
      </c>
      <c r="D1344" t="inlineStr">
        <is>
          <t>Argeș</t>
        </is>
      </c>
      <c r="E1344" t="inlineStr">
        <is>
          <t>PRD-008</t>
        </is>
      </c>
      <c r="F1344" t="inlineStr">
        <is>
          <t>Consultanta implementare IT</t>
        </is>
      </c>
      <c r="G1344" t="inlineStr">
        <is>
          <t>Servicii consultanță</t>
        </is>
      </c>
      <c r="H1344" t="n">
        <v>25</v>
      </c>
      <c r="I1344" t="n">
        <v>463.08</v>
      </c>
      <c r="J1344" t="n">
        <v>11577</v>
      </c>
      <c r="K1344" s="13" t="n">
        <v>0.19</v>
      </c>
      <c r="L1344" t="n">
        <v>2199.63</v>
      </c>
      <c r="M1344" t="n">
        <v>13776.63</v>
      </c>
      <c r="N1344" t="inlineStr">
        <is>
          <t>RON</t>
        </is>
      </c>
      <c r="O1344" t="inlineStr">
        <is>
          <t>Pitești</t>
        </is>
      </c>
      <c r="P1344" s="12" t="n">
        <v>46389</v>
      </c>
      <c r="Q1344">
        <f>IF(COUNTIF(tbl_Localitati[oras_oficial],[@oras])=0,"ORAS NEALINIAT",IF(XLOOKUP([@oras],tbl_Localitati[oras_oficial],tbl_Localitati[judet],"?")&lt;&gt;[@judet],"JUDET NECORESPUNZATOR",""))</f>
        <v/>
      </c>
      <c r="R1344">
        <f>IF(XLOOKUP([@categorie],tbl_RegulriTVA[categorie],tbl_RegulriTVA[cota_legala],-1)&lt;&gt;[@cota_tva],"TVA GRESIT","")</f>
        <v/>
      </c>
      <c r="S1344">
        <f>IF([@data_scadentei]&lt;[@data_factura],"SCADENTA INAINTEA FACTURII","")</f>
        <v/>
      </c>
      <c r="T1344">
        <f>IF(NETWORKDAYS.INTL([@data_factura],[@data_factura],1,tbl_SarbatoriLegale[data])=0,"ZI NELUCRATOARE","")</f>
        <v/>
      </c>
      <c r="U1344">
        <f>IF([@motiv_anomalie]="","OK","DE INVESTIGAT")</f>
        <v/>
      </c>
      <c r="V1344">
        <f>TEXTJOIN("; ",TRUE,[@flag_oras],[@flag_tva],[@flag_scadenta],[@flag_zi])</f>
        <v/>
      </c>
    </row>
    <row r="1345">
      <c r="A1345" t="inlineStr">
        <is>
          <t>F-2025-01344</t>
        </is>
      </c>
      <c r="B1345" s="12" t="n">
        <v>46274</v>
      </c>
      <c r="C1345" t="inlineStr">
        <is>
          <t>SC AROMET TRADING SRL</t>
        </is>
      </c>
      <c r="D1345" t="inlineStr">
        <is>
          <t>Alba</t>
        </is>
      </c>
      <c r="E1345" t="inlineStr">
        <is>
          <t>PRD-005</t>
        </is>
      </c>
      <c r="F1345" t="inlineStr">
        <is>
          <t>Server rack 1U</t>
        </is>
      </c>
      <c r="G1345" t="inlineStr">
        <is>
          <t>Hardware IT</t>
        </is>
      </c>
      <c r="H1345" t="n">
        <v>1</v>
      </c>
      <c r="I1345" t="n">
        <v>260.75</v>
      </c>
      <c r="J1345" t="n">
        <v>260.75</v>
      </c>
      <c r="K1345" s="13" t="n">
        <v>0.19</v>
      </c>
      <c r="L1345" t="n">
        <v>49.54</v>
      </c>
      <c r="M1345" t="n">
        <v>310.29</v>
      </c>
      <c r="N1345" t="inlineStr">
        <is>
          <t>RON</t>
        </is>
      </c>
      <c r="O1345" t="inlineStr">
        <is>
          <t>Alba Iulia</t>
        </is>
      </c>
      <c r="P1345" s="12" t="n">
        <v>46304</v>
      </c>
      <c r="Q1345">
        <f>IF(COUNTIF(tbl_Localitati[oras_oficial],[@oras])=0,"ORAS NEALINIAT",IF(XLOOKUP([@oras],tbl_Localitati[oras_oficial],tbl_Localitati[judet],"?")&lt;&gt;[@judet],"JUDET NECORESPUNZATOR",""))</f>
        <v/>
      </c>
      <c r="R1345">
        <f>IF(XLOOKUP([@categorie],tbl_RegulriTVA[categorie],tbl_RegulriTVA[cota_legala],-1)&lt;&gt;[@cota_tva],"TVA GRESIT","")</f>
        <v/>
      </c>
      <c r="S1345">
        <f>IF([@data_scadentei]&lt;[@data_factura],"SCADENTA INAINTEA FACTURII","")</f>
        <v/>
      </c>
      <c r="T1345">
        <f>IF(NETWORKDAYS.INTL([@data_factura],[@data_factura],1,tbl_SarbatoriLegale[data])=0,"ZI NELUCRATOARE","")</f>
        <v/>
      </c>
      <c r="U1345">
        <f>IF([@motiv_anomalie]="","OK","DE INVESTIGAT")</f>
        <v/>
      </c>
      <c r="V1345">
        <f>TEXTJOIN("; ",TRUE,[@flag_oras],[@flag_tva],[@flag_scadenta],[@flag_zi])</f>
        <v/>
      </c>
    </row>
    <row r="1346">
      <c r="A1346" t="inlineStr">
        <is>
          <t>F-2025-01345</t>
        </is>
      </c>
      <c r="B1346" s="12" t="n">
        <v>46360</v>
      </c>
      <c r="C1346" t="inlineStr">
        <is>
          <t>SC DACTECH SOLUTIONS SRL</t>
        </is>
      </c>
      <c r="D1346" t="inlineStr">
        <is>
          <t>Argeș</t>
        </is>
      </c>
      <c r="E1346" t="inlineStr">
        <is>
          <t>PRD-011</t>
        </is>
      </c>
      <c r="F1346" t="inlineStr">
        <is>
          <t>Licenta antivirus enterprise</t>
        </is>
      </c>
      <c r="G1346" t="inlineStr">
        <is>
          <t>Licențe software</t>
        </is>
      </c>
      <c r="H1346" t="n">
        <v>10</v>
      </c>
      <c r="I1346" t="n">
        <v>47.05</v>
      </c>
      <c r="J1346" t="n">
        <v>470.5</v>
      </c>
      <c r="K1346" s="13" t="n">
        <v>0.19</v>
      </c>
      <c r="L1346" t="n">
        <v>89.39</v>
      </c>
      <c r="M1346" t="n">
        <v>559.89</v>
      </c>
      <c r="N1346" t="inlineStr">
        <is>
          <t>EUR</t>
        </is>
      </c>
      <c r="O1346" t="inlineStr">
        <is>
          <t>Pitești</t>
        </is>
      </c>
      <c r="P1346" s="12" t="n">
        <v>46420</v>
      </c>
      <c r="Q1346">
        <f>IF(COUNTIF(tbl_Localitati[oras_oficial],[@oras])=0,"ORAS NEALINIAT",IF(XLOOKUP([@oras],tbl_Localitati[oras_oficial],tbl_Localitati[judet],"?")&lt;&gt;[@judet],"JUDET NECORESPUNZATOR",""))</f>
        <v/>
      </c>
      <c r="R1346">
        <f>IF(XLOOKUP([@categorie],tbl_RegulriTVA[categorie],tbl_RegulriTVA[cota_legala],-1)&lt;&gt;[@cota_tva],"TVA GRESIT","")</f>
        <v/>
      </c>
      <c r="S1346">
        <f>IF([@data_scadentei]&lt;[@data_factura],"SCADENTA INAINTEA FACTURII","")</f>
        <v/>
      </c>
      <c r="T1346">
        <f>IF(NETWORKDAYS.INTL([@data_factura],[@data_factura],1,tbl_SarbatoriLegale[data])=0,"ZI NELUCRATOARE","")</f>
        <v/>
      </c>
      <c r="U1346">
        <f>IF([@motiv_anomalie]="","OK","DE INVESTIGAT")</f>
        <v/>
      </c>
      <c r="V1346">
        <f>TEXTJOIN("; ",TRUE,[@flag_oras],[@flag_tva],[@flag_scadenta],[@flag_zi])</f>
        <v/>
      </c>
    </row>
    <row r="1347">
      <c r="A1347" t="inlineStr">
        <is>
          <t>F-2025-01346</t>
        </is>
      </c>
      <c r="B1347" s="12" t="n">
        <v>46279</v>
      </c>
      <c r="C1347" t="inlineStr">
        <is>
          <t>SC METALPLAST INVEST SA</t>
        </is>
      </c>
      <c r="D1347" t="inlineStr">
        <is>
          <t>Cluj</t>
        </is>
      </c>
      <c r="E1347" t="inlineStr">
        <is>
          <t>PRD-009</t>
        </is>
      </c>
      <c r="F1347" t="inlineStr">
        <is>
          <t>Server rack 1U</t>
        </is>
      </c>
      <c r="G1347" t="inlineStr">
        <is>
          <t>Hardware IT</t>
        </is>
      </c>
      <c r="H1347" t="n">
        <v>10</v>
      </c>
      <c r="I1347" t="n">
        <v>27.35</v>
      </c>
      <c r="J1347" t="n">
        <v>273.5</v>
      </c>
      <c r="K1347" s="13" t="n">
        <v>0.19</v>
      </c>
      <c r="L1347" t="n">
        <v>51.97</v>
      </c>
      <c r="M1347" t="n">
        <v>325.47</v>
      </c>
      <c r="N1347" t="inlineStr">
        <is>
          <t>RON</t>
        </is>
      </c>
      <c r="O1347" t="inlineStr">
        <is>
          <t>Turda</t>
        </is>
      </c>
      <c r="P1347" s="12" t="n">
        <v>46309</v>
      </c>
      <c r="Q1347">
        <f>IF(COUNTIF(tbl_Localitati[oras_oficial],[@oras])=0,"ORAS NEALINIAT",IF(XLOOKUP([@oras],tbl_Localitati[oras_oficial],tbl_Localitati[judet],"?")&lt;&gt;[@judet],"JUDET NECORESPUNZATOR",""))</f>
        <v/>
      </c>
      <c r="R1347">
        <f>IF(XLOOKUP([@categorie],tbl_RegulriTVA[categorie],tbl_RegulriTVA[cota_legala],-1)&lt;&gt;[@cota_tva],"TVA GRESIT","")</f>
        <v/>
      </c>
      <c r="S1347">
        <f>IF([@data_scadentei]&lt;[@data_factura],"SCADENTA INAINTEA FACTURII","")</f>
        <v/>
      </c>
      <c r="T1347">
        <f>IF(NETWORKDAYS.INTL([@data_factura],[@data_factura],1,tbl_SarbatoriLegale[data])=0,"ZI NELUCRATOARE","")</f>
        <v/>
      </c>
      <c r="U1347">
        <f>IF([@motiv_anomalie]="","OK","DE INVESTIGAT")</f>
        <v/>
      </c>
      <c r="V1347">
        <f>TEXTJOIN("; ",TRUE,[@flag_oras],[@flag_tva],[@flag_scadenta],[@flag_zi])</f>
        <v/>
      </c>
    </row>
    <row r="1348">
      <c r="A1348" t="inlineStr">
        <is>
          <t>F-2025-01347</t>
        </is>
      </c>
      <c r="B1348" s="12" t="n">
        <v>46170</v>
      </c>
      <c r="C1348" t="inlineStr">
        <is>
          <t>SC SOLARIS ENERGY SRL</t>
        </is>
      </c>
      <c r="D1348" t="inlineStr">
        <is>
          <t>Prahova</t>
        </is>
      </c>
      <c r="E1348" t="inlineStr">
        <is>
          <t>PRD-001</t>
        </is>
      </c>
      <c r="F1348" t="inlineStr">
        <is>
          <t>Switch gigabit 24p</t>
        </is>
      </c>
      <c r="G1348" t="inlineStr">
        <is>
          <t>Hardware IT</t>
        </is>
      </c>
      <c r="H1348" t="n">
        <v>5</v>
      </c>
      <c r="I1348" t="n">
        <v>2469.49</v>
      </c>
      <c r="J1348" t="n">
        <v>12347.45</v>
      </c>
      <c r="K1348" s="13" t="n">
        <v>0.19</v>
      </c>
      <c r="L1348" t="n">
        <v>2346.02</v>
      </c>
      <c r="M1348" t="n">
        <v>14693.47</v>
      </c>
      <c r="N1348" t="inlineStr">
        <is>
          <t>RON</t>
        </is>
      </c>
      <c r="O1348" t="inlineStr">
        <is>
          <t>Câmpina</t>
        </is>
      </c>
      <c r="P1348" s="12" t="n">
        <v>46200</v>
      </c>
      <c r="Q1348">
        <f>IF(COUNTIF(tbl_Localitati[oras_oficial],[@oras])=0,"ORAS NEALINIAT",IF(XLOOKUP([@oras],tbl_Localitati[oras_oficial],tbl_Localitati[judet],"?")&lt;&gt;[@judet],"JUDET NECORESPUNZATOR",""))</f>
        <v/>
      </c>
      <c r="R1348">
        <f>IF(XLOOKUP([@categorie],tbl_RegulriTVA[categorie],tbl_RegulriTVA[cota_legala],-1)&lt;&gt;[@cota_tva],"TVA GRESIT","")</f>
        <v/>
      </c>
      <c r="S1348">
        <f>IF([@data_scadentei]&lt;[@data_factura],"SCADENTA INAINTEA FACTURII","")</f>
        <v/>
      </c>
      <c r="T1348">
        <f>IF(NETWORKDAYS.INTL([@data_factura],[@data_factura],1,tbl_SarbatoriLegale[data])=0,"ZI NELUCRATOARE","")</f>
        <v/>
      </c>
      <c r="U1348">
        <f>IF([@motiv_anomalie]="","OK","DE INVESTIGAT")</f>
        <v/>
      </c>
      <c r="V1348">
        <f>TEXTJOIN("; ",TRUE,[@flag_oras],[@flag_tva],[@flag_scadenta],[@flag_zi])</f>
        <v/>
      </c>
    </row>
    <row r="1349">
      <c r="A1349" t="inlineStr">
        <is>
          <t>F-2025-01348</t>
        </is>
      </c>
      <c r="B1349" s="12" t="n">
        <v>46133</v>
      </c>
      <c r="C1349" t="inlineStr">
        <is>
          <t>SC PROVITA MEDICAL SRL</t>
        </is>
      </c>
      <c r="D1349" t="inlineStr">
        <is>
          <t>Mureș</t>
        </is>
      </c>
      <c r="E1349" t="inlineStr">
        <is>
          <t>PRD-002</t>
        </is>
      </c>
      <c r="F1349" t="inlineStr">
        <is>
          <t>Masti protectie cutie</t>
        </is>
      </c>
      <c r="G1349" t="inlineStr">
        <is>
          <t>Produse farmaceutice</t>
        </is>
      </c>
      <c r="H1349" t="n">
        <v>1</v>
      </c>
      <c r="I1349" t="n">
        <v>1117.3</v>
      </c>
      <c r="J1349" t="n">
        <v>1117.3</v>
      </c>
      <c r="K1349" s="13" t="n">
        <v>0.09</v>
      </c>
      <c r="L1349" t="n">
        <v>100.56</v>
      </c>
      <c r="M1349" t="n">
        <v>1217.86</v>
      </c>
      <c r="N1349" t="inlineStr">
        <is>
          <t>RON</t>
        </is>
      </c>
      <c r="O1349" t="inlineStr">
        <is>
          <t>Târgu Mureș</t>
        </is>
      </c>
      <c r="P1349" s="12" t="n">
        <v>46148</v>
      </c>
      <c r="Q1349">
        <f>IF(COUNTIF(tbl_Localitati[oras_oficial],[@oras])=0,"ORAS NEALINIAT",IF(XLOOKUP([@oras],tbl_Localitati[oras_oficial],tbl_Localitati[judet],"?")&lt;&gt;[@judet],"JUDET NECORESPUNZATOR",""))</f>
        <v/>
      </c>
      <c r="R1349">
        <f>IF(XLOOKUP([@categorie],tbl_RegulriTVA[categorie],tbl_RegulriTVA[cota_legala],-1)&lt;&gt;[@cota_tva],"TVA GRESIT","")</f>
        <v/>
      </c>
      <c r="S1349">
        <f>IF([@data_scadentei]&lt;[@data_factura],"SCADENTA INAINTEA FACTURII","")</f>
        <v/>
      </c>
      <c r="T1349">
        <f>IF(NETWORKDAYS.INTL([@data_factura],[@data_factura],1,tbl_SarbatoriLegale[data])=0,"ZI NELUCRATOARE","")</f>
        <v/>
      </c>
      <c r="U1349">
        <f>IF([@motiv_anomalie]="","OK","DE INVESTIGAT")</f>
        <v/>
      </c>
      <c r="V1349">
        <f>TEXTJOIN("; ",TRUE,[@flag_oras],[@flag_tva],[@flag_scadenta],[@flag_zi])</f>
        <v/>
      </c>
    </row>
    <row r="1350">
      <c r="A1350" t="inlineStr">
        <is>
          <t>F-2025-01349</t>
        </is>
      </c>
      <c r="B1350" s="12" t="n">
        <v>46322</v>
      </c>
      <c r="C1350" t="inlineStr">
        <is>
          <t>SC RAPID LOGISTIC SA</t>
        </is>
      </c>
      <c r="D1350" t="inlineStr">
        <is>
          <t>Prahova</t>
        </is>
      </c>
      <c r="E1350" t="inlineStr">
        <is>
          <t>PRD-002</t>
        </is>
      </c>
      <c r="F1350" t="inlineStr">
        <is>
          <t>Telefon IP birou</t>
        </is>
      </c>
      <c r="G1350" t="inlineStr">
        <is>
          <t>Echipamente birou</t>
        </is>
      </c>
      <c r="H1350" t="n">
        <v>2</v>
      </c>
      <c r="I1350" t="n">
        <v>1145.34</v>
      </c>
      <c r="J1350" t="n">
        <v>2290.68</v>
      </c>
      <c r="K1350" s="13" t="n">
        <v>0.19</v>
      </c>
      <c r="L1350" t="n">
        <v>435.23</v>
      </c>
      <c r="M1350" t="n">
        <v>2725.91</v>
      </c>
      <c r="N1350" t="inlineStr">
        <is>
          <t>RON</t>
        </is>
      </c>
      <c r="O1350" t="inlineStr">
        <is>
          <t>Ploiești</t>
        </is>
      </c>
      <c r="P1350" s="12" t="n">
        <v>46367</v>
      </c>
      <c r="Q1350">
        <f>IF(COUNTIF(tbl_Localitati[oras_oficial],[@oras])=0,"ORAS NEALINIAT",IF(XLOOKUP([@oras],tbl_Localitati[oras_oficial],tbl_Localitati[judet],"?")&lt;&gt;[@judet],"JUDET NECORESPUNZATOR",""))</f>
        <v/>
      </c>
      <c r="R1350">
        <f>IF(XLOOKUP([@categorie],tbl_RegulriTVA[categorie],tbl_RegulriTVA[cota_legala],-1)&lt;&gt;[@cota_tva],"TVA GRESIT","")</f>
        <v/>
      </c>
      <c r="S1350">
        <f>IF([@data_scadentei]&lt;[@data_factura],"SCADENTA INAINTEA FACTURII","")</f>
        <v/>
      </c>
      <c r="T1350">
        <f>IF(NETWORKDAYS.INTL([@data_factura],[@data_factura],1,tbl_SarbatoriLegale[data])=0,"ZI NELUCRATOARE","")</f>
        <v/>
      </c>
      <c r="U1350">
        <f>IF([@motiv_anomalie]="","OK","DE INVESTIGAT")</f>
        <v/>
      </c>
      <c r="V1350">
        <f>TEXTJOIN("; ",TRUE,[@flag_oras],[@flag_tva],[@flag_scadenta],[@flag_zi])</f>
        <v/>
      </c>
    </row>
    <row r="1351">
      <c r="A1351" t="inlineStr">
        <is>
          <t>F-2025-01350</t>
        </is>
      </c>
      <c r="B1351" s="12" t="n">
        <v>46044</v>
      </c>
      <c r="C1351" t="inlineStr">
        <is>
          <t>SC OMEGA SOFT SRL</t>
        </is>
      </c>
      <c r="D1351" t="inlineStr">
        <is>
          <t>Dolj</t>
        </is>
      </c>
      <c r="E1351" t="inlineStr">
        <is>
          <t>PRD-005</t>
        </is>
      </c>
      <c r="F1351" t="inlineStr">
        <is>
          <t>Tocator documente</t>
        </is>
      </c>
      <c r="G1351" t="inlineStr">
        <is>
          <t>Echipamente birou</t>
        </is>
      </c>
      <c r="H1351" t="n">
        <v>1</v>
      </c>
      <c r="I1351" t="n">
        <v>255.14</v>
      </c>
      <c r="J1351" t="n">
        <v>255.14</v>
      </c>
      <c r="K1351" s="13" t="n">
        <v>0.19</v>
      </c>
      <c r="L1351" t="n">
        <v>48.48</v>
      </c>
      <c r="M1351" t="n">
        <v>303.62</v>
      </c>
      <c r="N1351" t="inlineStr">
        <is>
          <t>RON</t>
        </is>
      </c>
      <c r="O1351" t="inlineStr">
        <is>
          <t>Craiova</t>
        </is>
      </c>
      <c r="P1351" s="12" t="n">
        <v>46074</v>
      </c>
      <c r="Q1351">
        <f>IF(COUNTIF(tbl_Localitati[oras_oficial],[@oras])=0,"ORAS NEALINIAT",IF(XLOOKUP([@oras],tbl_Localitati[oras_oficial],tbl_Localitati[judet],"?")&lt;&gt;[@judet],"JUDET NECORESPUNZATOR",""))</f>
        <v/>
      </c>
      <c r="R1351">
        <f>IF(XLOOKUP([@categorie],tbl_RegulriTVA[categorie],tbl_RegulriTVA[cota_legala],-1)&lt;&gt;[@cota_tva],"TVA GRESIT","")</f>
        <v/>
      </c>
      <c r="S1351">
        <f>IF([@data_scadentei]&lt;[@data_factura],"SCADENTA INAINTEA FACTURII","")</f>
        <v/>
      </c>
      <c r="T1351">
        <f>IF(NETWORKDAYS.INTL([@data_factura],[@data_factura],1,tbl_SarbatoriLegale[data])=0,"ZI NELUCRATOARE","")</f>
        <v/>
      </c>
      <c r="U1351">
        <f>IF([@motiv_anomalie]="","OK","DE INVESTIGAT")</f>
        <v/>
      </c>
      <c r="V1351">
        <f>TEXTJOIN("; ",TRUE,[@flag_oras],[@flag_tva],[@flag_scadenta],[@flag_zi])</f>
        <v/>
      </c>
    </row>
    <row r="1352">
      <c r="A1352" t="inlineStr">
        <is>
          <t>F-2025-01351</t>
        </is>
      </c>
      <c r="B1352" s="12" t="n">
        <v>46218</v>
      </c>
      <c r="C1352" t="inlineStr">
        <is>
          <t>SC DACTECH SOLUTIONS SRL</t>
        </is>
      </c>
      <c r="D1352" t="inlineStr">
        <is>
          <t>Argeș</t>
        </is>
      </c>
      <c r="E1352" t="inlineStr">
        <is>
          <t>PRD-004</t>
        </is>
      </c>
      <c r="F1352" t="inlineStr">
        <is>
          <t>Licenta Office 365 anuala</t>
        </is>
      </c>
      <c r="G1352" t="inlineStr">
        <is>
          <t>Licențe software</t>
        </is>
      </c>
      <c r="H1352" t="n">
        <v>5</v>
      </c>
      <c r="I1352" t="n">
        <v>928.5700000000001</v>
      </c>
      <c r="J1352" t="n">
        <v>4642.85</v>
      </c>
      <c r="K1352" s="13" t="n">
        <v>0.19</v>
      </c>
      <c r="L1352" t="n">
        <v>882.14</v>
      </c>
      <c r="M1352" t="n">
        <v>5524.99</v>
      </c>
      <c r="N1352" t="inlineStr">
        <is>
          <t>RON</t>
        </is>
      </c>
      <c r="O1352" t="inlineStr">
        <is>
          <t>Pitești</t>
        </is>
      </c>
      <c r="P1352" s="12" t="n">
        <v>46233</v>
      </c>
      <c r="Q1352">
        <f>IF(COUNTIF(tbl_Localitati[oras_oficial],[@oras])=0,"ORAS NEALINIAT",IF(XLOOKUP([@oras],tbl_Localitati[oras_oficial],tbl_Localitati[judet],"?")&lt;&gt;[@judet],"JUDET NECORESPUNZATOR",""))</f>
        <v/>
      </c>
      <c r="R1352">
        <f>IF(XLOOKUP([@categorie],tbl_RegulriTVA[categorie],tbl_RegulriTVA[cota_legala],-1)&lt;&gt;[@cota_tva],"TVA GRESIT","")</f>
        <v/>
      </c>
      <c r="S1352">
        <f>IF([@data_scadentei]&lt;[@data_factura],"SCADENTA INAINTEA FACTURII","")</f>
        <v/>
      </c>
      <c r="T1352">
        <f>IF(NETWORKDAYS.INTL([@data_factura],[@data_factura],1,tbl_SarbatoriLegale[data])=0,"ZI NELUCRATOARE","")</f>
        <v/>
      </c>
      <c r="U1352">
        <f>IF([@motiv_anomalie]="","OK","DE INVESTIGAT")</f>
        <v/>
      </c>
      <c r="V1352">
        <f>TEXTJOIN("; ",TRUE,[@flag_oras],[@flag_tva],[@flag_scadenta],[@flag_zi])</f>
        <v/>
      </c>
    </row>
    <row r="1353">
      <c r="A1353" t="inlineStr">
        <is>
          <t>F-2025-01352</t>
        </is>
      </c>
      <c r="B1353" s="12" t="n">
        <v>46386</v>
      </c>
      <c r="C1353" t="inlineStr">
        <is>
          <t>SC AROMET TRADING SRL</t>
        </is>
      </c>
      <c r="D1353" t="inlineStr">
        <is>
          <t>Alba</t>
        </is>
      </c>
      <c r="E1353" t="inlineStr">
        <is>
          <t>PRD-002</t>
        </is>
      </c>
      <c r="F1353" t="inlineStr">
        <is>
          <t>Switch gigabit 24p</t>
        </is>
      </c>
      <c r="G1353" t="inlineStr">
        <is>
          <t>Hardware IT</t>
        </is>
      </c>
      <c r="H1353" t="n">
        <v>2</v>
      </c>
      <c r="I1353" t="n">
        <v>1132.65</v>
      </c>
      <c r="J1353" t="n">
        <v>2265.3</v>
      </c>
      <c r="K1353" s="13" t="n">
        <v>0.19</v>
      </c>
      <c r="L1353" t="n">
        <v>430.41</v>
      </c>
      <c r="M1353" t="n">
        <v>2695.71</v>
      </c>
      <c r="N1353" t="inlineStr">
        <is>
          <t>RON</t>
        </is>
      </c>
      <c r="O1353" t="inlineStr">
        <is>
          <t>Alba Iulia</t>
        </is>
      </c>
      <c r="P1353" s="12" t="n">
        <v>46431</v>
      </c>
      <c r="Q1353">
        <f>IF(COUNTIF(tbl_Localitati[oras_oficial],[@oras])=0,"ORAS NEALINIAT",IF(XLOOKUP([@oras],tbl_Localitati[oras_oficial],tbl_Localitati[judet],"?")&lt;&gt;[@judet],"JUDET NECORESPUNZATOR",""))</f>
        <v/>
      </c>
      <c r="R1353">
        <f>IF(XLOOKUP([@categorie],tbl_RegulriTVA[categorie],tbl_RegulriTVA[cota_legala],-1)&lt;&gt;[@cota_tva],"TVA GRESIT","")</f>
        <v/>
      </c>
      <c r="S1353">
        <f>IF([@data_scadentei]&lt;[@data_factura],"SCADENTA INAINTEA FACTURII","")</f>
        <v/>
      </c>
      <c r="T1353">
        <f>IF(NETWORKDAYS.INTL([@data_factura],[@data_factura],1,tbl_SarbatoriLegale[data])=0,"ZI NELUCRATOARE","")</f>
        <v/>
      </c>
      <c r="U1353">
        <f>IF([@motiv_anomalie]="","OK","DE INVESTIGAT")</f>
        <v/>
      </c>
      <c r="V1353">
        <f>TEXTJOIN("; ",TRUE,[@flag_oras],[@flag_tva],[@flag_scadenta],[@flag_zi])</f>
        <v/>
      </c>
    </row>
    <row r="1354">
      <c r="A1354" t="inlineStr">
        <is>
          <t>F-2025-01353</t>
        </is>
      </c>
      <c r="B1354" s="12" t="n">
        <v>46259</v>
      </c>
      <c r="C1354" t="inlineStr">
        <is>
          <t>SC AROMET TRADING SRL</t>
        </is>
      </c>
      <c r="D1354" t="inlineStr">
        <is>
          <t>Alba</t>
        </is>
      </c>
      <c r="E1354" t="inlineStr">
        <is>
          <t>PRD-009</t>
        </is>
      </c>
      <c r="F1354" t="inlineStr">
        <is>
          <t>Statie de lucru desktop</t>
        </is>
      </c>
      <c r="G1354" t="inlineStr">
        <is>
          <t>Hardware IT</t>
        </is>
      </c>
      <c r="H1354" t="n">
        <v>100</v>
      </c>
      <c r="I1354" t="n">
        <v>28</v>
      </c>
      <c r="J1354" t="n">
        <v>2800</v>
      </c>
      <c r="K1354" s="13" t="n">
        <v>0.19</v>
      </c>
      <c r="L1354" t="n">
        <v>532</v>
      </c>
      <c r="M1354" t="n">
        <v>3332</v>
      </c>
      <c r="N1354" t="inlineStr">
        <is>
          <t>RON</t>
        </is>
      </c>
      <c r="O1354" t="inlineStr">
        <is>
          <t>Alba Iulia</t>
        </is>
      </c>
      <c r="P1354" s="12" t="n">
        <v>46274</v>
      </c>
      <c r="Q1354">
        <f>IF(COUNTIF(tbl_Localitati[oras_oficial],[@oras])=0,"ORAS NEALINIAT",IF(XLOOKUP([@oras],tbl_Localitati[oras_oficial],tbl_Localitati[judet],"?")&lt;&gt;[@judet],"JUDET NECORESPUNZATOR",""))</f>
        <v/>
      </c>
      <c r="R1354">
        <f>IF(XLOOKUP([@categorie],tbl_RegulriTVA[categorie],tbl_RegulriTVA[cota_legala],-1)&lt;&gt;[@cota_tva],"TVA GRESIT","")</f>
        <v/>
      </c>
      <c r="S1354">
        <f>IF([@data_scadentei]&lt;[@data_factura],"SCADENTA INAINTEA FACTURII","")</f>
        <v/>
      </c>
      <c r="T1354">
        <f>IF(NETWORKDAYS.INTL([@data_factura],[@data_factura],1,tbl_SarbatoriLegale[data])=0,"ZI NELUCRATOARE","")</f>
        <v/>
      </c>
      <c r="U1354">
        <f>IF([@motiv_anomalie]="","OK","DE INVESTIGAT")</f>
        <v/>
      </c>
      <c r="V1354">
        <f>TEXTJOIN("; ",TRUE,[@flag_oras],[@flag_tva],[@flag_scadenta],[@flag_zi])</f>
        <v/>
      </c>
    </row>
    <row r="1355">
      <c r="A1355" t="inlineStr">
        <is>
          <t>F-2025-01354</t>
        </is>
      </c>
      <c r="B1355" s="12" t="n">
        <v>46260</v>
      </c>
      <c r="C1355" t="inlineStr">
        <is>
          <t>SC AROMET TRADING SRL</t>
        </is>
      </c>
      <c r="D1355" t="inlineStr">
        <is>
          <t>Alba</t>
        </is>
      </c>
      <c r="E1355" t="inlineStr">
        <is>
          <t>PRD-004</t>
        </is>
      </c>
      <c r="F1355" t="inlineStr">
        <is>
          <t>Ceai cutie 100buc</t>
        </is>
      </c>
      <c r="G1355" t="inlineStr">
        <is>
          <t>Alimente</t>
        </is>
      </c>
      <c r="H1355" t="n">
        <v>5</v>
      </c>
      <c r="I1355" t="n">
        <v>901.75</v>
      </c>
      <c r="J1355" t="n">
        <v>4508.75</v>
      </c>
      <c r="K1355" s="13" t="n">
        <v>0.09</v>
      </c>
      <c r="L1355" t="n">
        <v>405.79</v>
      </c>
      <c r="M1355" t="n">
        <v>4914.54</v>
      </c>
      <c r="N1355" t="inlineStr">
        <is>
          <t>RON</t>
        </is>
      </c>
      <c r="O1355" t="inlineStr">
        <is>
          <t>Alba Iulia</t>
        </is>
      </c>
      <c r="P1355" s="12" t="n">
        <v>46290</v>
      </c>
      <c r="Q1355">
        <f>IF(COUNTIF(tbl_Localitati[oras_oficial],[@oras])=0,"ORAS NEALINIAT",IF(XLOOKUP([@oras],tbl_Localitati[oras_oficial],tbl_Localitati[judet],"?")&lt;&gt;[@judet],"JUDET NECORESPUNZATOR",""))</f>
        <v/>
      </c>
      <c r="R1355">
        <f>IF(XLOOKUP([@categorie],tbl_RegulriTVA[categorie],tbl_RegulriTVA[cota_legala],-1)&lt;&gt;[@cota_tva],"TVA GRESIT","")</f>
        <v/>
      </c>
      <c r="S1355">
        <f>IF([@data_scadentei]&lt;[@data_factura],"SCADENTA INAINTEA FACTURII","")</f>
        <v/>
      </c>
      <c r="T1355">
        <f>IF(NETWORKDAYS.INTL([@data_factura],[@data_factura],1,tbl_SarbatoriLegale[data])=0,"ZI NELUCRATOARE","")</f>
        <v/>
      </c>
      <c r="U1355">
        <f>IF([@motiv_anomalie]="","OK","DE INVESTIGAT")</f>
        <v/>
      </c>
      <c r="V1355">
        <f>TEXTJOIN("; ",TRUE,[@flag_oras],[@flag_tva],[@flag_scadenta],[@flag_zi])</f>
        <v/>
      </c>
    </row>
    <row r="1356">
      <c r="A1356" t="inlineStr">
        <is>
          <t>F-2025-01355</t>
        </is>
      </c>
      <c r="B1356" s="12" t="n">
        <v>46101</v>
      </c>
      <c r="C1356" t="inlineStr">
        <is>
          <t>SC METALPLAST INVEST SA</t>
        </is>
      </c>
      <c r="D1356" t="inlineStr">
        <is>
          <t>Cluj</t>
        </is>
      </c>
      <c r="E1356" t="inlineStr">
        <is>
          <t>PRD-002</t>
        </is>
      </c>
      <c r="F1356" t="inlineStr">
        <is>
          <t>Server rack 1U</t>
        </is>
      </c>
      <c r="G1356" t="inlineStr">
        <is>
          <t>Hardware IT</t>
        </is>
      </c>
      <c r="H1356" t="n">
        <v>1</v>
      </c>
      <c r="I1356" t="n">
        <v>1086.67</v>
      </c>
      <c r="J1356" t="n">
        <v>1086.67</v>
      </c>
      <c r="K1356" s="13" t="n">
        <v>0.19</v>
      </c>
      <c r="L1356" t="n">
        <v>206.47</v>
      </c>
      <c r="M1356" t="n">
        <v>1293.14</v>
      </c>
      <c r="N1356" t="inlineStr">
        <is>
          <t>RON</t>
        </is>
      </c>
      <c r="O1356" t="inlineStr">
        <is>
          <t>Turda</t>
        </is>
      </c>
      <c r="P1356" s="12" t="n">
        <v>46146</v>
      </c>
      <c r="Q1356">
        <f>IF(COUNTIF(tbl_Localitati[oras_oficial],[@oras])=0,"ORAS NEALINIAT",IF(XLOOKUP([@oras],tbl_Localitati[oras_oficial],tbl_Localitati[judet],"?")&lt;&gt;[@judet],"JUDET NECORESPUNZATOR",""))</f>
        <v/>
      </c>
      <c r="R1356">
        <f>IF(XLOOKUP([@categorie],tbl_RegulriTVA[categorie],tbl_RegulriTVA[cota_legala],-1)&lt;&gt;[@cota_tva],"TVA GRESIT","")</f>
        <v/>
      </c>
      <c r="S1356">
        <f>IF([@data_scadentei]&lt;[@data_factura],"SCADENTA INAINTEA FACTURII","")</f>
        <v/>
      </c>
      <c r="T1356">
        <f>IF(NETWORKDAYS.INTL([@data_factura],[@data_factura],1,tbl_SarbatoriLegale[data])=0,"ZI NELUCRATOARE","")</f>
        <v/>
      </c>
      <c r="U1356">
        <f>IF([@motiv_anomalie]="","OK","DE INVESTIGAT")</f>
        <v/>
      </c>
      <c r="V1356">
        <f>TEXTJOIN("; ",TRUE,[@flag_oras],[@flag_tva],[@flag_scadenta],[@flag_zi])</f>
        <v/>
      </c>
    </row>
    <row r="1357">
      <c r="A1357" t="inlineStr">
        <is>
          <t>F-2025-01356</t>
        </is>
      </c>
      <c r="B1357" s="12" t="n">
        <v>46328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Apa plata bax</t>
        </is>
      </c>
      <c r="G1357" t="inlineStr">
        <is>
          <t>Alimente</t>
        </is>
      </c>
      <c r="H1357" t="n">
        <v>1</v>
      </c>
      <c r="I1357" t="n">
        <v>1092.74</v>
      </c>
      <c r="J1357" t="n">
        <v>1092.74</v>
      </c>
      <c r="K1357" s="13" t="n">
        <v>0.09</v>
      </c>
      <c r="L1357" t="n">
        <v>98.34999999999999</v>
      </c>
      <c r="M1357" t="n">
        <v>1191.09</v>
      </c>
      <c r="N1357" t="inlineStr">
        <is>
          <t>RON</t>
        </is>
      </c>
      <c r="O1357" t="inlineStr">
        <is>
          <t>Sibiu</t>
        </is>
      </c>
      <c r="P1357" s="12" t="n">
        <v>46343</v>
      </c>
      <c r="Q1357">
        <f>IF(COUNTIF(tbl_Localitati[oras_oficial],[@oras])=0,"ORAS NEALINIAT",IF(XLOOKUP([@oras],tbl_Localitati[oras_oficial],tbl_Localitati[judet],"?")&lt;&gt;[@judet],"JUDET NECORESPUNZATOR",""))</f>
        <v/>
      </c>
      <c r="R1357">
        <f>IF(XLOOKUP([@categorie],tbl_RegulriTVA[categorie],tbl_RegulriTVA[cota_legala],-1)&lt;&gt;[@cota_tva],"TVA GRESIT","")</f>
        <v/>
      </c>
      <c r="S1357">
        <f>IF([@data_scadentei]&lt;[@data_factura],"SCADENTA INAINTEA FACTURII","")</f>
        <v/>
      </c>
      <c r="T1357">
        <f>IF(NETWORKDAYS.INTL([@data_factura],[@data_factura],1,tbl_SarbatoriLegale[data])=0,"ZI NELUCRATOARE","")</f>
        <v/>
      </c>
      <c r="U1357">
        <f>IF([@motiv_anomalie]="","OK","DE INVESTIGAT")</f>
        <v/>
      </c>
      <c r="V1357">
        <f>TEXTJOIN("; ",TRUE,[@flag_oras],[@flag_tva],[@flag_scadenta],[@flag_zi])</f>
        <v/>
      </c>
    </row>
    <row r="1358">
      <c r="A1358" t="inlineStr">
        <is>
          <t>F-2025-01357</t>
        </is>
      </c>
      <c r="B1358" s="12" t="n">
        <v>46376</v>
      </c>
      <c r="C1358" t="inlineStr">
        <is>
          <t>SC DACTECH SOLUTIONS SRL</t>
        </is>
      </c>
      <c r="D1358" t="inlineStr">
        <is>
          <t>Argeș</t>
        </is>
      </c>
      <c r="E1358" t="inlineStr">
        <is>
          <t>PRD-006</t>
        </is>
      </c>
      <c r="F1358" t="inlineStr">
        <is>
          <t>Monitor 27" 4K</t>
        </is>
      </c>
      <c r="G1358" t="inlineStr">
        <is>
          <t>Hardware IT</t>
        </is>
      </c>
      <c r="H1358" t="n">
        <v>10</v>
      </c>
      <c r="I1358" t="n">
        <v>732.4299999999999</v>
      </c>
      <c r="J1358" t="n">
        <v>7324.3</v>
      </c>
      <c r="K1358" s="13" t="n">
        <v>0.19</v>
      </c>
      <c r="L1358" t="n">
        <v>1391.62</v>
      </c>
      <c r="M1358" t="n">
        <v>8715.92</v>
      </c>
      <c r="N1358" t="inlineStr">
        <is>
          <t>RON</t>
        </is>
      </c>
      <c r="O1358" t="inlineStr">
        <is>
          <t>Pitești</t>
        </is>
      </c>
      <c r="P1358" s="12" t="n">
        <v>46406</v>
      </c>
      <c r="Q1358">
        <f>IF(COUNTIF(tbl_Localitati[oras_oficial],[@oras])=0,"ORAS NEALINIAT",IF(XLOOKUP([@oras],tbl_Localitati[oras_oficial],tbl_Localitati[judet],"?")&lt;&gt;[@judet],"JUDET NECORESPUNZATOR",""))</f>
        <v/>
      </c>
      <c r="R1358">
        <f>IF(XLOOKUP([@categorie],tbl_RegulriTVA[categorie],tbl_RegulriTVA[cota_legala],-1)&lt;&gt;[@cota_tva],"TVA GRESIT","")</f>
        <v/>
      </c>
      <c r="S1358">
        <f>IF([@data_scadentei]&lt;[@data_factura],"SCADENTA INAINTEA FACTURII","")</f>
        <v/>
      </c>
      <c r="T1358">
        <f>IF(NETWORKDAYS.INTL([@data_factura],[@data_factura],1,tbl_SarbatoriLegale[data])=0,"ZI NELUCRATOARE","")</f>
        <v/>
      </c>
      <c r="U1358">
        <f>IF([@motiv_anomalie]="","OK","DE INVESTIGAT")</f>
        <v/>
      </c>
      <c r="V1358">
        <f>TEXTJOIN("; ",TRUE,[@flag_oras],[@flag_tva],[@flag_scadenta],[@flag_zi])</f>
        <v/>
      </c>
    </row>
    <row r="1359">
      <c r="A1359" t="inlineStr">
        <is>
          <t>F-2025-01358</t>
        </is>
      </c>
      <c r="B1359" s="12" t="n">
        <v>46059</v>
      </c>
      <c r="C1359" t="inlineStr">
        <is>
          <t>SC METALPLAST INVEST SA</t>
        </is>
      </c>
      <c r="D1359" t="inlineStr">
        <is>
          <t>Cluj</t>
        </is>
      </c>
      <c r="E1359" t="inlineStr">
        <is>
          <t>PRD-010</t>
        </is>
      </c>
      <c r="F1359" t="inlineStr">
        <is>
          <t>Laptop business 15"</t>
        </is>
      </c>
      <c r="G1359" t="inlineStr">
        <is>
          <t>Hardware IT</t>
        </is>
      </c>
      <c r="H1359" t="n">
        <v>10</v>
      </c>
      <c r="I1359" t="n">
        <v>358.45</v>
      </c>
      <c r="J1359" t="n">
        <v>3584.5</v>
      </c>
      <c r="K1359" s="13" t="n">
        <v>0.19</v>
      </c>
      <c r="L1359" t="n">
        <v>681.0599999999999</v>
      </c>
      <c r="M1359" t="n">
        <v>4265.56</v>
      </c>
      <c r="N1359" t="inlineStr">
        <is>
          <t>RON</t>
        </is>
      </c>
      <c r="O1359" t="inlineStr">
        <is>
          <t>Turda</t>
        </is>
      </c>
      <c r="P1359" s="12" t="n">
        <v>46074</v>
      </c>
      <c r="Q1359">
        <f>IF(COUNTIF(tbl_Localitati[oras_oficial],[@oras])=0,"ORAS NEALINIAT",IF(XLOOKUP([@oras],tbl_Localitati[oras_oficial],tbl_Localitati[judet],"?")&lt;&gt;[@judet],"JUDET NECORESPUNZATOR",""))</f>
        <v/>
      </c>
      <c r="R1359">
        <f>IF(XLOOKUP([@categorie],tbl_RegulriTVA[categorie],tbl_RegulriTVA[cota_legala],-1)&lt;&gt;[@cota_tva],"TVA GRESIT","")</f>
        <v/>
      </c>
      <c r="S1359">
        <f>IF([@data_scadentei]&lt;[@data_factura],"SCADENTA INAINTEA FACTURII","")</f>
        <v/>
      </c>
      <c r="T1359">
        <f>IF(NETWORKDAYS.INTL([@data_factura],[@data_factura],1,tbl_SarbatoriLegale[data])=0,"ZI NELUCRATOARE","")</f>
        <v/>
      </c>
      <c r="U1359">
        <f>IF([@motiv_anomalie]="","OK","DE INVESTIGAT")</f>
        <v/>
      </c>
      <c r="V1359">
        <f>TEXTJOIN("; ",TRUE,[@flag_oras],[@flag_tva],[@flag_scadenta],[@flag_zi])</f>
        <v/>
      </c>
    </row>
    <row r="1360">
      <c r="A1360" t="inlineStr">
        <is>
          <t>F-2025-01359</t>
        </is>
      </c>
      <c r="B1360" s="12" t="n">
        <v>46318</v>
      </c>
      <c r="C1360" t="inlineStr">
        <is>
          <t>SC ZENITH AUTO SRL</t>
        </is>
      </c>
      <c r="D1360" t="inlineStr">
        <is>
          <t>București</t>
        </is>
      </c>
      <c r="E1360" t="inlineStr">
        <is>
          <t>PRD-005</t>
        </is>
      </c>
      <c r="F1360" t="inlineStr">
        <is>
          <t>Switch gigabit 24p</t>
        </is>
      </c>
      <c r="G1360" t="inlineStr">
        <is>
          <t>Hardware IT</t>
        </is>
      </c>
      <c r="H1360" t="n">
        <v>3</v>
      </c>
      <c r="I1360" t="n">
        <v>243.95</v>
      </c>
      <c r="J1360" t="n">
        <v>731.85</v>
      </c>
      <c r="K1360" s="13" t="n">
        <v>0.19</v>
      </c>
      <c r="L1360" t="n">
        <v>139.05</v>
      </c>
      <c r="M1360" t="n">
        <v>870.9</v>
      </c>
      <c r="N1360" t="inlineStr">
        <is>
          <t>RON</t>
        </is>
      </c>
      <c r="O1360" t="inlineStr">
        <is>
          <t>București</t>
        </is>
      </c>
      <c r="P1360" s="12" t="n">
        <v>46348</v>
      </c>
      <c r="Q1360">
        <f>IF(COUNTIF(tbl_Localitati[oras_oficial],[@oras])=0,"ORAS NEALINIAT",IF(XLOOKUP([@oras],tbl_Localitati[oras_oficial],tbl_Localitati[judet],"?")&lt;&gt;[@judet],"JUDET NECORESPUNZATOR",""))</f>
        <v/>
      </c>
      <c r="R1360">
        <f>IF(XLOOKUP([@categorie],tbl_RegulriTVA[categorie],tbl_RegulriTVA[cota_legala],-1)&lt;&gt;[@cota_tva],"TVA GRESIT","")</f>
        <v/>
      </c>
      <c r="S1360">
        <f>IF([@data_scadentei]&lt;[@data_factura],"SCADENTA INAINTEA FACTURII","")</f>
        <v/>
      </c>
      <c r="T1360">
        <f>IF(NETWORKDAYS.INTL([@data_factura],[@data_factura],1,tbl_SarbatoriLegale[data])=0,"ZI NELUCRATOARE","")</f>
        <v/>
      </c>
      <c r="U1360">
        <f>IF([@motiv_anomalie]="","OK","DE INVESTIGAT")</f>
        <v/>
      </c>
      <c r="V1360">
        <f>TEXTJOIN("; ",TRUE,[@flag_oras],[@flag_tva],[@flag_scadenta],[@flag_zi])</f>
        <v/>
      </c>
    </row>
    <row r="1361">
      <c r="A1361" t="inlineStr">
        <is>
          <t>F-2025-01360</t>
        </is>
      </c>
      <c r="B1361" s="12" t="n">
        <v>46240</v>
      </c>
      <c r="C1361" t="inlineStr">
        <is>
          <t>SC NORDIS DISTRIBUTIE SRL</t>
        </is>
      </c>
      <c r="D1361" t="inlineStr">
        <is>
          <t>Constanța</t>
        </is>
      </c>
      <c r="E1361" t="inlineStr">
        <is>
          <t>PRD-010</t>
        </is>
      </c>
      <c r="F1361" t="inlineStr">
        <is>
          <t>Monitor 27" 4K</t>
        </is>
      </c>
      <c r="G1361" t="inlineStr">
        <is>
          <t>Hardware IT</t>
        </is>
      </c>
      <c r="H1361" t="n">
        <v>5</v>
      </c>
      <c r="I1361" t="n">
        <v>357.65</v>
      </c>
      <c r="J1361" t="n">
        <v>1788.25</v>
      </c>
      <c r="K1361" s="13" t="n">
        <v>0.19</v>
      </c>
      <c r="L1361" t="n">
        <v>339.77</v>
      </c>
      <c r="M1361" t="n">
        <v>2128.02</v>
      </c>
      <c r="N1361" t="inlineStr">
        <is>
          <t>RON</t>
        </is>
      </c>
      <c r="O1361" t="inlineStr">
        <is>
          <t>Mangalia</t>
        </is>
      </c>
      <c r="P1361" s="12" t="n">
        <v>46270</v>
      </c>
      <c r="Q1361">
        <f>IF(COUNTIF(tbl_Localitati[oras_oficial],[@oras])=0,"ORAS NEALINIAT",IF(XLOOKUP([@oras],tbl_Localitati[oras_oficial],tbl_Localitati[judet],"?")&lt;&gt;[@judet],"JUDET NECORESPUNZATOR",""))</f>
        <v/>
      </c>
      <c r="R1361">
        <f>IF(XLOOKUP([@categorie],tbl_RegulriTVA[categorie],tbl_RegulriTVA[cota_legala],-1)&lt;&gt;[@cota_tva],"TVA GRESIT","")</f>
        <v/>
      </c>
      <c r="S1361">
        <f>IF([@data_scadentei]&lt;[@data_factura],"SCADENTA INAINTEA FACTURII","")</f>
        <v/>
      </c>
      <c r="T1361">
        <f>IF(NETWORKDAYS.INTL([@data_factura],[@data_factura],1,tbl_SarbatoriLegale[data])=0,"ZI NELUCRATOARE","")</f>
        <v/>
      </c>
      <c r="U1361">
        <f>IF([@motiv_anomalie]="","OK","DE INVESTIGAT")</f>
        <v/>
      </c>
      <c r="V1361">
        <f>TEXTJOIN("; ",TRUE,[@flag_oras],[@flag_tva],[@flag_scadenta],[@flag_zi])</f>
        <v/>
      </c>
    </row>
    <row r="1362">
      <c r="A1362" t="inlineStr">
        <is>
          <t>F-2025-01361</t>
        </is>
      </c>
      <c r="B1362" s="12" t="n">
        <v>46171</v>
      </c>
      <c r="C1362" t="inlineStr">
        <is>
          <t>SC OMEGA SOFT SRL</t>
        </is>
      </c>
      <c r="D1362" t="inlineStr">
        <is>
          <t>Dolj</t>
        </is>
      </c>
      <c r="E1362" t="inlineStr">
        <is>
          <t>PRD-002</t>
        </is>
      </c>
      <c r="F1362" t="inlineStr">
        <is>
          <t>Telefon IP birou</t>
        </is>
      </c>
      <c r="G1362" t="inlineStr">
        <is>
          <t>Echipamente birou</t>
        </is>
      </c>
      <c r="H1362" t="n">
        <v>3</v>
      </c>
      <c r="I1362" t="n">
        <v>1130.34</v>
      </c>
      <c r="J1362" t="n">
        <v>3391.02</v>
      </c>
      <c r="K1362" s="13" t="n">
        <v>0.19</v>
      </c>
      <c r="L1362" t="n">
        <v>644.29</v>
      </c>
      <c r="M1362" t="n">
        <v>4035.31</v>
      </c>
      <c r="N1362" t="inlineStr">
        <is>
          <t>RON</t>
        </is>
      </c>
      <c r="O1362" t="inlineStr">
        <is>
          <t>Craiova</t>
        </is>
      </c>
      <c r="P1362" s="12" t="n">
        <v>46201</v>
      </c>
      <c r="Q1362">
        <f>IF(COUNTIF(tbl_Localitati[oras_oficial],[@oras])=0,"ORAS NEALINIAT",IF(XLOOKUP([@oras],tbl_Localitati[oras_oficial],tbl_Localitati[judet],"?")&lt;&gt;[@judet],"JUDET NECORESPUNZATOR",""))</f>
        <v/>
      </c>
      <c r="R1362">
        <f>IF(XLOOKUP([@categorie],tbl_RegulriTVA[categorie],tbl_RegulriTVA[cota_legala],-1)&lt;&gt;[@cota_tva],"TVA GRESIT","")</f>
        <v/>
      </c>
      <c r="S1362">
        <f>IF([@data_scadentei]&lt;[@data_factura],"SCADENTA INAINTEA FACTURII","")</f>
        <v/>
      </c>
      <c r="T1362">
        <f>IF(NETWORKDAYS.INTL([@data_factura],[@data_factura],1,tbl_SarbatoriLegale[data])=0,"ZI NELUCRATOARE","")</f>
        <v/>
      </c>
      <c r="U1362">
        <f>IF([@motiv_anomalie]="","OK","DE INVESTIGAT")</f>
        <v/>
      </c>
      <c r="V1362">
        <f>TEXTJOIN("; ",TRUE,[@flag_oras],[@flag_tva],[@flag_scadenta],[@flag_zi])</f>
        <v/>
      </c>
    </row>
    <row r="1363">
      <c r="A1363" t="inlineStr">
        <is>
          <t>F-2025-01362</t>
        </is>
      </c>
      <c r="B1363" s="12" t="n">
        <v>46146</v>
      </c>
      <c r="C1363" t="inlineStr">
        <is>
          <t>SC NORDIS DISTRIBUTIE SRL</t>
        </is>
      </c>
      <c r="D1363" t="inlineStr">
        <is>
          <t>Constanța</t>
        </is>
      </c>
      <c r="E1363" t="inlineStr">
        <is>
          <t>PRD-007</t>
        </is>
      </c>
      <c r="F1363" t="inlineStr">
        <is>
          <t>Telefon IP birou</t>
        </is>
      </c>
      <c r="G1363" t="inlineStr">
        <is>
          <t>Echipamente birou</t>
        </is>
      </c>
      <c r="H1363" t="n">
        <v>1</v>
      </c>
      <c r="I1363" t="n">
        <v>172.14</v>
      </c>
      <c r="J1363" t="n">
        <v>172.14</v>
      </c>
      <c r="K1363" s="13" t="n">
        <v>0.19</v>
      </c>
      <c r="L1363" t="n">
        <v>32.71</v>
      </c>
      <c r="M1363" t="n">
        <v>204.85</v>
      </c>
      <c r="N1363" t="inlineStr">
        <is>
          <t>RON</t>
        </is>
      </c>
      <c r="O1363" t="inlineStr">
        <is>
          <t>Mangalia</t>
        </is>
      </c>
      <c r="P1363" s="12" t="n">
        <v>46161</v>
      </c>
      <c r="Q1363">
        <f>IF(COUNTIF(tbl_Localitati[oras_oficial],[@oras])=0,"ORAS NEALINIAT",IF(XLOOKUP([@oras],tbl_Localitati[oras_oficial],tbl_Localitati[judet],"?")&lt;&gt;[@judet],"JUDET NECORESPUNZATOR",""))</f>
        <v/>
      </c>
      <c r="R1363">
        <f>IF(XLOOKUP([@categorie],tbl_RegulriTVA[categorie],tbl_RegulriTVA[cota_legala],-1)&lt;&gt;[@cota_tva],"TVA GRESIT","")</f>
        <v/>
      </c>
      <c r="S1363">
        <f>IF([@data_scadentei]&lt;[@data_factura],"SCADENTA INAINTEA FACTURII","")</f>
        <v/>
      </c>
      <c r="T1363">
        <f>IF(NETWORKDAYS.INTL([@data_factura],[@data_factura],1,tbl_SarbatoriLegale[data])=0,"ZI NELUCRATOARE","")</f>
        <v/>
      </c>
      <c r="U1363">
        <f>IF([@motiv_anomalie]="","OK","DE INVESTIGAT")</f>
        <v/>
      </c>
      <c r="V1363">
        <f>TEXTJOIN("; ",TRUE,[@flag_oras],[@flag_tva],[@flag_scadenta],[@flag_zi])</f>
        <v/>
      </c>
    </row>
    <row r="1364">
      <c r="A1364" t="inlineStr">
        <is>
          <t>F-2025-01363</t>
        </is>
      </c>
      <c r="B1364" s="12" t="n">
        <v>46071</v>
      </c>
      <c r="C1364" t="inlineStr">
        <is>
          <t>SC OMEGA SOFT SRL</t>
        </is>
      </c>
      <c r="D1364" t="inlineStr">
        <is>
          <t>Dolj</t>
        </is>
      </c>
      <c r="E1364" t="inlineStr">
        <is>
          <t>PRD-003</t>
        </is>
      </c>
      <c r="F1364" t="inlineStr">
        <is>
          <t>Cafea boabe 1kg</t>
        </is>
      </c>
      <c r="G1364" t="inlineStr">
        <is>
          <t>Alimente</t>
        </is>
      </c>
      <c r="H1364" t="n">
        <v>1</v>
      </c>
      <c r="I1364" t="n">
        <v>4191.26</v>
      </c>
      <c r="J1364" t="n">
        <v>4191.26</v>
      </c>
      <c r="K1364" s="13" t="n">
        <v>0.09</v>
      </c>
      <c r="L1364" t="n">
        <v>377.21</v>
      </c>
      <c r="M1364" t="n">
        <v>4568.47</v>
      </c>
      <c r="N1364" t="inlineStr">
        <is>
          <t>RON</t>
        </is>
      </c>
      <c r="O1364" t="inlineStr">
        <is>
          <t>Craiova</t>
        </is>
      </c>
      <c r="P1364" s="12" t="n">
        <v>46116</v>
      </c>
      <c r="Q1364">
        <f>IF(COUNTIF(tbl_Localitati[oras_oficial],[@oras])=0,"ORAS NEALINIAT",IF(XLOOKUP([@oras],tbl_Localitati[oras_oficial],tbl_Localitati[judet],"?")&lt;&gt;[@judet],"JUDET NECORESPUNZATOR",""))</f>
        <v/>
      </c>
      <c r="R1364">
        <f>IF(XLOOKUP([@categorie],tbl_RegulriTVA[categorie],tbl_RegulriTVA[cota_legala],-1)&lt;&gt;[@cota_tva],"TVA GRESIT","")</f>
        <v/>
      </c>
      <c r="S1364">
        <f>IF([@data_scadentei]&lt;[@data_factura],"SCADENTA INAINTEA FACTURII","")</f>
        <v/>
      </c>
      <c r="T1364">
        <f>IF(NETWORKDAYS.INTL([@data_factura],[@data_factura],1,tbl_SarbatoriLegale[data])=0,"ZI NELUCRATOARE","")</f>
        <v/>
      </c>
      <c r="U1364">
        <f>IF([@motiv_anomalie]="","OK","DE INVESTIGAT")</f>
        <v/>
      </c>
      <c r="V1364">
        <f>TEXTJOIN("; ",TRUE,[@flag_oras],[@flag_tva],[@flag_scadenta],[@flag_zi])</f>
        <v/>
      </c>
    </row>
    <row r="1365">
      <c r="A1365" t="inlineStr">
        <is>
          <t>F-2025-01364</t>
        </is>
      </c>
      <c r="B1365" s="12" t="n">
        <v>46293</v>
      </c>
      <c r="C1365" t="inlineStr">
        <is>
          <t>SC NORDIS DISTRIBUTIE SRL</t>
        </is>
      </c>
      <c r="D1365" t="inlineStr">
        <is>
          <t>Constanța</t>
        </is>
      </c>
      <c r="E1365" t="inlineStr">
        <is>
          <t>PRD-001</t>
        </is>
      </c>
      <c r="F1365" t="inlineStr">
        <is>
          <t>Cafea boabe 1kg</t>
        </is>
      </c>
      <c r="G1365" t="inlineStr">
        <is>
          <t>Alimente</t>
        </is>
      </c>
      <c r="H1365" t="n">
        <v>5</v>
      </c>
      <c r="I1365" t="n">
        <v>2428.56</v>
      </c>
      <c r="J1365" t="n">
        <v>12142.8</v>
      </c>
      <c r="K1365" s="13" t="n">
        <v>0.09</v>
      </c>
      <c r="L1365" t="n">
        <v>1092.85</v>
      </c>
      <c r="M1365" t="n">
        <v>13235.65</v>
      </c>
      <c r="N1365" t="inlineStr">
        <is>
          <t>RON</t>
        </is>
      </c>
      <c r="O1365" t="inlineStr">
        <is>
          <t>Mangalia</t>
        </is>
      </c>
      <c r="P1365" s="12" t="n">
        <v>46338</v>
      </c>
      <c r="Q1365">
        <f>IF(COUNTIF(tbl_Localitati[oras_oficial],[@oras])=0,"ORAS NEALINIAT",IF(XLOOKUP([@oras],tbl_Localitati[oras_oficial],tbl_Localitati[judet],"?")&lt;&gt;[@judet],"JUDET NECORESPUNZATOR",""))</f>
        <v/>
      </c>
      <c r="R1365">
        <f>IF(XLOOKUP([@categorie],tbl_RegulriTVA[categorie],tbl_RegulriTVA[cota_legala],-1)&lt;&gt;[@cota_tva],"TVA GRESIT","")</f>
        <v/>
      </c>
      <c r="S1365">
        <f>IF([@data_scadentei]&lt;[@data_factura],"SCADENTA INAINTEA FACTURII","")</f>
        <v/>
      </c>
      <c r="T1365">
        <f>IF(NETWORKDAYS.INTL([@data_factura],[@data_factura],1,tbl_SarbatoriLegale[data])=0,"ZI NELUCRATOARE","")</f>
        <v/>
      </c>
      <c r="U1365">
        <f>IF([@motiv_anomalie]="","OK","DE INVESTIGAT")</f>
        <v/>
      </c>
      <c r="V1365">
        <f>TEXTJOIN("; ",TRUE,[@flag_oras],[@flag_tva],[@flag_scadenta],[@flag_zi])</f>
        <v/>
      </c>
    </row>
    <row r="1366">
      <c r="A1366" t="inlineStr">
        <is>
          <t>F-2025-01365</t>
        </is>
      </c>
      <c r="B1366" s="12" t="n">
        <v>46301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Manual proceduri interne</t>
        </is>
      </c>
      <c r="G1366" t="inlineStr">
        <is>
          <t>Cărți și manuale</t>
        </is>
      </c>
      <c r="H1366" t="n">
        <v>1</v>
      </c>
      <c r="I1366" t="n">
        <v>2306.43</v>
      </c>
      <c r="J1366" t="n">
        <v>2306.43</v>
      </c>
      <c r="K1366" s="13" t="n">
        <v>0.05</v>
      </c>
      <c r="L1366" t="n">
        <v>115.32</v>
      </c>
      <c r="M1366" t="n">
        <v>2421.75</v>
      </c>
      <c r="N1366" t="inlineStr">
        <is>
          <t>EUR</t>
        </is>
      </c>
      <c r="O1366" t="inlineStr">
        <is>
          <t>Sibiu</t>
        </is>
      </c>
      <c r="P1366" s="12" t="n">
        <v>46346</v>
      </c>
      <c r="Q1366">
        <f>IF(COUNTIF(tbl_Localitati[oras_oficial],[@oras])=0,"ORAS NEALINIAT",IF(XLOOKUP([@oras],tbl_Localitati[oras_oficial],tbl_Localitati[judet],"?")&lt;&gt;[@judet],"JUDET NECORESPUNZATOR",""))</f>
        <v/>
      </c>
      <c r="R1366">
        <f>IF(XLOOKUP([@categorie],tbl_RegulriTVA[categorie],tbl_RegulriTVA[cota_legala],-1)&lt;&gt;[@cota_tva],"TVA GRESIT","")</f>
        <v/>
      </c>
      <c r="S1366">
        <f>IF([@data_scadentei]&lt;[@data_factura],"SCADENTA INAINTEA FACTURII","")</f>
        <v/>
      </c>
      <c r="T1366">
        <f>IF(NETWORKDAYS.INTL([@data_factura],[@data_factura],1,tbl_SarbatoriLegale[data])=0,"ZI NELUCRATOARE","")</f>
        <v/>
      </c>
      <c r="U1366">
        <f>IF([@motiv_anomalie]="","OK","DE INVESTIGAT")</f>
        <v/>
      </c>
      <c r="V1366">
        <f>TEXTJOIN("; ",TRUE,[@flag_oras],[@flag_tva],[@flag_scadenta],[@flag_zi])</f>
        <v/>
      </c>
    </row>
    <row r="1367">
      <c r="A1367" t="inlineStr">
        <is>
          <t>F-2025-01366</t>
        </is>
      </c>
      <c r="B1367" s="12" t="n">
        <v>46338</v>
      </c>
      <c r="C1367" t="inlineStr">
        <is>
          <t>SC OMEGA SOFT SRL</t>
        </is>
      </c>
      <c r="D1367" t="inlineStr">
        <is>
          <t>Dolj</t>
        </is>
      </c>
      <c r="E1367" t="inlineStr">
        <is>
          <t>PRD-005</t>
        </is>
      </c>
      <c r="F1367" t="inlineStr">
        <is>
          <t>Masti protectie cutie</t>
        </is>
      </c>
      <c r="G1367" t="inlineStr">
        <is>
          <t>Produse farmaceutice</t>
        </is>
      </c>
      <c r="H1367" t="n">
        <v>3</v>
      </c>
      <c r="I1367" t="n">
        <v>254.46</v>
      </c>
      <c r="J1367" t="n">
        <v>763.38</v>
      </c>
      <c r="K1367" s="13" t="n">
        <v>0.09</v>
      </c>
      <c r="L1367" t="n">
        <v>68.7</v>
      </c>
      <c r="M1367" t="n">
        <v>832.08</v>
      </c>
      <c r="N1367" t="inlineStr">
        <is>
          <t>RON</t>
        </is>
      </c>
      <c r="O1367" t="inlineStr">
        <is>
          <t>Craiova</t>
        </is>
      </c>
      <c r="P1367" s="12" t="n">
        <v>46353</v>
      </c>
      <c r="Q1367">
        <f>IF(COUNTIF(tbl_Localitati[oras_oficial],[@oras])=0,"ORAS NEALINIAT",IF(XLOOKUP([@oras],tbl_Localitati[oras_oficial],tbl_Localitati[judet],"?")&lt;&gt;[@judet],"JUDET NECORESPUNZATOR",""))</f>
        <v/>
      </c>
      <c r="R1367">
        <f>IF(XLOOKUP([@categorie],tbl_RegulriTVA[categorie],tbl_RegulriTVA[cota_legala],-1)&lt;&gt;[@cota_tva],"TVA GRESIT","")</f>
        <v/>
      </c>
      <c r="S1367">
        <f>IF([@data_scadentei]&lt;[@data_factura],"SCADENTA INAINTEA FACTURII","")</f>
        <v/>
      </c>
      <c r="T1367">
        <f>IF(NETWORKDAYS.INTL([@data_factura],[@data_factura],1,tbl_SarbatoriLegale[data])=0,"ZI NELUCRATOARE","")</f>
        <v/>
      </c>
      <c r="U1367">
        <f>IF([@motiv_anomalie]="","OK","DE INVESTIGAT")</f>
        <v/>
      </c>
      <c r="V1367">
        <f>TEXTJOIN("; ",TRUE,[@flag_oras],[@flag_tva],[@flag_scadenta],[@flag_zi])</f>
        <v/>
      </c>
    </row>
    <row r="1368">
      <c r="A1368" t="inlineStr">
        <is>
          <t>F-2025-01367</t>
        </is>
      </c>
      <c r="B1368" s="12" t="n">
        <v>46066</v>
      </c>
      <c r="C1368" t="inlineStr">
        <is>
          <t>SC DACTECH SOLUTIONS SRL</t>
        </is>
      </c>
      <c r="D1368" t="inlineStr">
        <is>
          <t>Argeș</t>
        </is>
      </c>
      <c r="E1368" t="inlineStr">
        <is>
          <t>PRD-011</t>
        </is>
      </c>
      <c r="F1368" t="inlineStr">
        <is>
          <t>Videoproiector sala</t>
        </is>
      </c>
      <c r="G1368" t="inlineStr">
        <is>
          <t>Echipamente birou</t>
        </is>
      </c>
      <c r="H1368" t="n">
        <v>50</v>
      </c>
      <c r="I1368" t="n">
        <v>42.8</v>
      </c>
      <c r="J1368" t="n">
        <v>2140</v>
      </c>
      <c r="K1368" s="13" t="n">
        <v>0.19</v>
      </c>
      <c r="L1368" t="n">
        <v>406.6</v>
      </c>
      <c r="M1368" t="n">
        <v>2546.6</v>
      </c>
      <c r="N1368" t="inlineStr">
        <is>
          <t>RON</t>
        </is>
      </c>
      <c r="O1368" t="inlineStr">
        <is>
          <t>Pitești</t>
        </is>
      </c>
      <c r="P1368" s="12" t="n">
        <v>46096</v>
      </c>
      <c r="Q1368">
        <f>IF(COUNTIF(tbl_Localitati[oras_oficial],[@oras])=0,"ORAS NEALINIAT",IF(XLOOKUP([@oras],tbl_Localitati[oras_oficial],tbl_Localitati[judet],"?")&lt;&gt;[@judet],"JUDET NECORESPUNZATOR",""))</f>
        <v/>
      </c>
      <c r="R1368">
        <f>IF(XLOOKUP([@categorie],tbl_RegulriTVA[categorie],tbl_RegulriTVA[cota_legala],-1)&lt;&gt;[@cota_tva],"TVA GRESIT","")</f>
        <v/>
      </c>
      <c r="S1368">
        <f>IF([@data_scadentei]&lt;[@data_factura],"SCADENTA INAINTEA FACTURII","")</f>
        <v/>
      </c>
      <c r="T1368">
        <f>IF(NETWORKDAYS.INTL([@data_factura],[@data_factura],1,tbl_SarbatoriLegale[data])=0,"ZI NELUCRATOARE","")</f>
        <v/>
      </c>
      <c r="U1368">
        <f>IF([@motiv_anomalie]="","OK","DE INVESTIGAT")</f>
        <v/>
      </c>
      <c r="V1368">
        <f>TEXTJOIN("; ",TRUE,[@flag_oras],[@flag_tva],[@flag_scadenta],[@flag_zi])</f>
        <v/>
      </c>
    </row>
    <row r="1369">
      <c r="A1369" t="inlineStr">
        <is>
          <t>F-2025-01368</t>
        </is>
      </c>
      <c r="B1369" s="12" t="n">
        <v>46059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Training utilizatori</t>
        </is>
      </c>
      <c r="G1369" t="inlineStr">
        <is>
          <t>Servicii consultanță</t>
        </is>
      </c>
      <c r="H1369" t="n">
        <v>1</v>
      </c>
      <c r="I1369" t="n">
        <v>240.2</v>
      </c>
      <c r="J1369" t="n">
        <v>240.2</v>
      </c>
      <c r="K1369" s="13" t="n">
        <v>0.19</v>
      </c>
      <c r="L1369" t="n">
        <v>45.64</v>
      </c>
      <c r="M1369" t="n">
        <v>285.84</v>
      </c>
      <c r="N1369" t="inlineStr">
        <is>
          <t>RON</t>
        </is>
      </c>
      <c r="O1369" t="inlineStr">
        <is>
          <t>Sibiu</t>
        </is>
      </c>
      <c r="P1369" s="12" t="n">
        <v>46089</v>
      </c>
      <c r="Q1369">
        <f>IF(COUNTIF(tbl_Localitati[oras_oficial],[@oras])=0,"ORAS NEALINIAT",IF(XLOOKUP([@oras],tbl_Localitati[oras_oficial],tbl_Localitati[judet],"?")&lt;&gt;[@judet],"JUDET NECORESPUNZATOR",""))</f>
        <v/>
      </c>
      <c r="R1369">
        <f>IF(XLOOKUP([@categorie],tbl_RegulriTVA[categorie],tbl_RegulriTVA[cota_legala],-1)&lt;&gt;[@cota_tva],"TVA GRESIT","")</f>
        <v/>
      </c>
      <c r="S1369">
        <f>IF([@data_scadentei]&lt;[@data_factura],"SCADENTA INAINTEA FACTURII","")</f>
        <v/>
      </c>
      <c r="T1369">
        <f>IF(NETWORKDAYS.INTL([@data_factura],[@data_factura],1,tbl_SarbatoriLegale[data])=0,"ZI NELUCRATOARE","")</f>
        <v/>
      </c>
      <c r="U1369">
        <f>IF([@motiv_anomalie]="","OK","DE INVESTIGAT")</f>
        <v/>
      </c>
      <c r="V1369">
        <f>TEXTJOIN("; ",TRUE,[@flag_oras],[@flag_tva],[@flag_scadenta],[@flag_zi])</f>
        <v/>
      </c>
    </row>
    <row r="1370">
      <c r="A1370" t="inlineStr">
        <is>
          <t>F-2025-01369</t>
        </is>
      </c>
      <c r="B1370" s="12" t="n">
        <v>46176</v>
      </c>
      <c r="C1370" t="inlineStr">
        <is>
          <t>SC ELECTROBUILD SRL</t>
        </is>
      </c>
      <c r="D1370" t="inlineStr">
        <is>
          <t>Bacău</t>
        </is>
      </c>
      <c r="E1370" t="inlineStr">
        <is>
          <t>PRD-002</t>
        </is>
      </c>
      <c r="F1370" t="inlineStr">
        <is>
          <t>Multifunctionala laser</t>
        </is>
      </c>
      <c r="G1370" t="inlineStr">
        <is>
          <t>Echipamente birou</t>
        </is>
      </c>
      <c r="H1370" t="n">
        <v>10</v>
      </c>
      <c r="I1370" t="n">
        <v>1104.11</v>
      </c>
      <c r="J1370" t="n">
        <v>11041.1</v>
      </c>
      <c r="K1370" s="13" t="n">
        <v>0.19</v>
      </c>
      <c r="L1370" t="n">
        <v>2097.81</v>
      </c>
      <c r="M1370" t="n">
        <v>13138.91</v>
      </c>
      <c r="N1370" t="inlineStr">
        <is>
          <t>RON</t>
        </is>
      </c>
      <c r="O1370" t="inlineStr">
        <is>
          <t>Bacău</t>
        </is>
      </c>
      <c r="P1370" s="12" t="n">
        <v>46236</v>
      </c>
      <c r="Q1370">
        <f>IF(COUNTIF(tbl_Localitati[oras_oficial],[@oras])=0,"ORAS NEALINIAT",IF(XLOOKUP([@oras],tbl_Localitati[oras_oficial],tbl_Localitati[judet],"?")&lt;&gt;[@judet],"JUDET NECORESPUNZATOR",""))</f>
        <v/>
      </c>
      <c r="R1370">
        <f>IF(XLOOKUP([@categorie],tbl_RegulriTVA[categorie],tbl_RegulriTVA[cota_legala],-1)&lt;&gt;[@cota_tva],"TVA GRESIT","")</f>
        <v/>
      </c>
      <c r="S1370">
        <f>IF([@data_scadentei]&lt;[@data_factura],"SCADENTA INAINTEA FACTURII","")</f>
        <v/>
      </c>
      <c r="T1370">
        <f>IF(NETWORKDAYS.INTL([@data_factura],[@data_factura],1,tbl_SarbatoriLegale[data])=0,"ZI NELUCRATOARE","")</f>
        <v/>
      </c>
      <c r="U1370">
        <f>IF([@motiv_anomalie]="","OK","DE INVESTIGAT")</f>
        <v/>
      </c>
      <c r="V1370">
        <f>TEXTJOIN("; ",TRUE,[@flag_oras],[@flag_tva],[@flag_scadenta],[@flag_zi])</f>
        <v/>
      </c>
    </row>
    <row r="1371">
      <c r="A1371" t="inlineStr">
        <is>
          <t>F-2025-01370</t>
        </is>
      </c>
      <c r="B1371" s="12" t="n">
        <v>46085</v>
      </c>
      <c r="C1371" t="inlineStr">
        <is>
          <t>SC RAPID LOGISTIC SA</t>
        </is>
      </c>
      <c r="D1371" t="inlineStr">
        <is>
          <t>Prahova</t>
        </is>
      </c>
      <c r="E1371" t="inlineStr">
        <is>
          <t>PRD-001</t>
        </is>
      </c>
      <c r="F1371" t="inlineStr">
        <is>
          <t>Tocator documente</t>
        </is>
      </c>
      <c r="G1371" t="inlineStr">
        <is>
          <t>Echipamente birou</t>
        </is>
      </c>
      <c r="H1371" t="n">
        <v>1</v>
      </c>
      <c r="I1371" t="n">
        <v>2372.16</v>
      </c>
      <c r="J1371" t="n">
        <v>2372.16</v>
      </c>
      <c r="K1371" s="13" t="n">
        <v>0.19</v>
      </c>
      <c r="L1371" t="n">
        <v>450.71</v>
      </c>
      <c r="M1371" t="n">
        <v>2822.87</v>
      </c>
      <c r="N1371" t="inlineStr">
        <is>
          <t>RON</t>
        </is>
      </c>
      <c r="O1371" t="inlineStr">
        <is>
          <t>Ploiești</t>
        </is>
      </c>
      <c r="P1371" s="12" t="n">
        <v>46130</v>
      </c>
      <c r="Q1371">
        <f>IF(COUNTIF(tbl_Localitati[oras_oficial],[@oras])=0,"ORAS NEALINIAT",IF(XLOOKUP([@oras],tbl_Localitati[oras_oficial],tbl_Localitati[judet],"?")&lt;&gt;[@judet],"JUDET NECORESPUNZATOR",""))</f>
        <v/>
      </c>
      <c r="R1371">
        <f>IF(XLOOKUP([@categorie],tbl_RegulriTVA[categorie],tbl_RegulriTVA[cota_legala],-1)&lt;&gt;[@cota_tva],"TVA GRESIT","")</f>
        <v/>
      </c>
      <c r="S1371">
        <f>IF([@data_scadentei]&lt;[@data_factura],"SCADENTA INAINTEA FACTURII","")</f>
        <v/>
      </c>
      <c r="T1371">
        <f>IF(NETWORKDAYS.INTL([@data_factura],[@data_factura],1,tbl_SarbatoriLegale[data])=0,"ZI NELUCRATOARE","")</f>
        <v/>
      </c>
      <c r="U1371">
        <f>IF([@motiv_anomalie]="","OK","DE INVESTIGAT")</f>
        <v/>
      </c>
      <c r="V1371">
        <f>TEXTJOIN("; ",TRUE,[@flag_oras],[@flag_tva],[@flag_scadenta],[@flag_zi])</f>
        <v/>
      </c>
    </row>
    <row r="1372">
      <c r="A1372" t="inlineStr">
        <is>
          <t>F-2025-01371</t>
        </is>
      </c>
      <c r="B1372" s="12" t="n">
        <v>46302</v>
      </c>
      <c r="C1372" t="inlineStr">
        <is>
          <t>SC AROMET TRADING SRL</t>
        </is>
      </c>
      <c r="D1372" t="inlineStr">
        <is>
          <t>Alba</t>
        </is>
      </c>
      <c r="E1372" t="inlineStr">
        <is>
          <t>PRD-011</t>
        </is>
      </c>
      <c r="F1372" t="inlineStr">
        <is>
          <t>Switch gigabit 24p</t>
        </is>
      </c>
      <c r="G1372" t="inlineStr">
        <is>
          <t>Hardware IT</t>
        </is>
      </c>
      <c r="H1372" t="n">
        <v>10</v>
      </c>
      <c r="I1372" t="n">
        <v>45.91</v>
      </c>
      <c r="J1372" t="n">
        <v>459.1</v>
      </c>
      <c r="K1372" s="13" t="n">
        <v>0.19</v>
      </c>
      <c r="L1372" t="n">
        <v>87.23</v>
      </c>
      <c r="M1372" t="n">
        <v>546.33</v>
      </c>
      <c r="N1372" t="inlineStr">
        <is>
          <t>RON</t>
        </is>
      </c>
      <c r="O1372" t="inlineStr">
        <is>
          <t>Alba Iulia</t>
        </is>
      </c>
      <c r="P1372" s="12" t="n">
        <v>46332</v>
      </c>
      <c r="Q1372">
        <f>IF(COUNTIF(tbl_Localitati[oras_oficial],[@oras])=0,"ORAS NEALINIAT",IF(XLOOKUP([@oras],tbl_Localitati[oras_oficial],tbl_Localitati[judet],"?")&lt;&gt;[@judet],"JUDET NECORESPUNZATOR",""))</f>
        <v/>
      </c>
      <c r="R1372">
        <f>IF(XLOOKUP([@categorie],tbl_RegulriTVA[categorie],tbl_RegulriTVA[cota_legala],-1)&lt;&gt;[@cota_tva],"TVA GRESIT","")</f>
        <v/>
      </c>
      <c r="S1372">
        <f>IF([@data_scadentei]&lt;[@data_factura],"SCADENTA INAINTEA FACTURII","")</f>
        <v/>
      </c>
      <c r="T1372">
        <f>IF(NETWORKDAYS.INTL([@data_factura],[@data_factura],1,tbl_SarbatoriLegale[data])=0,"ZI NELUCRATOARE","")</f>
        <v/>
      </c>
      <c r="U1372">
        <f>IF([@motiv_anomalie]="","OK","DE INVESTIGAT")</f>
        <v/>
      </c>
      <c r="V1372">
        <f>TEXTJOIN("; ",TRUE,[@flag_oras],[@flag_tva],[@flag_scadenta],[@flag_zi])</f>
        <v/>
      </c>
    </row>
    <row r="1373">
      <c r="A1373" t="inlineStr">
        <is>
          <t>F-2025-01372</t>
        </is>
      </c>
      <c r="B1373" s="12" t="n">
        <v>46380</v>
      </c>
      <c r="C1373" t="inlineStr">
        <is>
          <t>SC DACTECH SOLUTIONS SRL</t>
        </is>
      </c>
      <c r="D1373" t="inlineStr">
        <is>
          <t>Argeș</t>
        </is>
      </c>
      <c r="E1373" t="inlineStr">
        <is>
          <t>PRD-009</t>
        </is>
      </c>
      <c r="F1373" t="inlineStr">
        <is>
          <t>Licenta antivirus enterprise</t>
        </is>
      </c>
      <c r="G1373" t="inlineStr">
        <is>
          <t>Licențe software</t>
        </is>
      </c>
      <c r="H1373" t="n">
        <v>5</v>
      </c>
      <c r="I1373" t="n">
        <v>27.14</v>
      </c>
      <c r="J1373" t="n">
        <v>135.7</v>
      </c>
      <c r="K1373" s="13" t="n">
        <v>0.19</v>
      </c>
      <c r="L1373" t="n">
        <v>25.78</v>
      </c>
      <c r="M1373" t="n">
        <v>161.48</v>
      </c>
      <c r="N1373" t="inlineStr">
        <is>
          <t>RON</t>
        </is>
      </c>
      <c r="O1373" t="inlineStr">
        <is>
          <t>Pitești</t>
        </is>
      </c>
      <c r="P1373" s="12" t="n">
        <v>46440</v>
      </c>
      <c r="Q1373">
        <f>IF(COUNTIF(tbl_Localitati[oras_oficial],[@oras])=0,"ORAS NEALINIAT",IF(XLOOKUP([@oras],tbl_Localitati[oras_oficial],tbl_Localitati[judet],"?")&lt;&gt;[@judet],"JUDET NECORESPUNZATOR",""))</f>
        <v/>
      </c>
      <c r="R1373">
        <f>IF(XLOOKUP([@categorie],tbl_RegulriTVA[categorie],tbl_RegulriTVA[cota_legala],-1)&lt;&gt;[@cota_tva],"TVA GRESIT","")</f>
        <v/>
      </c>
      <c r="S1373">
        <f>IF([@data_scadentei]&lt;[@data_factura],"SCADENTA INAINTEA FACTURII","")</f>
        <v/>
      </c>
      <c r="T1373">
        <f>IF(NETWORKDAYS.INTL([@data_factura],[@data_factura],1,tbl_SarbatoriLegale[data])=0,"ZI NELUCRATOARE","")</f>
        <v/>
      </c>
      <c r="U1373">
        <f>IF([@motiv_anomalie]="","OK","DE INVESTIGAT")</f>
        <v/>
      </c>
      <c r="V1373">
        <f>TEXTJOIN("; ",TRUE,[@flag_oras],[@flag_tva],[@flag_scadenta],[@flag_zi])</f>
        <v/>
      </c>
    </row>
    <row r="1374">
      <c r="A1374" t="inlineStr">
        <is>
          <t>F-2025-01373</t>
        </is>
      </c>
      <c r="B1374" s="12" t="n">
        <v>46276</v>
      </c>
      <c r="C1374" t="inlineStr">
        <is>
          <t>SC METALPLAST INVEST SA</t>
        </is>
      </c>
      <c r="D1374" t="inlineStr">
        <is>
          <t>Cluj</t>
        </is>
      </c>
      <c r="E1374" t="inlineStr">
        <is>
          <t>PRD-006</t>
        </is>
      </c>
      <c r="F1374" t="inlineStr">
        <is>
          <t>Licenta ERP contabilitate</t>
        </is>
      </c>
      <c r="G1374" t="inlineStr">
        <is>
          <t>Licențe software</t>
        </is>
      </c>
      <c r="H1374" t="n">
        <v>5</v>
      </c>
      <c r="I1374" t="n">
        <v>758.04</v>
      </c>
      <c r="J1374" t="n">
        <v>3790.2</v>
      </c>
      <c r="K1374" s="13" t="n">
        <v>0.19</v>
      </c>
      <c r="L1374" t="n">
        <v>720.14</v>
      </c>
      <c r="M1374" t="n">
        <v>4510.34</v>
      </c>
      <c r="N1374" t="inlineStr">
        <is>
          <t>RON</t>
        </is>
      </c>
      <c r="O1374" t="inlineStr">
        <is>
          <t>Turda</t>
        </is>
      </c>
      <c r="P1374" s="12" t="n">
        <v>46336</v>
      </c>
      <c r="Q1374">
        <f>IF(COUNTIF(tbl_Localitati[oras_oficial],[@oras])=0,"ORAS NEALINIAT",IF(XLOOKUP([@oras],tbl_Localitati[oras_oficial],tbl_Localitati[judet],"?")&lt;&gt;[@judet],"JUDET NECORESPUNZATOR",""))</f>
        <v/>
      </c>
      <c r="R1374">
        <f>IF(XLOOKUP([@categorie],tbl_RegulriTVA[categorie],tbl_RegulriTVA[cota_legala],-1)&lt;&gt;[@cota_tva],"TVA GRESIT","")</f>
        <v/>
      </c>
      <c r="S1374">
        <f>IF([@data_scadentei]&lt;[@data_factura],"SCADENTA INAINTEA FACTURII","")</f>
        <v/>
      </c>
      <c r="T1374">
        <f>IF(NETWORKDAYS.INTL([@data_factura],[@data_factura],1,tbl_SarbatoriLegale[data])=0,"ZI NELUCRATOARE","")</f>
        <v/>
      </c>
      <c r="U1374">
        <f>IF([@motiv_anomalie]="","OK","DE INVESTIGAT")</f>
        <v/>
      </c>
      <c r="V1374">
        <f>TEXTJOIN("; ",TRUE,[@flag_oras],[@flag_tva],[@flag_scadenta],[@flag_zi])</f>
        <v/>
      </c>
    </row>
    <row r="1375">
      <c r="A1375" t="inlineStr">
        <is>
          <t>F-2025-01374</t>
        </is>
      </c>
      <c r="B1375" s="12" t="n">
        <v>46232</v>
      </c>
      <c r="C1375" t="inlineStr">
        <is>
          <t>SC OMEGA SOFT SRL</t>
        </is>
      </c>
      <c r="D1375" t="inlineStr">
        <is>
          <t>Dolj</t>
        </is>
      </c>
      <c r="E1375" t="inlineStr">
        <is>
          <t>PRD-009</t>
        </is>
      </c>
      <c r="F1375" t="inlineStr">
        <is>
          <t>Statie de lucru desktop</t>
        </is>
      </c>
      <c r="G1375" t="inlineStr">
        <is>
          <t>Hardware IT</t>
        </is>
      </c>
      <c r="H1375" t="n">
        <v>20</v>
      </c>
      <c r="I1375" t="n">
        <v>29.25</v>
      </c>
      <c r="J1375" t="n">
        <v>585</v>
      </c>
      <c r="K1375" s="13" t="n">
        <v>0.19</v>
      </c>
      <c r="L1375" t="n">
        <v>111.15</v>
      </c>
      <c r="M1375" t="n">
        <v>696.15</v>
      </c>
      <c r="N1375" t="inlineStr">
        <is>
          <t>RON</t>
        </is>
      </c>
      <c r="O1375" t="inlineStr">
        <is>
          <t>Craiova</t>
        </is>
      </c>
      <c r="P1375" s="12" t="n">
        <v>46277</v>
      </c>
      <c r="Q1375">
        <f>IF(COUNTIF(tbl_Localitati[oras_oficial],[@oras])=0,"ORAS NEALINIAT",IF(XLOOKUP([@oras],tbl_Localitati[oras_oficial],tbl_Localitati[judet],"?")&lt;&gt;[@judet],"JUDET NECORESPUNZATOR",""))</f>
        <v/>
      </c>
      <c r="R1375">
        <f>IF(XLOOKUP([@categorie],tbl_RegulriTVA[categorie],tbl_RegulriTVA[cota_legala],-1)&lt;&gt;[@cota_tva],"TVA GRESIT","")</f>
        <v/>
      </c>
      <c r="S1375">
        <f>IF([@data_scadentei]&lt;[@data_factura],"SCADENTA INAINTEA FACTURII","")</f>
        <v/>
      </c>
      <c r="T1375">
        <f>IF(NETWORKDAYS.INTL([@data_factura],[@data_factura],1,tbl_SarbatoriLegale[data])=0,"ZI NELUCRATOARE","")</f>
        <v/>
      </c>
      <c r="U1375">
        <f>IF([@motiv_anomalie]="","OK","DE INVESTIGAT")</f>
        <v/>
      </c>
      <c r="V1375">
        <f>TEXTJOIN("; ",TRUE,[@flag_oras],[@flag_tva],[@flag_scadenta],[@flag_zi])</f>
        <v/>
      </c>
    </row>
    <row r="1376">
      <c r="A1376" t="inlineStr">
        <is>
          <t>F-2025-01375</t>
        </is>
      </c>
      <c r="B1376" s="12" t="n">
        <v>46043</v>
      </c>
      <c r="C1376" t="inlineStr">
        <is>
          <t>SC INTEGROMED SA</t>
        </is>
      </c>
      <c r="D1376" t="inlineStr">
        <is>
          <t>Cluj</t>
        </is>
      </c>
      <c r="E1376" t="inlineStr">
        <is>
          <t>PRD-005</t>
        </is>
      </c>
      <c r="F1376" t="inlineStr">
        <is>
          <t>Switch gigabit 24p</t>
        </is>
      </c>
      <c r="G1376" t="inlineStr">
        <is>
          <t>Hardware IT</t>
        </is>
      </c>
      <c r="H1376" t="n">
        <v>3</v>
      </c>
      <c r="I1376" t="n">
        <v>248.35</v>
      </c>
      <c r="J1376" t="n">
        <v>745.05</v>
      </c>
      <c r="K1376" s="13" t="n">
        <v>0.19</v>
      </c>
      <c r="L1376" t="n">
        <v>141.56</v>
      </c>
      <c r="M1376" t="n">
        <v>886.61</v>
      </c>
      <c r="N1376" t="inlineStr">
        <is>
          <t>RON</t>
        </is>
      </c>
      <c r="O1376" t="inlineStr">
        <is>
          <t>Cluj-Napoca</t>
        </is>
      </c>
      <c r="P1376" s="12" t="n">
        <v>46058</v>
      </c>
      <c r="Q1376">
        <f>IF(COUNTIF(tbl_Localitati[oras_oficial],[@oras])=0,"ORAS NEALINIAT",IF(XLOOKUP([@oras],tbl_Localitati[oras_oficial],tbl_Localitati[judet],"?")&lt;&gt;[@judet],"JUDET NECORESPUNZATOR",""))</f>
        <v/>
      </c>
      <c r="R1376">
        <f>IF(XLOOKUP([@categorie],tbl_RegulriTVA[categorie],tbl_RegulriTVA[cota_legala],-1)&lt;&gt;[@cota_tva],"TVA GRESIT","")</f>
        <v/>
      </c>
      <c r="S1376">
        <f>IF([@data_scadentei]&lt;[@data_factura],"SCADENTA INAINTEA FACTURII","")</f>
        <v/>
      </c>
      <c r="T1376">
        <f>IF(NETWORKDAYS.INTL([@data_factura],[@data_factura],1,tbl_SarbatoriLegale[data])=0,"ZI NELUCRATOARE","")</f>
        <v/>
      </c>
      <c r="U1376">
        <f>IF([@motiv_anomalie]="","OK","DE INVESTIGAT")</f>
        <v/>
      </c>
      <c r="V1376">
        <f>TEXTJOIN("; ",TRUE,[@flag_oras],[@flag_tva],[@flag_scadenta],[@flag_zi])</f>
        <v/>
      </c>
    </row>
    <row r="1377">
      <c r="A1377" t="inlineStr">
        <is>
          <t>F-2025-01376</t>
        </is>
      </c>
      <c r="B1377" s="12" t="n">
        <v>46175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Consultanta implementare IT</t>
        </is>
      </c>
      <c r="G1377" t="inlineStr">
        <is>
          <t>Servicii consultanță</t>
        </is>
      </c>
      <c r="H1377" t="n">
        <v>1</v>
      </c>
      <c r="I1377" t="n">
        <v>931.8</v>
      </c>
      <c r="J1377" t="n">
        <v>931.8</v>
      </c>
      <c r="K1377" s="13" t="n">
        <v>0.19</v>
      </c>
      <c r="L1377" t="n">
        <v>177.04</v>
      </c>
      <c r="M1377" t="n">
        <v>1108.84</v>
      </c>
      <c r="N1377" t="inlineStr">
        <is>
          <t>RON</t>
        </is>
      </c>
      <c r="O1377" t="inlineStr">
        <is>
          <t>Sibiu</t>
        </is>
      </c>
      <c r="P1377" s="12" t="n">
        <v>46220</v>
      </c>
      <c r="Q1377">
        <f>IF(COUNTIF(tbl_Localitati[oras_oficial],[@oras])=0,"ORAS NEALINIAT",IF(XLOOKUP([@oras],tbl_Localitati[oras_oficial],tbl_Localitati[judet],"?")&lt;&gt;[@judet],"JUDET NECORESPUNZATOR",""))</f>
        <v/>
      </c>
      <c r="R1377">
        <f>IF(XLOOKUP([@categorie],tbl_RegulriTVA[categorie],tbl_RegulriTVA[cota_legala],-1)&lt;&gt;[@cota_tva],"TVA GRESIT","")</f>
        <v/>
      </c>
      <c r="S1377">
        <f>IF([@data_scadentei]&lt;[@data_factura],"SCADENTA INAINTEA FACTURII","")</f>
        <v/>
      </c>
      <c r="T1377">
        <f>IF(NETWORKDAYS.INTL([@data_factura],[@data_factura],1,tbl_SarbatoriLegale[data])=0,"ZI NELUCRATOARE","")</f>
        <v/>
      </c>
      <c r="U1377">
        <f>IF([@motiv_anomalie]="","OK","DE INVESTIGAT")</f>
        <v/>
      </c>
      <c r="V1377">
        <f>TEXTJOIN("; ",TRUE,[@flag_oras],[@flag_tva],[@flag_scadenta],[@flag_zi])</f>
        <v/>
      </c>
    </row>
    <row r="1378">
      <c r="A1378" t="inlineStr">
        <is>
          <t>F-2025-01377</t>
        </is>
      </c>
      <c r="B1378" s="12" t="n">
        <v>46104</v>
      </c>
      <c r="C1378" t="inlineStr">
        <is>
          <t>SC PROVITA MEDICAL SRL</t>
        </is>
      </c>
      <c r="D1378" t="inlineStr">
        <is>
          <t>Mureș</t>
        </is>
      </c>
      <c r="E1378" t="inlineStr">
        <is>
          <t>PRD-002</t>
        </is>
      </c>
      <c r="F1378" t="inlineStr">
        <is>
          <t>Licenta ERP contabilitate</t>
        </is>
      </c>
      <c r="G1378" t="inlineStr">
        <is>
          <t>Licențe software</t>
        </is>
      </c>
      <c r="H1378" t="n">
        <v>3</v>
      </c>
      <c r="I1378" t="n">
        <v>1130.84</v>
      </c>
      <c r="J1378" t="n">
        <v>3392.52</v>
      </c>
      <c r="K1378" s="13" t="n">
        <v>0.19</v>
      </c>
      <c r="L1378" t="n">
        <v>644.58</v>
      </c>
      <c r="M1378" t="n">
        <v>4037.1</v>
      </c>
      <c r="N1378" t="inlineStr">
        <is>
          <t>RON</t>
        </is>
      </c>
      <c r="O1378" t="inlineStr">
        <is>
          <t>Târgu Mureș</t>
        </is>
      </c>
      <c r="P1378" s="12" t="n">
        <v>46164</v>
      </c>
      <c r="Q1378">
        <f>IF(COUNTIF(tbl_Localitati[oras_oficial],[@oras])=0,"ORAS NEALINIAT",IF(XLOOKUP([@oras],tbl_Localitati[oras_oficial],tbl_Localitati[judet],"?")&lt;&gt;[@judet],"JUDET NECORESPUNZATOR",""))</f>
        <v/>
      </c>
      <c r="R1378">
        <f>IF(XLOOKUP([@categorie],tbl_RegulriTVA[categorie],tbl_RegulriTVA[cota_legala],-1)&lt;&gt;[@cota_tva],"TVA GRESIT","")</f>
        <v/>
      </c>
      <c r="S1378">
        <f>IF([@data_scadentei]&lt;[@data_factura],"SCADENTA INAINTEA FACTURII","")</f>
        <v/>
      </c>
      <c r="T1378">
        <f>IF(NETWORKDAYS.INTL([@data_factura],[@data_factura],1,tbl_SarbatoriLegale[data])=0,"ZI NELUCRATOARE","")</f>
        <v/>
      </c>
      <c r="U1378">
        <f>IF([@motiv_anomalie]="","OK","DE INVESTIGAT")</f>
        <v/>
      </c>
      <c r="V1378">
        <f>TEXTJOIN("; ",TRUE,[@flag_oras],[@flag_tva],[@flag_scadenta],[@flag_zi])</f>
        <v/>
      </c>
    </row>
    <row r="1379">
      <c r="A1379" t="inlineStr">
        <is>
          <t>F-2025-01378</t>
        </is>
      </c>
      <c r="B1379" s="12" t="n">
        <v>46182</v>
      </c>
      <c r="C1379" t="inlineStr">
        <is>
          <t>SC AROMET TRADING SRL</t>
        </is>
      </c>
      <c r="D1379" t="inlineStr">
        <is>
          <t>Alba</t>
        </is>
      </c>
      <c r="E1379" t="inlineStr">
        <is>
          <t>PRD-012</t>
        </is>
      </c>
      <c r="F1379" t="inlineStr">
        <is>
          <t>Switch gigabit 24p</t>
        </is>
      </c>
      <c r="G1379" t="inlineStr">
        <is>
          <t>Hardware IT</t>
        </is>
      </c>
      <c r="H1379" t="n">
        <v>16</v>
      </c>
      <c r="I1379" t="n">
        <v>174.78</v>
      </c>
      <c r="J1379" t="n">
        <v>2796.48</v>
      </c>
      <c r="K1379" s="13" t="n">
        <v>0.19</v>
      </c>
      <c r="L1379" t="n">
        <v>531.33</v>
      </c>
      <c r="M1379" t="n">
        <v>3327.81</v>
      </c>
      <c r="N1379" t="inlineStr">
        <is>
          <t>RON</t>
        </is>
      </c>
      <c r="O1379" t="inlineStr">
        <is>
          <t>Alba Iulia</t>
        </is>
      </c>
      <c r="P1379" s="12" t="n">
        <v>46242</v>
      </c>
      <c r="Q1379">
        <f>IF(COUNTIF(tbl_Localitati[oras_oficial],[@oras])=0,"ORAS NEALINIAT",IF(XLOOKUP([@oras],tbl_Localitati[oras_oficial],tbl_Localitati[judet],"?")&lt;&gt;[@judet],"JUDET NECORESPUNZATOR",""))</f>
        <v/>
      </c>
      <c r="R1379">
        <f>IF(XLOOKUP([@categorie],tbl_RegulriTVA[categorie],tbl_RegulriTVA[cota_legala],-1)&lt;&gt;[@cota_tva],"TVA GRESIT","")</f>
        <v/>
      </c>
      <c r="S1379">
        <f>IF([@data_scadentei]&lt;[@data_factura],"SCADENTA INAINTEA FACTURII","")</f>
        <v/>
      </c>
      <c r="T1379">
        <f>IF(NETWORKDAYS.INTL([@data_factura],[@data_factura],1,tbl_SarbatoriLegale[data])=0,"ZI NELUCRATOARE","")</f>
        <v/>
      </c>
      <c r="U1379">
        <f>IF([@motiv_anomalie]="","OK","DE INVESTIGAT")</f>
        <v/>
      </c>
      <c r="V1379">
        <f>TEXTJOIN("; ",TRUE,[@flag_oras],[@flag_tva],[@flag_scadenta],[@flag_zi])</f>
        <v/>
      </c>
    </row>
    <row r="1380">
      <c r="A1380" t="inlineStr">
        <is>
          <t>F-2025-01379</t>
        </is>
      </c>
      <c r="B1380" s="12" t="n">
        <v>46086</v>
      </c>
      <c r="C1380" t="inlineStr">
        <is>
          <t>SC RAPID LOGISTIC SA</t>
        </is>
      </c>
      <c r="D1380" t="inlineStr">
        <is>
          <t>Prahova</t>
        </is>
      </c>
      <c r="E1380" t="inlineStr">
        <is>
          <t>PRD-009</t>
        </is>
      </c>
      <c r="F1380" t="inlineStr">
        <is>
          <t>Statie de lucru desktop</t>
        </is>
      </c>
      <c r="G1380" t="inlineStr">
        <is>
          <t>Hardware IT</t>
        </is>
      </c>
      <c r="H1380" t="n">
        <v>10</v>
      </c>
      <c r="I1380" t="n">
        <v>26.61</v>
      </c>
      <c r="J1380" t="n">
        <v>266.1</v>
      </c>
      <c r="K1380" s="13" t="n">
        <v>0.19</v>
      </c>
      <c r="L1380" t="n">
        <v>50.56</v>
      </c>
      <c r="M1380" t="n">
        <v>316.66</v>
      </c>
      <c r="N1380" t="inlineStr">
        <is>
          <t>RON</t>
        </is>
      </c>
      <c r="O1380" t="inlineStr">
        <is>
          <t>Ploiești</t>
        </is>
      </c>
      <c r="P1380" s="12" t="n">
        <v>46116</v>
      </c>
      <c r="Q1380">
        <f>IF(COUNTIF(tbl_Localitati[oras_oficial],[@oras])=0,"ORAS NEALINIAT",IF(XLOOKUP([@oras],tbl_Localitati[oras_oficial],tbl_Localitati[judet],"?")&lt;&gt;[@judet],"JUDET NECORESPUNZATOR",""))</f>
        <v/>
      </c>
      <c r="R1380">
        <f>IF(XLOOKUP([@categorie],tbl_RegulriTVA[categorie],tbl_RegulriTVA[cota_legala],-1)&lt;&gt;[@cota_tva],"TVA GRESIT","")</f>
        <v/>
      </c>
      <c r="S1380">
        <f>IF([@data_scadentei]&lt;[@data_factura],"SCADENTA INAINTEA FACTURII","")</f>
        <v/>
      </c>
      <c r="T1380">
        <f>IF(NETWORKDAYS.INTL([@data_factura],[@data_factura],1,tbl_SarbatoriLegale[data])=0,"ZI NELUCRATOARE","")</f>
        <v/>
      </c>
      <c r="U1380">
        <f>IF([@motiv_anomalie]="","OK","DE INVESTIGAT")</f>
        <v/>
      </c>
      <c r="V1380">
        <f>TEXTJOIN("; ",TRUE,[@flag_oras],[@flag_tva],[@flag_scadenta],[@flag_zi])</f>
        <v/>
      </c>
    </row>
    <row r="1381">
      <c r="A1381" t="inlineStr">
        <is>
          <t>F-2025-01380</t>
        </is>
      </c>
      <c r="B1381" s="12" t="n">
        <v>46332</v>
      </c>
      <c r="C1381" t="inlineStr">
        <is>
          <t>SC INTEGROMED SA</t>
        </is>
      </c>
      <c r="D1381" t="inlineStr">
        <is>
          <t>Cluj</t>
        </is>
      </c>
      <c r="E1381" t="inlineStr">
        <is>
          <t>PRD-005</t>
        </is>
      </c>
      <c r="F1381" t="inlineStr">
        <is>
          <t>Apa plata bax</t>
        </is>
      </c>
      <c r="G1381" t="inlineStr">
        <is>
          <t>Alimente</t>
        </is>
      </c>
      <c r="H1381" t="n">
        <v>1</v>
      </c>
      <c r="I1381" t="n">
        <v>240.11</v>
      </c>
      <c r="J1381" t="n">
        <v>240.11</v>
      </c>
      <c r="K1381" s="13" t="n">
        <v>0.09</v>
      </c>
      <c r="L1381" t="n">
        <v>21.61</v>
      </c>
      <c r="M1381" t="n">
        <v>261.72</v>
      </c>
      <c r="N1381" t="inlineStr">
        <is>
          <t>RON</t>
        </is>
      </c>
      <c r="O1381" t="inlineStr">
        <is>
          <t>Cluj-Napoca</t>
        </is>
      </c>
      <c r="P1381" s="12" t="n">
        <v>46362</v>
      </c>
      <c r="Q1381">
        <f>IF(COUNTIF(tbl_Localitati[oras_oficial],[@oras])=0,"ORAS NEALINIAT",IF(XLOOKUP([@oras],tbl_Localitati[oras_oficial],tbl_Localitati[judet],"?")&lt;&gt;[@judet],"JUDET NECORESPUNZATOR",""))</f>
        <v/>
      </c>
      <c r="R1381">
        <f>IF(XLOOKUP([@categorie],tbl_RegulriTVA[categorie],tbl_RegulriTVA[cota_legala],-1)&lt;&gt;[@cota_tva],"TVA GRESIT","")</f>
        <v/>
      </c>
      <c r="S1381">
        <f>IF([@data_scadentei]&lt;[@data_factura],"SCADENTA INAINTEA FACTURII","")</f>
        <v/>
      </c>
      <c r="T1381">
        <f>IF(NETWORKDAYS.INTL([@data_factura],[@data_factura],1,tbl_SarbatoriLegale[data])=0,"ZI NELUCRATOARE","")</f>
        <v/>
      </c>
      <c r="U1381">
        <f>IF([@motiv_anomalie]="","OK","DE INVESTIGAT")</f>
        <v/>
      </c>
      <c r="V1381">
        <f>TEXTJOIN("; ",TRUE,[@flag_oras],[@flag_tva],[@flag_scadenta],[@flag_zi])</f>
        <v/>
      </c>
    </row>
    <row r="1382">
      <c r="A1382" t="inlineStr">
        <is>
          <t>F-2025-01381</t>
        </is>
      </c>
      <c r="B1382" s="12" t="n">
        <v>46093</v>
      </c>
      <c r="C1382" t="inlineStr">
        <is>
          <t>SC DACTECH SOLUTIONS SRL</t>
        </is>
      </c>
      <c r="D1382" t="inlineStr">
        <is>
          <t>Argeș</t>
        </is>
      </c>
      <c r="E1382" t="inlineStr">
        <is>
          <t>PRD-002</t>
        </is>
      </c>
      <c r="F1382" t="inlineStr">
        <is>
          <t>Switch gigabit 24p</t>
        </is>
      </c>
      <c r="G1382" t="inlineStr">
        <is>
          <t>Hardware IT</t>
        </is>
      </c>
      <c r="H1382" t="n">
        <v>2</v>
      </c>
      <c r="I1382" t="n">
        <v>1110.1</v>
      </c>
      <c r="J1382" t="n">
        <v>2220.2</v>
      </c>
      <c r="K1382" s="13" t="n">
        <v>0.19</v>
      </c>
      <c r="L1382" t="n">
        <v>421.84</v>
      </c>
      <c r="M1382" t="n">
        <v>2642.04</v>
      </c>
      <c r="N1382" t="inlineStr">
        <is>
          <t>RON</t>
        </is>
      </c>
      <c r="O1382" t="inlineStr">
        <is>
          <t>Pitești</t>
        </is>
      </c>
      <c r="P1382" s="12" t="n">
        <v>46153</v>
      </c>
      <c r="Q1382">
        <f>IF(COUNTIF(tbl_Localitati[oras_oficial],[@oras])=0,"ORAS NEALINIAT",IF(XLOOKUP([@oras],tbl_Localitati[oras_oficial],tbl_Localitati[judet],"?")&lt;&gt;[@judet],"JUDET NECORESPUNZATOR",""))</f>
        <v/>
      </c>
      <c r="R1382">
        <f>IF(XLOOKUP([@categorie],tbl_RegulriTVA[categorie],tbl_RegulriTVA[cota_legala],-1)&lt;&gt;[@cota_tva],"TVA GRESIT","")</f>
        <v/>
      </c>
      <c r="S1382">
        <f>IF([@data_scadentei]&lt;[@data_factura],"SCADENTA INAINTEA FACTURII","")</f>
        <v/>
      </c>
      <c r="T1382">
        <f>IF(NETWORKDAYS.INTL([@data_factura],[@data_factura],1,tbl_SarbatoriLegale[data])=0,"ZI NELUCRATOARE","")</f>
        <v/>
      </c>
      <c r="U1382">
        <f>IF([@motiv_anomalie]="","OK","DE INVESTIGAT")</f>
        <v/>
      </c>
      <c r="V1382">
        <f>TEXTJOIN("; ",TRUE,[@flag_oras],[@flag_tva],[@flag_scadenta],[@flag_zi])</f>
        <v/>
      </c>
    </row>
    <row r="1383">
      <c r="A1383" t="inlineStr">
        <is>
          <t>F-2025-01382</t>
        </is>
      </c>
      <c r="B1383" s="12" t="n">
        <v>46338</v>
      </c>
      <c r="C1383" t="inlineStr">
        <is>
          <t>SC SOLARIS ENERGY SRL</t>
        </is>
      </c>
      <c r="D1383" t="inlineStr">
        <is>
          <t>Prahova</t>
        </is>
      </c>
      <c r="E1383" t="inlineStr">
        <is>
          <t>PRD-001</t>
        </is>
      </c>
      <c r="F1383" t="inlineStr">
        <is>
          <t>Server rack 1U</t>
        </is>
      </c>
      <c r="G1383" t="inlineStr">
        <is>
          <t>Hardware IT</t>
        </is>
      </c>
      <c r="H1383" t="n">
        <v>1</v>
      </c>
      <c r="I1383" t="n">
        <v>2417.32</v>
      </c>
      <c r="J1383" t="n">
        <v>2417.32</v>
      </c>
      <c r="K1383" s="13" t="n">
        <v>0.19</v>
      </c>
      <c r="L1383" t="n">
        <v>459.29</v>
      </c>
      <c r="M1383" t="n">
        <v>2876.61</v>
      </c>
      <c r="N1383" t="inlineStr">
        <is>
          <t>RON</t>
        </is>
      </c>
      <c r="O1383" t="inlineStr">
        <is>
          <t>Câmpina</t>
        </is>
      </c>
      <c r="P1383" s="12" t="n">
        <v>46383</v>
      </c>
      <c r="Q1383">
        <f>IF(COUNTIF(tbl_Localitati[oras_oficial],[@oras])=0,"ORAS NEALINIAT",IF(XLOOKUP([@oras],tbl_Localitati[oras_oficial],tbl_Localitati[judet],"?")&lt;&gt;[@judet],"JUDET NECORESPUNZATOR",""))</f>
        <v/>
      </c>
      <c r="R1383">
        <f>IF(XLOOKUP([@categorie],tbl_RegulriTVA[categorie],tbl_RegulriTVA[cota_legala],-1)&lt;&gt;[@cota_tva],"TVA GRESIT","")</f>
        <v/>
      </c>
      <c r="S1383">
        <f>IF([@data_scadentei]&lt;[@data_factura],"SCADENTA INAINTEA FACTURII","")</f>
        <v/>
      </c>
      <c r="T1383">
        <f>IF(NETWORKDAYS.INTL([@data_factura],[@data_factura],1,tbl_SarbatoriLegale[data])=0,"ZI NELUCRATOARE","")</f>
        <v/>
      </c>
      <c r="U1383">
        <f>IF([@motiv_anomalie]="","OK","DE INVESTIGAT")</f>
        <v/>
      </c>
      <c r="V1383">
        <f>TEXTJOIN("; ",TRUE,[@flag_oras],[@flag_tva],[@flag_scadenta],[@flag_zi])</f>
        <v/>
      </c>
    </row>
    <row r="1384">
      <c r="A1384" t="inlineStr">
        <is>
          <t>F-2025-01383</t>
        </is>
      </c>
      <c r="B1384" s="12" t="n">
        <v>46231</v>
      </c>
      <c r="C1384" t="inlineStr">
        <is>
          <t>SC PROVITA MEDICAL SRL</t>
        </is>
      </c>
      <c r="D1384" t="inlineStr">
        <is>
          <t>Mureș</t>
        </is>
      </c>
      <c r="E1384" t="inlineStr">
        <is>
          <t>PRD-001</t>
        </is>
      </c>
      <c r="F1384" t="inlineStr">
        <is>
          <t>Pachet protocol sedinte</t>
        </is>
      </c>
      <c r="G1384" t="inlineStr">
        <is>
          <t>Alimente</t>
        </is>
      </c>
      <c r="H1384" t="n">
        <v>1</v>
      </c>
      <c r="I1384" t="n">
        <v>2300.06</v>
      </c>
      <c r="J1384" t="n">
        <v>2300.06</v>
      </c>
      <c r="K1384" s="13" t="n">
        <v>0.09</v>
      </c>
      <c r="L1384" t="n">
        <v>207.01</v>
      </c>
      <c r="M1384" t="n">
        <v>2507.07</v>
      </c>
      <c r="N1384" t="inlineStr">
        <is>
          <t>RON</t>
        </is>
      </c>
      <c r="O1384" t="inlineStr">
        <is>
          <t>Târgu Mureș</t>
        </is>
      </c>
      <c r="P1384" s="12" t="n">
        <v>46246</v>
      </c>
      <c r="Q1384">
        <f>IF(COUNTIF(tbl_Localitati[oras_oficial],[@oras])=0,"ORAS NEALINIAT",IF(XLOOKUP([@oras],tbl_Localitati[oras_oficial],tbl_Localitati[judet],"?")&lt;&gt;[@judet],"JUDET NECORESPUNZATOR",""))</f>
        <v/>
      </c>
      <c r="R1384">
        <f>IF(XLOOKUP([@categorie],tbl_RegulriTVA[categorie],tbl_RegulriTVA[cota_legala],-1)&lt;&gt;[@cota_tva],"TVA GRESIT","")</f>
        <v/>
      </c>
      <c r="S1384">
        <f>IF([@data_scadentei]&lt;[@data_factura],"SCADENTA INAINTEA FACTURII","")</f>
        <v/>
      </c>
      <c r="T1384">
        <f>IF(NETWORKDAYS.INTL([@data_factura],[@data_factura],1,tbl_SarbatoriLegale[data])=0,"ZI NELUCRATOARE","")</f>
        <v/>
      </c>
      <c r="U1384">
        <f>IF([@motiv_anomalie]="","OK","DE INVESTIGAT")</f>
        <v/>
      </c>
      <c r="V1384">
        <f>TEXTJOIN("; ",TRUE,[@flag_oras],[@flag_tva],[@flag_scadenta],[@flag_zi])</f>
        <v/>
      </c>
    </row>
    <row r="1385">
      <c r="A1385" t="inlineStr">
        <is>
          <t>F-2025-01384</t>
        </is>
      </c>
      <c r="B1385" s="12" t="n">
        <v>46052</v>
      </c>
      <c r="C1385" t="inlineStr">
        <is>
          <t>SC OMEGA SOFT SRL</t>
        </is>
      </c>
      <c r="D1385" t="inlineStr">
        <is>
          <t>Dolj</t>
        </is>
      </c>
      <c r="E1385" t="inlineStr">
        <is>
          <t>PRD-002</t>
        </is>
      </c>
      <c r="F1385" t="inlineStr">
        <is>
          <t>Cafea boabe 1kg</t>
        </is>
      </c>
      <c r="G1385" t="inlineStr">
        <is>
          <t>Alimente</t>
        </is>
      </c>
      <c r="H1385" t="n">
        <v>1</v>
      </c>
      <c r="I1385" t="n">
        <v>1060.54</v>
      </c>
      <c r="J1385" t="n">
        <v>1060.54</v>
      </c>
      <c r="K1385" s="13" t="n">
        <v>0.09</v>
      </c>
      <c r="L1385" t="n">
        <v>95.45</v>
      </c>
      <c r="M1385" t="n">
        <v>1155.99</v>
      </c>
      <c r="N1385" t="inlineStr">
        <is>
          <t>RON</t>
        </is>
      </c>
      <c r="O1385" t="inlineStr">
        <is>
          <t>Craiova</t>
        </is>
      </c>
      <c r="P1385" s="12" t="n">
        <v>46082</v>
      </c>
      <c r="Q1385">
        <f>IF(COUNTIF(tbl_Localitati[oras_oficial],[@oras])=0,"ORAS NEALINIAT",IF(XLOOKUP([@oras],tbl_Localitati[oras_oficial],tbl_Localitati[judet],"?")&lt;&gt;[@judet],"JUDET NECORESPUNZATOR",""))</f>
        <v/>
      </c>
      <c r="R1385">
        <f>IF(XLOOKUP([@categorie],tbl_RegulriTVA[categorie],tbl_RegulriTVA[cota_legala],-1)&lt;&gt;[@cota_tva],"TVA GRESIT","")</f>
        <v/>
      </c>
      <c r="S1385">
        <f>IF([@data_scadentei]&lt;[@data_factura],"SCADENTA INAINTEA FACTURII","")</f>
        <v/>
      </c>
      <c r="T1385">
        <f>IF(NETWORKDAYS.INTL([@data_factura],[@data_factura],1,tbl_SarbatoriLegale[data])=0,"ZI NELUCRATOARE","")</f>
        <v/>
      </c>
      <c r="U1385">
        <f>IF([@motiv_anomalie]="","OK","DE INVESTIGAT")</f>
        <v/>
      </c>
      <c r="V1385">
        <f>TEXTJOIN("; ",TRUE,[@flag_oras],[@flag_tva],[@flag_scadenta],[@flag_zi])</f>
        <v/>
      </c>
    </row>
    <row r="1386">
      <c r="A1386" t="inlineStr">
        <is>
          <t>F-2025-01385</t>
        </is>
      </c>
      <c r="B1386" s="12" t="n">
        <v>46294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Server rack 1U</t>
        </is>
      </c>
      <c r="G1386" t="inlineStr">
        <is>
          <t>Hardware IT</t>
        </is>
      </c>
      <c r="H1386" t="n">
        <v>1</v>
      </c>
      <c r="I1386" t="n">
        <v>1126.79</v>
      </c>
      <c r="J1386" t="n">
        <v>1126.79</v>
      </c>
      <c r="K1386" s="13" t="n">
        <v>0.19</v>
      </c>
      <c r="L1386" t="n">
        <v>214.09</v>
      </c>
      <c r="M1386" t="n">
        <v>1340.88</v>
      </c>
      <c r="N1386" t="inlineStr">
        <is>
          <t>RON</t>
        </is>
      </c>
      <c r="O1386" t="inlineStr">
        <is>
          <t>Sibiu</t>
        </is>
      </c>
      <c r="P1386" s="12" t="n">
        <v>46339</v>
      </c>
      <c r="Q1386">
        <f>IF(COUNTIF(tbl_Localitati[oras_oficial],[@oras])=0,"ORAS NEALINIAT",IF(XLOOKUP([@oras],tbl_Localitati[oras_oficial],tbl_Localitati[judet],"?")&lt;&gt;[@judet],"JUDET NECORESPUNZATOR",""))</f>
        <v/>
      </c>
      <c r="R1386">
        <f>IF(XLOOKUP([@categorie],tbl_RegulriTVA[categorie],tbl_RegulriTVA[cota_legala],-1)&lt;&gt;[@cota_tva],"TVA GRESIT","")</f>
        <v/>
      </c>
      <c r="S1386">
        <f>IF([@data_scadentei]&lt;[@data_factura],"SCADENTA INAINTEA FACTURII","")</f>
        <v/>
      </c>
      <c r="T1386">
        <f>IF(NETWORKDAYS.INTL([@data_factura],[@data_factura],1,tbl_SarbatoriLegale[data])=0,"ZI NELUCRATOARE","")</f>
        <v/>
      </c>
      <c r="U1386">
        <f>IF([@motiv_anomalie]="","OK","DE INVESTIGAT")</f>
        <v/>
      </c>
      <c r="V1386">
        <f>TEXTJOIN("; ",TRUE,[@flag_oras],[@flag_tva],[@flag_scadenta],[@flag_zi])</f>
        <v/>
      </c>
    </row>
    <row r="1387">
      <c r="A1387" t="inlineStr">
        <is>
          <t>F-2025-01386</t>
        </is>
      </c>
      <c r="B1387" s="12" t="n">
        <v>46161</v>
      </c>
      <c r="C1387" t="inlineStr">
        <is>
          <t>SC METALPLAST INVEST SA</t>
        </is>
      </c>
      <c r="D1387" t="inlineStr">
        <is>
          <t>Cluj</t>
        </is>
      </c>
      <c r="E1387" t="inlineStr">
        <is>
          <t>PRD-002</t>
        </is>
      </c>
      <c r="F1387" t="inlineStr">
        <is>
          <t>Licenta antivirus enterprise</t>
        </is>
      </c>
      <c r="G1387" t="inlineStr">
        <is>
          <t>Licențe software</t>
        </is>
      </c>
      <c r="H1387" t="n">
        <v>1</v>
      </c>
      <c r="I1387" t="n">
        <v>1086.34</v>
      </c>
      <c r="J1387" t="n">
        <v>1086.34</v>
      </c>
      <c r="K1387" s="13" t="n">
        <v>0.19</v>
      </c>
      <c r="L1387" t="n">
        <v>206.4</v>
      </c>
      <c r="M1387" t="n">
        <v>1292.74</v>
      </c>
      <c r="N1387" t="inlineStr">
        <is>
          <t>RON</t>
        </is>
      </c>
      <c r="O1387" t="inlineStr">
        <is>
          <t>Turda</t>
        </is>
      </c>
      <c r="P1387" s="12" t="n">
        <v>46191</v>
      </c>
      <c r="Q1387">
        <f>IF(COUNTIF(tbl_Localitati[oras_oficial],[@oras])=0,"ORAS NEALINIAT",IF(XLOOKUP([@oras],tbl_Localitati[oras_oficial],tbl_Localitati[judet],"?")&lt;&gt;[@judet],"JUDET NECORESPUNZATOR",""))</f>
        <v/>
      </c>
      <c r="R1387">
        <f>IF(XLOOKUP([@categorie],tbl_RegulriTVA[categorie],tbl_RegulriTVA[cota_legala],-1)&lt;&gt;[@cota_tva],"TVA GRESIT","")</f>
        <v/>
      </c>
      <c r="S1387">
        <f>IF([@data_scadentei]&lt;[@data_factura],"SCADENTA INAINTEA FACTURII","")</f>
        <v/>
      </c>
      <c r="T1387">
        <f>IF(NETWORKDAYS.INTL([@data_factura],[@data_factura],1,tbl_SarbatoriLegale[data])=0,"ZI NELUCRATOARE","")</f>
        <v/>
      </c>
      <c r="U1387">
        <f>IF([@motiv_anomalie]="","OK","DE INVESTIGAT")</f>
        <v/>
      </c>
      <c r="V1387">
        <f>TEXTJOIN("; ",TRUE,[@flag_oras],[@flag_tva],[@flag_scadenta],[@flag_zi])</f>
        <v/>
      </c>
    </row>
    <row r="1388">
      <c r="A1388" t="inlineStr">
        <is>
          <t>F-2025-01387</t>
        </is>
      </c>
      <c r="B1388" s="12" t="n">
        <v>46133</v>
      </c>
      <c r="C1388" t="inlineStr">
        <is>
          <t>SC AROMET TRADING SRL</t>
        </is>
      </c>
      <c r="D1388" t="inlineStr">
        <is>
          <t>Alba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 IT</t>
        </is>
      </c>
      <c r="H1388" t="n">
        <v>3</v>
      </c>
      <c r="I1388" t="n">
        <v>2506.77</v>
      </c>
      <c r="J1388" t="n">
        <v>7520.31</v>
      </c>
      <c r="K1388" s="13" t="n">
        <v>0.19</v>
      </c>
      <c r="L1388" t="n">
        <v>1428.86</v>
      </c>
      <c r="M1388" t="n">
        <v>8949.17</v>
      </c>
      <c r="N1388" t="inlineStr">
        <is>
          <t>RON</t>
        </is>
      </c>
      <c r="O1388" t="inlineStr">
        <is>
          <t>Alba Iulia</t>
        </is>
      </c>
      <c r="P1388" s="12" t="n">
        <v>46178</v>
      </c>
      <c r="Q1388">
        <f>IF(COUNTIF(tbl_Localitati[oras_oficial],[@oras])=0,"ORAS NEALINIAT",IF(XLOOKUP([@oras],tbl_Localitati[oras_oficial],tbl_Localitati[judet],"?")&lt;&gt;[@judet],"JUDET NECORESPUNZATOR",""))</f>
        <v/>
      </c>
      <c r="R1388">
        <f>IF(XLOOKUP([@categorie],tbl_RegulriTVA[categorie],tbl_RegulriTVA[cota_legala],-1)&lt;&gt;[@cota_tva],"TVA GRESIT","")</f>
        <v/>
      </c>
      <c r="S1388">
        <f>IF([@data_scadentei]&lt;[@data_factura],"SCADENTA INAINTEA FACTURII","")</f>
        <v/>
      </c>
      <c r="T1388">
        <f>IF(NETWORKDAYS.INTL([@data_factura],[@data_factura],1,tbl_SarbatoriLegale[data])=0,"ZI NELUCRATOARE","")</f>
        <v/>
      </c>
      <c r="U1388">
        <f>IF([@motiv_anomalie]="","OK","DE INVESTIGAT")</f>
        <v/>
      </c>
      <c r="V1388">
        <f>TEXTJOIN("; ",TRUE,[@flag_oras],[@flag_tva],[@flag_scadenta],[@flag_zi])</f>
        <v/>
      </c>
    </row>
    <row r="1389">
      <c r="A1389" t="inlineStr">
        <is>
          <t>F-2025-01388</t>
        </is>
      </c>
      <c r="B1389" s="12" t="n">
        <v>46147</v>
      </c>
      <c r="C1389" t="inlineStr">
        <is>
          <t>SC NORDIS DISTRIBUTIE SRL</t>
        </is>
      </c>
      <c r="D1389" t="inlineStr">
        <is>
          <t>Constanța</t>
        </is>
      </c>
      <c r="E1389" t="inlineStr">
        <is>
          <t>PRD-005</t>
        </is>
      </c>
      <c r="F1389" t="inlineStr">
        <is>
          <t>Server rack 1U</t>
        </is>
      </c>
      <c r="G1389" t="inlineStr">
        <is>
          <t>Hardware IT</t>
        </is>
      </c>
      <c r="H1389" t="n">
        <v>2</v>
      </c>
      <c r="I1389" t="n">
        <v>245.71</v>
      </c>
      <c r="J1389" t="n">
        <v>491.42</v>
      </c>
      <c r="K1389" s="13" t="n">
        <v>0.19</v>
      </c>
      <c r="L1389" t="n">
        <v>93.37</v>
      </c>
      <c r="M1389" t="n">
        <v>584.79</v>
      </c>
      <c r="N1389" t="inlineStr">
        <is>
          <t>RON</t>
        </is>
      </c>
      <c r="O1389" t="inlineStr">
        <is>
          <t>Mangalia</t>
        </is>
      </c>
      <c r="P1389" s="12" t="n">
        <v>46177</v>
      </c>
      <c r="Q1389">
        <f>IF(COUNTIF(tbl_Localitati[oras_oficial],[@oras])=0,"ORAS NEALINIAT",IF(XLOOKUP([@oras],tbl_Localitati[oras_oficial],tbl_Localitati[judet],"?")&lt;&gt;[@judet],"JUDET NECORESPUNZATOR",""))</f>
        <v/>
      </c>
      <c r="R1389">
        <f>IF(XLOOKUP([@categorie],tbl_RegulriTVA[categorie],tbl_RegulriTVA[cota_legala],-1)&lt;&gt;[@cota_tva],"TVA GRESIT","")</f>
        <v/>
      </c>
      <c r="S1389">
        <f>IF([@data_scadentei]&lt;[@data_factura],"SCADENTA INAINTEA FACTURII","")</f>
        <v/>
      </c>
      <c r="T1389">
        <f>IF(NETWORKDAYS.INTL([@data_factura],[@data_factura],1,tbl_SarbatoriLegale[data])=0,"ZI NELUCRATOARE","")</f>
        <v/>
      </c>
      <c r="U1389">
        <f>IF([@motiv_anomalie]="","OK","DE INVESTIGAT")</f>
        <v/>
      </c>
      <c r="V1389">
        <f>TEXTJOIN("; ",TRUE,[@flag_oras],[@flag_tva],[@flag_scadenta],[@flag_zi])</f>
        <v/>
      </c>
    </row>
    <row r="1390">
      <c r="A1390" t="inlineStr">
        <is>
          <t>F-2025-01389</t>
        </is>
      </c>
      <c r="B1390" s="12" t="n">
        <v>46254</v>
      </c>
      <c r="C1390" t="inlineStr">
        <is>
          <t>SC OMEGA SOFT SRL</t>
        </is>
      </c>
      <c r="D1390" t="inlineStr">
        <is>
          <t>Dolj</t>
        </is>
      </c>
      <c r="E1390" t="inlineStr">
        <is>
          <t>PRD-007</t>
        </is>
      </c>
      <c r="F1390" t="inlineStr">
        <is>
          <t>Licenta ERP contabilitate</t>
        </is>
      </c>
      <c r="G1390" t="inlineStr">
        <is>
          <t>Licențe software</t>
        </is>
      </c>
      <c r="H1390" t="n">
        <v>1</v>
      </c>
      <c r="I1390" t="n">
        <v>173.38</v>
      </c>
      <c r="J1390" t="n">
        <v>173.38</v>
      </c>
      <c r="K1390" s="13" t="n">
        <v>0.19</v>
      </c>
      <c r="L1390" t="n">
        <v>32.94</v>
      </c>
      <c r="M1390" t="n">
        <v>206.32</v>
      </c>
      <c r="N1390" t="inlineStr">
        <is>
          <t>USD</t>
        </is>
      </c>
      <c r="O1390" t="inlineStr">
        <is>
          <t>Craiova</t>
        </is>
      </c>
      <c r="P1390" s="12" t="n">
        <v>46314</v>
      </c>
      <c r="Q1390">
        <f>IF(COUNTIF(tbl_Localitati[oras_oficial],[@oras])=0,"ORAS NEALINIAT",IF(XLOOKUP([@oras],tbl_Localitati[oras_oficial],tbl_Localitati[judet],"?")&lt;&gt;[@judet],"JUDET NECORESPUNZATOR",""))</f>
        <v/>
      </c>
      <c r="R1390">
        <f>IF(XLOOKUP([@categorie],tbl_RegulriTVA[categorie],tbl_RegulriTVA[cota_legala],-1)&lt;&gt;[@cota_tva],"TVA GRESIT","")</f>
        <v/>
      </c>
      <c r="S1390">
        <f>IF([@data_scadentei]&lt;[@data_factura],"SCADENTA INAINTEA FACTURII","")</f>
        <v/>
      </c>
      <c r="T1390">
        <f>IF(NETWORKDAYS.INTL([@data_factura],[@data_factura],1,tbl_SarbatoriLegale[data])=0,"ZI NELUCRATOARE","")</f>
        <v/>
      </c>
      <c r="U1390">
        <f>IF([@motiv_anomalie]="","OK","DE INVESTIGAT")</f>
        <v/>
      </c>
      <c r="V1390">
        <f>TEXTJOIN("; ",TRUE,[@flag_oras],[@flag_tva],[@flag_scadenta],[@flag_zi])</f>
        <v/>
      </c>
    </row>
    <row r="1391">
      <c r="A1391" t="inlineStr">
        <is>
          <t>F-2025-01390</t>
        </is>
      </c>
      <c r="B1391" s="12" t="n">
        <v>46244</v>
      </c>
      <c r="C1391" t="inlineStr">
        <is>
          <t>SC ZENITH AUTO SRL</t>
        </is>
      </c>
      <c r="D1391" t="inlineStr">
        <is>
          <t>București</t>
        </is>
      </c>
      <c r="E1391" t="inlineStr">
        <is>
          <t>PRD-003</t>
        </is>
      </c>
      <c r="F1391" t="inlineStr">
        <is>
          <t>Masti protectie cutie</t>
        </is>
      </c>
      <c r="G1391" t="inlineStr">
        <is>
          <t>Produse farmaceutice</t>
        </is>
      </c>
      <c r="H1391" t="n">
        <v>2</v>
      </c>
      <c r="I1391" t="n">
        <v>4026.52</v>
      </c>
      <c r="J1391" t="n">
        <v>8053.04</v>
      </c>
      <c r="K1391" s="13" t="n">
        <v>0.09</v>
      </c>
      <c r="L1391" t="n">
        <v>724.77</v>
      </c>
      <c r="M1391" t="n">
        <v>8777.809999999999</v>
      </c>
      <c r="N1391" t="inlineStr">
        <is>
          <t>RON</t>
        </is>
      </c>
      <c r="O1391" t="inlineStr">
        <is>
          <t>București</t>
        </is>
      </c>
      <c r="P1391" s="12" t="n">
        <v>46274</v>
      </c>
      <c r="Q1391">
        <f>IF(COUNTIF(tbl_Localitati[oras_oficial],[@oras])=0,"ORAS NEALINIAT",IF(XLOOKUP([@oras],tbl_Localitati[oras_oficial],tbl_Localitati[judet],"?")&lt;&gt;[@judet],"JUDET NECORESPUNZATOR",""))</f>
        <v/>
      </c>
      <c r="R1391">
        <f>IF(XLOOKUP([@categorie],tbl_RegulriTVA[categorie],tbl_RegulriTVA[cota_legala],-1)&lt;&gt;[@cota_tva],"TVA GRESIT","")</f>
        <v/>
      </c>
      <c r="S1391">
        <f>IF([@data_scadentei]&lt;[@data_factura],"SCADENTA INAINTEA FACTURII","")</f>
        <v/>
      </c>
      <c r="T1391">
        <f>IF(NETWORKDAYS.INTL([@data_factura],[@data_factura],1,tbl_SarbatoriLegale[data])=0,"ZI NELUCRATOARE","")</f>
        <v/>
      </c>
      <c r="U1391">
        <f>IF([@motiv_anomalie]="","OK","DE INVESTIGAT")</f>
        <v/>
      </c>
      <c r="V1391">
        <f>TEXTJOIN("; ",TRUE,[@flag_oras],[@flag_tva],[@flag_scadenta],[@flag_zi])</f>
        <v/>
      </c>
    </row>
    <row r="1392">
      <c r="A1392" t="inlineStr">
        <is>
          <t>F-2025-01391</t>
        </is>
      </c>
      <c r="B1392" s="12" t="n">
        <v>46380</v>
      </c>
      <c r="C1392" t="inlineStr">
        <is>
          <t>SC RAPID LOGISTIC SA</t>
        </is>
      </c>
      <c r="D1392" t="inlineStr">
        <is>
          <t>Prahova</t>
        </is>
      </c>
      <c r="E1392" t="inlineStr">
        <is>
          <t>PRD-005</t>
        </is>
      </c>
      <c r="F1392" t="inlineStr">
        <is>
          <t>Licenta antivirus enterprise</t>
        </is>
      </c>
      <c r="G1392" t="inlineStr">
        <is>
          <t>Licențe software</t>
        </is>
      </c>
      <c r="H1392" t="n">
        <v>1</v>
      </c>
      <c r="I1392" t="n">
        <v>248.27</v>
      </c>
      <c r="J1392" t="n">
        <v>248.27</v>
      </c>
      <c r="K1392" s="13" t="n">
        <v>0.09</v>
      </c>
      <c r="L1392" t="n">
        <v>22.34</v>
      </c>
      <c r="M1392" t="n">
        <v>270.61</v>
      </c>
      <c r="N1392" t="inlineStr">
        <is>
          <t>RON</t>
        </is>
      </c>
      <c r="O1392" t="inlineStr">
        <is>
          <t>Ploiești</t>
        </is>
      </c>
      <c r="P1392" s="12" t="n">
        <v>46410</v>
      </c>
      <c r="Q1392">
        <f>IF(COUNTIF(tbl_Localitati[oras_oficial],[@oras])=0,"ORAS NEALINIAT",IF(XLOOKUP([@oras],tbl_Localitati[oras_oficial],tbl_Localitati[judet],"?")&lt;&gt;[@judet],"JUDET NECORESPUNZATOR",""))</f>
        <v/>
      </c>
      <c r="R1392">
        <f>IF(XLOOKUP([@categorie],tbl_RegulriTVA[categorie],tbl_RegulriTVA[cota_legala],-1)&lt;&gt;[@cota_tva],"TVA GRESIT","")</f>
        <v/>
      </c>
      <c r="S1392">
        <f>IF([@data_scadentei]&lt;[@data_factura],"SCADENTA INAINTEA FACTURII","")</f>
        <v/>
      </c>
      <c r="T1392">
        <f>IF(NETWORKDAYS.INTL([@data_factura],[@data_factura],1,tbl_SarbatoriLegale[data])=0,"ZI NELUCRATOARE","")</f>
        <v/>
      </c>
      <c r="U1392">
        <f>IF([@motiv_anomalie]="","OK","DE INVESTIGAT")</f>
        <v/>
      </c>
      <c r="V1392">
        <f>TEXTJOIN("; ",TRUE,[@flag_oras],[@flag_tva],[@flag_scadenta],[@flag_zi])</f>
        <v/>
      </c>
    </row>
    <row r="1393">
      <c r="A1393" t="inlineStr">
        <is>
          <t>F-2025-01392</t>
        </is>
      </c>
      <c r="B1393" s="12" t="n">
        <v>46146</v>
      </c>
      <c r="C1393" t="inlineStr">
        <is>
          <t>SC AROMET TRADING SRL</t>
        </is>
      </c>
      <c r="D1393" t="inlineStr">
        <is>
          <t>Alba</t>
        </is>
      </c>
      <c r="E1393" t="inlineStr">
        <is>
          <t>PRD-002</t>
        </is>
      </c>
      <c r="F1393" t="inlineStr">
        <is>
          <t>Statie de lucru desktop</t>
        </is>
      </c>
      <c r="G1393" t="inlineStr">
        <is>
          <t>Hardware IT</t>
        </is>
      </c>
      <c r="H1393" t="n">
        <v>2</v>
      </c>
      <c r="I1393" t="n">
        <v>1062.12</v>
      </c>
      <c r="J1393" t="n">
        <v>2124.24</v>
      </c>
      <c r="K1393" s="13" t="n">
        <v>0.19</v>
      </c>
      <c r="L1393" t="n">
        <v>403.61</v>
      </c>
      <c r="M1393" t="n">
        <v>2527.85</v>
      </c>
      <c r="N1393" t="inlineStr">
        <is>
          <t>RON</t>
        </is>
      </c>
      <c r="O1393" t="inlineStr">
        <is>
          <t>Alba Iulia</t>
        </is>
      </c>
      <c r="P1393" s="12" t="n">
        <v>46176</v>
      </c>
      <c r="Q1393">
        <f>IF(COUNTIF(tbl_Localitati[oras_oficial],[@oras])=0,"ORAS NEALINIAT",IF(XLOOKUP([@oras],tbl_Localitati[oras_oficial],tbl_Localitati[judet],"?")&lt;&gt;[@judet],"JUDET NECORESPUNZATOR",""))</f>
        <v/>
      </c>
      <c r="R1393">
        <f>IF(XLOOKUP([@categorie],tbl_RegulriTVA[categorie],tbl_RegulriTVA[cota_legala],-1)&lt;&gt;[@cota_tva],"TVA GRESIT","")</f>
        <v/>
      </c>
      <c r="S1393">
        <f>IF([@data_scadentei]&lt;[@data_factura],"SCADENTA INAINTEA FACTURII","")</f>
        <v/>
      </c>
      <c r="T1393">
        <f>IF(NETWORKDAYS.INTL([@data_factura],[@data_factura],1,tbl_SarbatoriLegale[data])=0,"ZI NELUCRATOARE","")</f>
        <v/>
      </c>
      <c r="U1393">
        <f>IF([@motiv_anomalie]="","OK","DE INVESTIGAT")</f>
        <v/>
      </c>
      <c r="V1393">
        <f>TEXTJOIN("; ",TRUE,[@flag_oras],[@flag_tva],[@flag_scadenta],[@flag_zi])</f>
        <v/>
      </c>
    </row>
    <row r="1394">
      <c r="A1394" t="inlineStr">
        <is>
          <t>F-2025-01393</t>
        </is>
      </c>
      <c r="B1394" s="12" t="n">
        <v>46249</v>
      </c>
      <c r="C1394" t="inlineStr">
        <is>
          <t>SC RAPID LOGISTIC SA</t>
        </is>
      </c>
      <c r="D1394" t="inlineStr">
        <is>
          <t>Prahova</t>
        </is>
      </c>
      <c r="E1394" t="inlineStr">
        <is>
          <t>PRD-010</t>
        </is>
      </c>
      <c r="F1394" t="inlineStr">
        <is>
          <t>Termometru digital</t>
        </is>
      </c>
      <c r="G1394" t="inlineStr">
        <is>
          <t>Produse farmaceutice</t>
        </is>
      </c>
      <c r="H1394" t="n">
        <v>20</v>
      </c>
      <c r="I1394" t="n">
        <v>344.66</v>
      </c>
      <c r="J1394" t="n">
        <v>6893.2</v>
      </c>
      <c r="K1394" s="13" t="n">
        <v>0.09</v>
      </c>
      <c r="L1394" t="n">
        <v>620.39</v>
      </c>
      <c r="M1394" t="n">
        <v>7513.59</v>
      </c>
      <c r="N1394" t="inlineStr">
        <is>
          <t>RON</t>
        </is>
      </c>
      <c r="O1394" t="inlineStr">
        <is>
          <t>Ploiești</t>
        </is>
      </c>
      <c r="P1394" s="12" t="n">
        <v>46279</v>
      </c>
      <c r="Q1394">
        <f>IF(COUNTIF(tbl_Localitati[oras_oficial],[@oras])=0,"ORAS NEALINIAT",IF(XLOOKUP([@oras],tbl_Localitati[oras_oficial],tbl_Localitati[judet],"?")&lt;&gt;[@judet],"JUDET NECORESPUNZATOR",""))</f>
        <v/>
      </c>
      <c r="R1394">
        <f>IF(XLOOKUP([@categorie],tbl_RegulriTVA[categorie],tbl_RegulriTVA[cota_legala],-1)&lt;&gt;[@cota_tva],"TVA GRESIT","")</f>
        <v/>
      </c>
      <c r="S1394">
        <f>IF([@data_scadentei]&lt;[@data_factura],"SCADENTA INAINTEA FACTURII","")</f>
        <v/>
      </c>
      <c r="T1394">
        <f>IF(NETWORKDAYS.INTL([@data_factura],[@data_factura],1,tbl_SarbatoriLegale[data])=0,"ZI NELUCRATOARE","")</f>
        <v/>
      </c>
      <c r="U1394">
        <f>IF([@motiv_anomalie]="","OK","DE INVESTIGAT")</f>
        <v/>
      </c>
      <c r="V1394">
        <f>TEXTJOIN("; ",TRUE,[@flag_oras],[@flag_tva],[@flag_scadenta],[@flag_zi])</f>
        <v/>
      </c>
    </row>
    <row r="1395">
      <c r="A1395" t="inlineStr">
        <is>
          <t>F-2025-01394</t>
        </is>
      </c>
      <c r="B1395" s="12" t="n">
        <v>46336</v>
      </c>
      <c r="C1395" t="inlineStr">
        <is>
          <t>SC UNIFOOD DISTRIBUTION SA</t>
        </is>
      </c>
      <c r="D1395" t="inlineStr">
        <is>
          <t>Sibiu</t>
        </is>
      </c>
      <c r="E1395" t="inlineStr">
        <is>
          <t>PRD-008</t>
        </is>
      </c>
      <c r="F1395" t="inlineStr">
        <is>
          <t>Licenta antivirus enterprise</t>
        </is>
      </c>
      <c r="G1395" t="inlineStr">
        <is>
          <t>Licențe software</t>
        </is>
      </c>
      <c r="H1395" t="n">
        <v>10</v>
      </c>
      <c r="I1395" t="n">
        <v>456.47</v>
      </c>
      <c r="J1395" t="n">
        <v>4564.7</v>
      </c>
      <c r="K1395" s="13" t="n">
        <v>0.19</v>
      </c>
      <c r="L1395" t="n">
        <v>867.29</v>
      </c>
      <c r="M1395" t="n">
        <v>5431.99</v>
      </c>
      <c r="N1395" t="inlineStr">
        <is>
          <t>RON</t>
        </is>
      </c>
      <c r="O1395" t="inlineStr">
        <is>
          <t>Mediaș</t>
        </is>
      </c>
      <c r="P1395" s="12" t="n">
        <v>46366</v>
      </c>
      <c r="Q1395">
        <f>IF(COUNTIF(tbl_Localitati[oras_oficial],[@oras])=0,"ORAS NEALINIAT",IF(XLOOKUP([@oras],tbl_Localitati[oras_oficial],tbl_Localitati[judet],"?")&lt;&gt;[@judet],"JUDET NECORESPUNZATOR",""))</f>
        <v/>
      </c>
      <c r="R1395">
        <f>IF(XLOOKUP([@categorie],tbl_RegulriTVA[categorie],tbl_RegulriTVA[cota_legala],-1)&lt;&gt;[@cota_tva],"TVA GRESIT","")</f>
        <v/>
      </c>
      <c r="S1395">
        <f>IF([@data_scadentei]&lt;[@data_factura],"SCADENTA INAINTEA FACTURII","")</f>
        <v/>
      </c>
      <c r="T1395">
        <f>IF(NETWORKDAYS.INTL([@data_factura],[@data_factura],1,tbl_SarbatoriLegale[data])=0,"ZI NELUCRATOARE","")</f>
        <v/>
      </c>
      <c r="U1395">
        <f>IF([@motiv_anomalie]="","OK","DE INVESTIGAT")</f>
        <v/>
      </c>
      <c r="V1395">
        <f>TEXTJOIN("; ",TRUE,[@flag_oras],[@flag_tva],[@flag_scadenta],[@flag_zi])</f>
        <v/>
      </c>
    </row>
    <row r="1396">
      <c r="A1396" t="inlineStr">
        <is>
          <t>F-2025-01395</t>
        </is>
      </c>
      <c r="B1396" s="12" t="n">
        <v>46296</v>
      </c>
      <c r="C1396" t="inlineStr">
        <is>
          <t>SC DACTECH SOLUTIONS SRL</t>
        </is>
      </c>
      <c r="D1396" t="inlineStr">
        <is>
          <t>Argeș</t>
        </is>
      </c>
      <c r="E1396" t="inlineStr">
        <is>
          <t>PRD-010</t>
        </is>
      </c>
      <c r="F1396" t="inlineStr">
        <is>
          <t>Ceai cutie 100buc</t>
        </is>
      </c>
      <c r="G1396" t="inlineStr">
        <is>
          <t>Alimente</t>
        </is>
      </c>
      <c r="H1396" t="n">
        <v>5</v>
      </c>
      <c r="I1396" t="n">
        <v>364.06</v>
      </c>
      <c r="J1396" t="n">
        <v>1820.3</v>
      </c>
      <c r="K1396" s="13" t="n">
        <v>0.09</v>
      </c>
      <c r="L1396" t="n">
        <v>163.83</v>
      </c>
      <c r="M1396" t="n">
        <v>1984.13</v>
      </c>
      <c r="N1396" t="inlineStr">
        <is>
          <t>RON</t>
        </is>
      </c>
      <c r="O1396" t="inlineStr">
        <is>
          <t>Pitești</t>
        </is>
      </c>
      <c r="P1396" s="12" t="n">
        <v>46326</v>
      </c>
      <c r="Q1396">
        <f>IF(COUNTIF(tbl_Localitati[oras_oficial],[@oras])=0,"ORAS NEALINIAT",IF(XLOOKUP([@oras],tbl_Localitati[oras_oficial],tbl_Localitati[judet],"?")&lt;&gt;[@judet],"JUDET NECORESPUNZATOR",""))</f>
        <v/>
      </c>
      <c r="R1396">
        <f>IF(XLOOKUP([@categorie],tbl_RegulriTVA[categorie],tbl_RegulriTVA[cota_legala],-1)&lt;&gt;[@cota_tva],"TVA GRESIT","")</f>
        <v/>
      </c>
      <c r="S1396">
        <f>IF([@data_scadentei]&lt;[@data_factura],"SCADENTA INAINTEA FACTURII","")</f>
        <v/>
      </c>
      <c r="T1396">
        <f>IF(NETWORKDAYS.INTL([@data_factura],[@data_factura],1,tbl_SarbatoriLegale[data])=0,"ZI NELUCRATOARE","")</f>
        <v/>
      </c>
      <c r="U1396">
        <f>IF([@motiv_anomalie]="","OK","DE INVESTIGAT")</f>
        <v/>
      </c>
      <c r="V1396">
        <f>TEXTJOIN("; ",TRUE,[@flag_oras],[@flag_tva],[@flag_scadenta],[@flag_zi])</f>
        <v/>
      </c>
    </row>
    <row r="1397">
      <c r="A1397" t="inlineStr">
        <is>
          <t>F-2025-01396</t>
        </is>
      </c>
      <c r="B1397" s="12" t="n">
        <v>46195</v>
      </c>
      <c r="C1397" t="inlineStr">
        <is>
          <t>SC RAPID LOGISTIC SA</t>
        </is>
      </c>
      <c r="D1397" t="inlineStr">
        <is>
          <t>Prahova</t>
        </is>
      </c>
      <c r="E1397" t="inlineStr">
        <is>
          <t>PRD-006</t>
        </is>
      </c>
      <c r="F1397" t="inlineStr">
        <is>
          <t>Videoproiector sala</t>
        </is>
      </c>
      <c r="G1397" t="inlineStr">
        <is>
          <t>Echipamente birou</t>
        </is>
      </c>
      <c r="H1397" t="n">
        <v>5</v>
      </c>
      <c r="I1397" t="n">
        <v>787.35</v>
      </c>
      <c r="J1397" t="n">
        <v>3936.75</v>
      </c>
      <c r="K1397" s="13" t="n">
        <v>0.19</v>
      </c>
      <c r="L1397" t="n">
        <v>747.98</v>
      </c>
      <c r="M1397" t="n">
        <v>4684.73</v>
      </c>
      <c r="N1397" t="inlineStr">
        <is>
          <t>RON</t>
        </is>
      </c>
      <c r="O1397" t="inlineStr">
        <is>
          <t>Ploiești</t>
        </is>
      </c>
      <c r="P1397" s="12" t="n">
        <v>46225</v>
      </c>
      <c r="Q1397">
        <f>IF(COUNTIF(tbl_Localitati[oras_oficial],[@oras])=0,"ORAS NEALINIAT",IF(XLOOKUP([@oras],tbl_Localitati[oras_oficial],tbl_Localitati[judet],"?")&lt;&gt;[@judet],"JUDET NECORESPUNZATOR",""))</f>
        <v/>
      </c>
      <c r="R1397">
        <f>IF(XLOOKUP([@categorie],tbl_RegulriTVA[categorie],tbl_RegulriTVA[cota_legala],-1)&lt;&gt;[@cota_tva],"TVA GRESIT","")</f>
        <v/>
      </c>
      <c r="S1397">
        <f>IF([@data_scadentei]&lt;[@data_factura],"SCADENTA INAINTEA FACTURII","")</f>
        <v/>
      </c>
      <c r="T1397">
        <f>IF(NETWORKDAYS.INTL([@data_factura],[@data_factura],1,tbl_SarbatoriLegale[data])=0,"ZI NELUCRATOARE","")</f>
        <v/>
      </c>
      <c r="U1397">
        <f>IF([@motiv_anomalie]="","OK","DE INVESTIGAT")</f>
        <v/>
      </c>
      <c r="V1397">
        <f>TEXTJOIN("; ",TRUE,[@flag_oras],[@flag_tva],[@flag_scadenta],[@flag_zi])</f>
        <v/>
      </c>
    </row>
    <row r="1398">
      <c r="A1398" t="inlineStr">
        <is>
          <t>F-2025-01397</t>
        </is>
      </c>
      <c r="B1398" s="12" t="n">
        <v>46232</v>
      </c>
      <c r="C1398" t="inlineStr">
        <is>
          <t>SC AROMET TRADING SRL</t>
        </is>
      </c>
      <c r="D1398" t="inlineStr">
        <is>
          <t>Alba</t>
        </is>
      </c>
      <c r="E1398" t="inlineStr">
        <is>
          <t>PRD-001</t>
        </is>
      </c>
      <c r="F1398" t="inlineStr">
        <is>
          <t>Tocator documente</t>
        </is>
      </c>
      <c r="G1398" t="inlineStr">
        <is>
          <t>Echipamente birou</t>
        </is>
      </c>
      <c r="H1398" t="n">
        <v>1</v>
      </c>
      <c r="I1398" t="n">
        <v>2487.44</v>
      </c>
      <c r="J1398" t="n">
        <v>2487.44</v>
      </c>
      <c r="K1398" s="13" t="n">
        <v>0.19</v>
      </c>
      <c r="L1398" t="n">
        <v>472.61</v>
      </c>
      <c r="M1398" t="n">
        <v>2960.05</v>
      </c>
      <c r="N1398" t="inlineStr">
        <is>
          <t>RON</t>
        </is>
      </c>
      <c r="O1398" t="inlineStr">
        <is>
          <t>Alba Iulia</t>
        </is>
      </c>
      <c r="P1398" s="12" t="n">
        <v>46247</v>
      </c>
      <c r="Q1398">
        <f>IF(COUNTIF(tbl_Localitati[oras_oficial],[@oras])=0,"ORAS NEALINIAT",IF(XLOOKUP([@oras],tbl_Localitati[oras_oficial],tbl_Localitati[judet],"?")&lt;&gt;[@judet],"JUDET NECORESPUNZATOR",""))</f>
        <v/>
      </c>
      <c r="R1398">
        <f>IF(XLOOKUP([@categorie],tbl_RegulriTVA[categorie],tbl_RegulriTVA[cota_legala],-1)&lt;&gt;[@cota_tva],"TVA GRESIT","")</f>
        <v/>
      </c>
      <c r="S1398">
        <f>IF([@data_scadentei]&lt;[@data_factura],"SCADENTA INAINTEA FACTURII","")</f>
        <v/>
      </c>
      <c r="T1398">
        <f>IF(NETWORKDAYS.INTL([@data_factura],[@data_factura],1,tbl_SarbatoriLegale[data])=0,"ZI NELUCRATOARE","")</f>
        <v/>
      </c>
      <c r="U1398">
        <f>IF([@motiv_anomalie]="","OK","DE INVESTIGAT")</f>
        <v/>
      </c>
      <c r="V1398">
        <f>TEXTJOIN("; ",TRUE,[@flag_oras],[@flag_tva],[@flag_scadenta],[@flag_zi])</f>
        <v/>
      </c>
    </row>
    <row r="1399">
      <c r="A1399" t="inlineStr">
        <is>
          <t>F-2025-01398</t>
        </is>
      </c>
      <c r="B1399" s="12" t="n">
        <v>46252</v>
      </c>
      <c r="C1399" t="inlineStr">
        <is>
          <t>SC PROVITA MEDICAL SRL</t>
        </is>
      </c>
      <c r="D1399" t="inlineStr">
        <is>
          <t>Mureș</t>
        </is>
      </c>
      <c r="E1399" t="inlineStr">
        <is>
          <t>PRD-001</t>
        </is>
      </c>
      <c r="F1399" t="inlineStr">
        <is>
          <t>Pachet protocol sedinte</t>
        </is>
      </c>
      <c r="G1399" t="inlineStr">
        <is>
          <t>Alimente</t>
        </is>
      </c>
      <c r="H1399" t="n">
        <v>5</v>
      </c>
      <c r="I1399" t="n">
        <v>2446.85</v>
      </c>
      <c r="J1399" t="n">
        <v>12234.25</v>
      </c>
      <c r="K1399" s="13" t="n">
        <v>0.09</v>
      </c>
      <c r="L1399" t="n">
        <v>1101.08</v>
      </c>
      <c r="M1399" t="n">
        <v>13335.33</v>
      </c>
      <c r="N1399" t="inlineStr">
        <is>
          <t>RON</t>
        </is>
      </c>
      <c r="O1399" t="inlineStr">
        <is>
          <t>Târgu Mureș</t>
        </is>
      </c>
      <c r="P1399" s="12" t="n">
        <v>46267</v>
      </c>
      <c r="Q1399">
        <f>IF(COUNTIF(tbl_Localitati[oras_oficial],[@oras])=0,"ORAS NEALINIAT",IF(XLOOKUP([@oras],tbl_Localitati[oras_oficial],tbl_Localitati[judet],"?")&lt;&gt;[@judet],"JUDET NECORESPUNZATOR",""))</f>
        <v/>
      </c>
      <c r="R1399">
        <f>IF(XLOOKUP([@categorie],tbl_RegulriTVA[categorie],tbl_RegulriTVA[cota_legala],-1)&lt;&gt;[@cota_tva],"TVA GRESIT","")</f>
        <v/>
      </c>
      <c r="S1399">
        <f>IF([@data_scadentei]&lt;[@data_factura],"SCADENTA INAINTEA FACTURII","")</f>
        <v/>
      </c>
      <c r="T1399">
        <f>IF(NETWORKDAYS.INTL([@data_factura],[@data_factura],1,tbl_SarbatoriLegale[data])=0,"ZI NELUCRATOARE","")</f>
        <v/>
      </c>
      <c r="U1399">
        <f>IF([@motiv_anomalie]="","OK","DE INVESTIGAT")</f>
        <v/>
      </c>
      <c r="V1399">
        <f>TEXTJOIN("; ",TRUE,[@flag_oras],[@flag_tva],[@flag_scadenta],[@flag_zi])</f>
        <v/>
      </c>
    </row>
    <row r="1400">
      <c r="A1400" t="inlineStr">
        <is>
          <t>F-2025-01399</t>
        </is>
      </c>
      <c r="B1400" s="12" t="n">
        <v>46353</v>
      </c>
      <c r="C1400" t="inlineStr">
        <is>
          <t>SC SOLARIS ENERGY SRL</t>
        </is>
      </c>
      <c r="D1400" t="inlineStr">
        <is>
          <t>Prahova</t>
        </is>
      </c>
      <c r="E1400" t="inlineStr">
        <is>
          <t>PRD-006</t>
        </is>
      </c>
      <c r="F1400" t="inlineStr">
        <is>
          <t>Statie de lucru desktop</t>
        </is>
      </c>
      <c r="G1400" t="inlineStr">
        <is>
          <t>Hardware IT</t>
        </is>
      </c>
      <c r="H1400" t="n">
        <v>25</v>
      </c>
      <c r="I1400" t="n">
        <v>742.7</v>
      </c>
      <c r="J1400" t="n">
        <v>18567.5</v>
      </c>
      <c r="K1400" s="13" t="n">
        <v>0.19</v>
      </c>
      <c r="L1400" t="n">
        <v>3527.82</v>
      </c>
      <c r="M1400" t="n">
        <v>22095.32</v>
      </c>
      <c r="N1400" t="inlineStr">
        <is>
          <t>RON</t>
        </is>
      </c>
      <c r="O1400" t="inlineStr">
        <is>
          <t>Câmpina</t>
        </is>
      </c>
      <c r="P1400" s="12" t="n">
        <v>46398</v>
      </c>
      <c r="Q1400">
        <f>IF(COUNTIF(tbl_Localitati[oras_oficial],[@oras])=0,"ORAS NEALINIAT",IF(XLOOKUP([@oras],tbl_Localitati[oras_oficial],tbl_Localitati[judet],"?")&lt;&gt;[@judet],"JUDET NECORESPUNZATOR",""))</f>
        <v/>
      </c>
      <c r="R1400">
        <f>IF(XLOOKUP([@categorie],tbl_RegulriTVA[categorie],tbl_RegulriTVA[cota_legala],-1)&lt;&gt;[@cota_tva],"TVA GRESIT","")</f>
        <v/>
      </c>
      <c r="S1400">
        <f>IF([@data_scadentei]&lt;[@data_factura],"SCADENTA INAINTEA FACTURII","")</f>
        <v/>
      </c>
      <c r="T1400">
        <f>IF(NETWORKDAYS.INTL([@data_factura],[@data_factura],1,tbl_SarbatoriLegale[data])=0,"ZI NELUCRATOARE","")</f>
        <v/>
      </c>
      <c r="U1400">
        <f>IF([@motiv_anomalie]="","OK","DE INVESTIGAT")</f>
        <v/>
      </c>
      <c r="V1400">
        <f>TEXTJOIN("; ",TRUE,[@flag_oras],[@flag_tva],[@flag_scadenta],[@flag_zi])</f>
        <v/>
      </c>
    </row>
    <row r="1401">
      <c r="A1401" t="inlineStr">
        <is>
          <t>F-2025-01400</t>
        </is>
      </c>
      <c r="B1401" s="12" t="n">
        <v>46296</v>
      </c>
      <c r="C1401" t="inlineStr">
        <is>
          <t>SC AROMET TRADING SRL</t>
        </is>
      </c>
      <c r="D1401" t="inlineStr">
        <is>
          <t>Alba</t>
        </is>
      </c>
      <c r="E1401" t="inlineStr">
        <is>
          <t>PRD-007</t>
        </is>
      </c>
      <c r="F1401" t="inlineStr">
        <is>
          <t>Licenta Office 365 anuala</t>
        </is>
      </c>
      <c r="G1401" t="inlineStr">
        <is>
          <t>Licențe software</t>
        </is>
      </c>
      <c r="H1401" t="n">
        <v>5</v>
      </c>
      <c r="I1401" t="n">
        <v>185.49</v>
      </c>
      <c r="J1401" t="n">
        <v>927.45</v>
      </c>
      <c r="K1401" s="13" t="n">
        <v>0.19</v>
      </c>
      <c r="L1401" t="n">
        <v>176.22</v>
      </c>
      <c r="M1401" t="n">
        <v>1103.67</v>
      </c>
      <c r="N1401" t="inlineStr">
        <is>
          <t>RON</t>
        </is>
      </c>
      <c r="O1401" t="inlineStr">
        <is>
          <t>Alba Iulia</t>
        </is>
      </c>
      <c r="P1401" s="12" t="n">
        <v>46356</v>
      </c>
      <c r="Q1401">
        <f>IF(COUNTIF(tbl_Localitati[oras_oficial],[@oras])=0,"ORAS NEALINIAT",IF(XLOOKUP([@oras],tbl_Localitati[oras_oficial],tbl_Localitati[judet],"?")&lt;&gt;[@judet],"JUDET NECORESPUNZATOR",""))</f>
        <v/>
      </c>
      <c r="R1401">
        <f>IF(XLOOKUP([@categorie],tbl_RegulriTVA[categorie],tbl_RegulriTVA[cota_legala],-1)&lt;&gt;[@cota_tva],"TVA GRESIT","")</f>
        <v/>
      </c>
      <c r="S1401">
        <f>IF([@data_scadentei]&lt;[@data_factura],"SCADENTA INAINTEA FACTURII","")</f>
        <v/>
      </c>
      <c r="T1401">
        <f>IF(NETWORKDAYS.INTL([@data_factura],[@data_factura],1,tbl_SarbatoriLegale[data])=0,"ZI NELUCRATOARE","")</f>
        <v/>
      </c>
      <c r="U1401">
        <f>IF([@motiv_anomalie]="","OK","DE INVESTIGAT")</f>
        <v/>
      </c>
      <c r="V1401">
        <f>TEXTJOIN("; ",TRUE,[@flag_oras],[@flag_tva],[@flag_scadenta],[@flag_zi])</f>
        <v/>
      </c>
    </row>
    <row r="1402">
      <c r="A1402" t="inlineStr">
        <is>
          <t>F-2025-01401</t>
        </is>
      </c>
      <c r="B1402" s="12" t="n">
        <v>46056</v>
      </c>
      <c r="C1402" t="inlineStr">
        <is>
          <t>SC OMEGA SOFT SRL</t>
        </is>
      </c>
      <c r="D1402" t="inlineStr">
        <is>
          <t>Dolj</t>
        </is>
      </c>
      <c r="E1402" t="inlineStr">
        <is>
          <t>PRD-007</t>
        </is>
      </c>
      <c r="F1402" t="inlineStr">
        <is>
          <t>Trusa prim ajutor</t>
        </is>
      </c>
      <c r="G1402" t="inlineStr">
        <is>
          <t>Produse farmaceutice</t>
        </is>
      </c>
      <c r="H1402" t="n">
        <v>1</v>
      </c>
      <c r="I1402" t="n">
        <v>183.74</v>
      </c>
      <c r="J1402" t="n">
        <v>183.74</v>
      </c>
      <c r="K1402" s="13" t="n">
        <v>0.09</v>
      </c>
      <c r="L1402" t="n">
        <v>16.54</v>
      </c>
      <c r="M1402" t="n">
        <v>200.28</v>
      </c>
      <c r="N1402" t="inlineStr">
        <is>
          <t>RON</t>
        </is>
      </c>
      <c r="O1402" t="inlineStr">
        <is>
          <t>Craiova</t>
        </is>
      </c>
      <c r="P1402" s="12" t="n">
        <v>46071</v>
      </c>
      <c r="Q1402">
        <f>IF(COUNTIF(tbl_Localitati[oras_oficial],[@oras])=0,"ORAS NEALINIAT",IF(XLOOKUP([@oras],tbl_Localitati[oras_oficial],tbl_Localitati[judet],"?")&lt;&gt;[@judet],"JUDET NECORESPUNZATOR",""))</f>
        <v/>
      </c>
      <c r="R1402">
        <f>IF(XLOOKUP([@categorie],tbl_RegulriTVA[categorie],tbl_RegulriTVA[cota_legala],-1)&lt;&gt;[@cota_tva],"TVA GRESIT","")</f>
        <v/>
      </c>
      <c r="S1402">
        <f>IF([@data_scadentei]&lt;[@data_factura],"SCADENTA INAINTEA FACTURII","")</f>
        <v/>
      </c>
      <c r="T1402">
        <f>IF(NETWORKDAYS.INTL([@data_factura],[@data_factura],1,tbl_SarbatoriLegale[data])=0,"ZI NELUCRATOARE","")</f>
        <v/>
      </c>
      <c r="U1402">
        <f>IF([@motiv_anomalie]="","OK","DE INVESTIGAT")</f>
        <v/>
      </c>
      <c r="V1402">
        <f>TEXTJOIN("; ",TRUE,[@flag_oras],[@flag_tva],[@flag_scadenta],[@flag_zi])</f>
        <v/>
      </c>
    </row>
    <row r="1403">
      <c r="A1403" t="inlineStr">
        <is>
          <t>F-2025-01402</t>
        </is>
      </c>
      <c r="B1403" s="12" t="n">
        <v>46241</v>
      </c>
      <c r="C1403" t="inlineStr">
        <is>
          <t>SC PROVITA MEDICAL SRL</t>
        </is>
      </c>
      <c r="D1403" t="inlineStr">
        <is>
          <t>Mureș</t>
        </is>
      </c>
      <c r="E1403" t="inlineStr">
        <is>
          <t>PRD-010</t>
        </is>
      </c>
      <c r="F1403" t="inlineStr">
        <is>
          <t>Audit infrastructura</t>
        </is>
      </c>
      <c r="G1403" t="inlineStr">
        <is>
          <t>Servicii consultanță</t>
        </is>
      </c>
      <c r="H1403" t="n">
        <v>100</v>
      </c>
      <c r="I1403" t="n">
        <v>364.41</v>
      </c>
      <c r="J1403" t="n">
        <v>36441</v>
      </c>
      <c r="K1403" s="13" t="n">
        <v>0.19</v>
      </c>
      <c r="L1403" t="n">
        <v>6923.79</v>
      </c>
      <c r="M1403" t="n">
        <v>43364.79</v>
      </c>
      <c r="N1403" t="inlineStr">
        <is>
          <t>RON</t>
        </is>
      </c>
      <c r="O1403" t="inlineStr">
        <is>
          <t>Târgu Mureș</t>
        </is>
      </c>
      <c r="P1403" s="12" t="n">
        <v>46271</v>
      </c>
      <c r="Q1403">
        <f>IF(COUNTIF(tbl_Localitati[oras_oficial],[@oras])=0,"ORAS NEALINIAT",IF(XLOOKUP([@oras],tbl_Localitati[oras_oficial],tbl_Localitati[judet],"?")&lt;&gt;[@judet],"JUDET NECORESPUNZATOR",""))</f>
        <v/>
      </c>
      <c r="R1403">
        <f>IF(XLOOKUP([@categorie],tbl_RegulriTVA[categorie],tbl_RegulriTVA[cota_legala],-1)&lt;&gt;[@cota_tva],"TVA GRESIT","")</f>
        <v/>
      </c>
      <c r="S1403">
        <f>IF([@data_scadentei]&lt;[@data_factura],"SCADENTA INAINTEA FACTURII","")</f>
        <v/>
      </c>
      <c r="T1403">
        <f>IF(NETWORKDAYS.INTL([@data_factura],[@data_factura],1,tbl_SarbatoriLegale[data])=0,"ZI NELUCRATOARE","")</f>
        <v/>
      </c>
      <c r="U1403">
        <f>IF([@motiv_anomalie]="","OK","DE INVESTIGAT")</f>
        <v/>
      </c>
      <c r="V1403">
        <f>TEXTJOIN("; ",TRUE,[@flag_oras],[@flag_tva],[@flag_scadenta],[@flag_zi])</f>
        <v/>
      </c>
    </row>
    <row r="1404">
      <c r="A1404" t="inlineStr">
        <is>
          <t>F-2025-01403</t>
        </is>
      </c>
      <c r="B1404" s="12" t="n">
        <v>46232</v>
      </c>
      <c r="C1404" t="inlineStr">
        <is>
          <t>SC PROVITA MEDICAL SRL</t>
        </is>
      </c>
      <c r="D1404" t="inlineStr">
        <is>
          <t>Mureș</t>
        </is>
      </c>
      <c r="E1404" t="inlineStr">
        <is>
          <t>PRD-005</t>
        </is>
      </c>
      <c r="F1404" t="inlineStr">
        <is>
          <t>Switch gigabit 24p</t>
        </is>
      </c>
      <c r="G1404" t="inlineStr">
        <is>
          <t>Hardware IT</t>
        </is>
      </c>
      <c r="H1404" t="n">
        <v>1</v>
      </c>
      <c r="I1404" t="n">
        <v>261.86</v>
      </c>
      <c r="J1404" t="n">
        <v>261.86</v>
      </c>
      <c r="K1404" s="13" t="n">
        <v>0.19</v>
      </c>
      <c r="L1404" t="n">
        <v>49.75</v>
      </c>
      <c r="M1404" t="n">
        <v>311.61</v>
      </c>
      <c r="N1404" t="inlineStr">
        <is>
          <t>RON</t>
        </is>
      </c>
      <c r="O1404" t="inlineStr">
        <is>
          <t>Târgu Mureș</t>
        </is>
      </c>
      <c r="P1404" s="12" t="n">
        <v>46262</v>
      </c>
      <c r="Q1404">
        <f>IF(COUNTIF(tbl_Localitati[oras_oficial],[@oras])=0,"ORAS NEALINIAT",IF(XLOOKUP([@oras],tbl_Localitati[oras_oficial],tbl_Localitati[judet],"?")&lt;&gt;[@judet],"JUDET NECORESPUNZATOR",""))</f>
        <v/>
      </c>
      <c r="R1404">
        <f>IF(XLOOKUP([@categorie],tbl_RegulriTVA[categorie],tbl_RegulriTVA[cota_legala],-1)&lt;&gt;[@cota_tva],"TVA GRESIT","")</f>
        <v/>
      </c>
      <c r="S1404">
        <f>IF([@data_scadentei]&lt;[@data_factura],"SCADENTA INAINTEA FACTURII","")</f>
        <v/>
      </c>
      <c r="T1404">
        <f>IF(NETWORKDAYS.INTL([@data_factura],[@data_factura],1,tbl_SarbatoriLegale[data])=0,"ZI NELUCRATOARE","")</f>
        <v/>
      </c>
      <c r="U1404">
        <f>IF([@motiv_anomalie]="","OK","DE INVESTIGAT")</f>
        <v/>
      </c>
      <c r="V1404">
        <f>TEXTJOIN("; ",TRUE,[@flag_oras],[@flag_tva],[@flag_scadenta],[@flag_zi])</f>
        <v/>
      </c>
    </row>
    <row r="1405">
      <c r="A1405" t="inlineStr">
        <is>
          <t>F-2025-01404</t>
        </is>
      </c>
      <c r="B1405" s="12" t="n">
        <v>46203</v>
      </c>
      <c r="C1405" t="inlineStr">
        <is>
          <t>SC DACTECH SOLUTIONS SRL</t>
        </is>
      </c>
      <c r="D1405" t="inlineStr">
        <is>
          <t>Argeș</t>
        </is>
      </c>
      <c r="E1405" t="inlineStr">
        <is>
          <t>PRD-009</t>
        </is>
      </c>
      <c r="F1405" t="inlineStr">
        <is>
          <t>Audit infrastructura</t>
        </is>
      </c>
      <c r="G1405" t="inlineStr">
        <is>
          <t>Servicii consultanță</t>
        </is>
      </c>
      <c r="H1405" t="n">
        <v>100</v>
      </c>
      <c r="I1405" t="n">
        <v>27.61</v>
      </c>
      <c r="J1405" t="n">
        <v>2761</v>
      </c>
      <c r="K1405" s="13" t="n">
        <v>0.19</v>
      </c>
      <c r="L1405" t="n">
        <v>524.59</v>
      </c>
      <c r="M1405" t="n">
        <v>3285.59</v>
      </c>
      <c r="N1405" t="inlineStr">
        <is>
          <t>RON</t>
        </is>
      </c>
      <c r="O1405" t="inlineStr">
        <is>
          <t>Pitești</t>
        </is>
      </c>
      <c r="P1405" s="12" t="n">
        <v>46263</v>
      </c>
      <c r="Q1405">
        <f>IF(COUNTIF(tbl_Localitati[oras_oficial],[@oras])=0,"ORAS NEALINIAT",IF(XLOOKUP([@oras],tbl_Localitati[oras_oficial],tbl_Localitati[judet],"?")&lt;&gt;[@judet],"JUDET NECORESPUNZATOR",""))</f>
        <v/>
      </c>
      <c r="R1405">
        <f>IF(XLOOKUP([@categorie],tbl_RegulriTVA[categorie],tbl_RegulriTVA[cota_legala],-1)&lt;&gt;[@cota_tva],"TVA GRESIT","")</f>
        <v/>
      </c>
      <c r="S1405">
        <f>IF([@data_scadentei]&lt;[@data_factura],"SCADENTA INAINTEA FACTURII","")</f>
        <v/>
      </c>
      <c r="T1405">
        <f>IF(NETWORKDAYS.INTL([@data_factura],[@data_factura],1,tbl_SarbatoriLegale[data])=0,"ZI NELUCRATOARE","")</f>
        <v/>
      </c>
      <c r="U1405">
        <f>IF([@motiv_anomalie]="","OK","DE INVESTIGAT")</f>
        <v/>
      </c>
      <c r="V1405">
        <f>TEXTJOIN("; ",TRUE,[@flag_oras],[@flag_tva],[@flag_scadenta],[@flag_zi])</f>
        <v/>
      </c>
    </row>
    <row r="1406">
      <c r="A1406" t="inlineStr">
        <is>
          <t>F-2025-01405</t>
        </is>
      </c>
      <c r="B1406" s="12" t="n">
        <v>46175</v>
      </c>
      <c r="C1406" t="inlineStr">
        <is>
          <t>SC INTEGROMED SA</t>
        </is>
      </c>
      <c r="D1406" t="inlineStr">
        <is>
          <t>Cluj</t>
        </is>
      </c>
      <c r="E1406" t="inlineStr">
        <is>
          <t>PRD-005</t>
        </is>
      </c>
      <c r="F1406" t="inlineStr">
        <is>
          <t>Licenta ERP contabilitate</t>
        </is>
      </c>
      <c r="G1406" t="inlineStr">
        <is>
          <t>Licențe software</t>
        </is>
      </c>
      <c r="H1406" t="n">
        <v>2</v>
      </c>
      <c r="I1406" t="n">
        <v>239.3</v>
      </c>
      <c r="J1406" t="n">
        <v>478.6</v>
      </c>
      <c r="K1406" s="13" t="n">
        <v>0.19</v>
      </c>
      <c r="L1406" t="n">
        <v>90.93000000000001</v>
      </c>
      <c r="M1406" t="n">
        <v>569.53</v>
      </c>
      <c r="N1406" t="inlineStr">
        <is>
          <t>RON</t>
        </is>
      </c>
      <c r="O1406" t="inlineStr">
        <is>
          <t>Cluj-Napoca</t>
        </is>
      </c>
      <c r="P1406" s="12" t="n">
        <v>46205</v>
      </c>
      <c r="Q1406">
        <f>IF(COUNTIF(tbl_Localitati[oras_oficial],[@oras])=0,"ORAS NEALINIAT",IF(XLOOKUP([@oras],tbl_Localitati[oras_oficial],tbl_Localitati[judet],"?")&lt;&gt;[@judet],"JUDET NECORESPUNZATOR",""))</f>
        <v/>
      </c>
      <c r="R1406">
        <f>IF(XLOOKUP([@categorie],tbl_RegulriTVA[categorie],tbl_RegulriTVA[cota_legala],-1)&lt;&gt;[@cota_tva],"TVA GRESIT","")</f>
        <v/>
      </c>
      <c r="S1406">
        <f>IF([@data_scadentei]&lt;[@data_factura],"SCADENTA INAINTEA FACTURII","")</f>
        <v/>
      </c>
      <c r="T1406">
        <f>IF(NETWORKDAYS.INTL([@data_factura],[@data_factura],1,tbl_SarbatoriLegale[data])=0,"ZI NELUCRATOARE","")</f>
        <v/>
      </c>
      <c r="U1406">
        <f>IF([@motiv_anomalie]="","OK","DE INVESTIGAT")</f>
        <v/>
      </c>
      <c r="V1406">
        <f>TEXTJOIN("; ",TRUE,[@flag_oras],[@flag_tva],[@flag_scadenta],[@flag_zi])</f>
        <v/>
      </c>
    </row>
    <row r="1407">
      <c r="A1407" t="inlineStr">
        <is>
          <t>F-2025-01406</t>
        </is>
      </c>
      <c r="B1407" s="12" t="n">
        <v>46199</v>
      </c>
      <c r="C1407" t="inlineStr">
        <is>
          <t>SC AROMET TRADING SRL</t>
        </is>
      </c>
      <c r="D1407" t="inlineStr">
        <is>
          <t>Alba</t>
        </is>
      </c>
      <c r="E1407" t="inlineStr">
        <is>
          <t>PRD-004</t>
        </is>
      </c>
      <c r="F1407" t="inlineStr">
        <is>
          <t>Switch gigabit 24p</t>
        </is>
      </c>
      <c r="G1407" t="inlineStr">
        <is>
          <t>Hardware IT</t>
        </is>
      </c>
      <c r="H1407" t="n">
        <v>1</v>
      </c>
      <c r="I1407" t="n">
        <v>944.54</v>
      </c>
      <c r="J1407" t="n">
        <v>944.54</v>
      </c>
      <c r="K1407" s="13" t="n">
        <v>0.19</v>
      </c>
      <c r="L1407" t="n">
        <v>179.46</v>
      </c>
      <c r="M1407" t="n">
        <v>1124</v>
      </c>
      <c r="N1407" t="inlineStr">
        <is>
          <t>RON</t>
        </is>
      </c>
      <c r="O1407" t="inlineStr">
        <is>
          <t>Alba Iulia</t>
        </is>
      </c>
      <c r="P1407" s="12" t="n">
        <v>46244</v>
      </c>
      <c r="Q1407">
        <f>IF(COUNTIF(tbl_Localitati[oras_oficial],[@oras])=0,"ORAS NEALINIAT",IF(XLOOKUP([@oras],tbl_Localitati[oras_oficial],tbl_Localitati[judet],"?")&lt;&gt;[@judet],"JUDET NECORESPUNZATOR",""))</f>
        <v/>
      </c>
      <c r="R1407">
        <f>IF(XLOOKUP([@categorie],tbl_RegulriTVA[categorie],tbl_RegulriTVA[cota_legala],-1)&lt;&gt;[@cota_tva],"TVA GRESIT","")</f>
        <v/>
      </c>
      <c r="S1407">
        <f>IF([@data_scadentei]&lt;[@data_factura],"SCADENTA INAINTEA FACTURII","")</f>
        <v/>
      </c>
      <c r="T1407">
        <f>IF(NETWORKDAYS.INTL([@data_factura],[@data_factura],1,tbl_SarbatoriLegale[data])=0,"ZI NELUCRATOARE","")</f>
        <v/>
      </c>
      <c r="U1407">
        <f>IF([@motiv_anomalie]="","OK","DE INVESTIGAT")</f>
        <v/>
      </c>
      <c r="V1407">
        <f>TEXTJOIN("; ",TRUE,[@flag_oras],[@flag_tva],[@flag_scadenta],[@flag_zi])</f>
        <v/>
      </c>
    </row>
    <row r="1408">
      <c r="A1408" t="inlineStr">
        <is>
          <t>F-2025-01407</t>
        </is>
      </c>
      <c r="B1408" s="12" t="n">
        <v>46176</v>
      </c>
      <c r="C1408" t="inlineStr">
        <is>
          <t>SC RAPID LOGISTIC SA</t>
        </is>
      </c>
      <c r="D1408" t="inlineStr">
        <is>
          <t>Prahova</t>
        </is>
      </c>
      <c r="E1408" t="inlineStr">
        <is>
          <t>PRD-005</t>
        </is>
      </c>
      <c r="F1408" t="inlineStr">
        <is>
          <t>Switch gigabit 24p</t>
        </is>
      </c>
      <c r="G1408" t="inlineStr">
        <is>
          <t>Hardware IT</t>
        </is>
      </c>
      <c r="H1408" t="n">
        <v>2</v>
      </c>
      <c r="I1408" t="n">
        <v>237.65</v>
      </c>
      <c r="J1408" t="n">
        <v>475.3</v>
      </c>
      <c r="K1408" s="13" t="n">
        <v>0.19</v>
      </c>
      <c r="L1408" t="n">
        <v>90.31</v>
      </c>
      <c r="M1408" t="n">
        <v>565.61</v>
      </c>
      <c r="N1408" t="inlineStr">
        <is>
          <t>RON</t>
        </is>
      </c>
      <c r="O1408" t="inlineStr">
        <is>
          <t>Ploiești</t>
        </is>
      </c>
      <c r="P1408" s="12" t="n">
        <v>46206</v>
      </c>
      <c r="Q1408">
        <f>IF(COUNTIF(tbl_Localitati[oras_oficial],[@oras])=0,"ORAS NEALINIAT",IF(XLOOKUP([@oras],tbl_Localitati[oras_oficial],tbl_Localitati[judet],"?")&lt;&gt;[@judet],"JUDET NECORESPUNZATOR",""))</f>
        <v/>
      </c>
      <c r="R1408">
        <f>IF(XLOOKUP([@categorie],tbl_RegulriTVA[categorie],tbl_RegulriTVA[cota_legala],-1)&lt;&gt;[@cota_tva],"TVA GRESIT","")</f>
        <v/>
      </c>
      <c r="S1408">
        <f>IF([@data_scadentei]&lt;[@data_factura],"SCADENTA INAINTEA FACTURII","")</f>
        <v/>
      </c>
      <c r="T1408">
        <f>IF(NETWORKDAYS.INTL([@data_factura],[@data_factura],1,tbl_SarbatoriLegale[data])=0,"ZI NELUCRATOARE","")</f>
        <v/>
      </c>
      <c r="U1408">
        <f>IF([@motiv_anomalie]="","OK","DE INVESTIGAT")</f>
        <v/>
      </c>
      <c r="V1408">
        <f>TEXTJOIN("; ",TRUE,[@flag_oras],[@flag_tva],[@flag_scadenta],[@flag_zi])</f>
        <v/>
      </c>
    </row>
    <row r="1409">
      <c r="A1409" t="inlineStr">
        <is>
          <t>F-2025-01408</t>
        </is>
      </c>
      <c r="B1409" s="12" t="n">
        <v>46272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Switch gigabit 24p</t>
        </is>
      </c>
      <c r="G1409" t="inlineStr">
        <is>
          <t>Hardware IT</t>
        </is>
      </c>
      <c r="H1409" t="n">
        <v>3</v>
      </c>
      <c r="I1409" t="n">
        <v>2425.57</v>
      </c>
      <c r="J1409" t="n">
        <v>7276.71</v>
      </c>
      <c r="K1409" s="13" t="n">
        <v>0.19</v>
      </c>
      <c r="L1409" t="n">
        <v>1382.57</v>
      </c>
      <c r="M1409" t="n">
        <v>8659.280000000001</v>
      </c>
      <c r="N1409" t="inlineStr">
        <is>
          <t>RON</t>
        </is>
      </c>
      <c r="O1409" t="inlineStr">
        <is>
          <t>Sibiu</t>
        </is>
      </c>
      <c r="P1409" s="12" t="n">
        <v>46302</v>
      </c>
      <c r="Q1409">
        <f>IF(COUNTIF(tbl_Localitati[oras_oficial],[@oras])=0,"ORAS NEALINIAT",IF(XLOOKUP([@oras],tbl_Localitati[oras_oficial],tbl_Localitati[judet],"?")&lt;&gt;[@judet],"JUDET NECORESPUNZATOR",""))</f>
        <v/>
      </c>
      <c r="R1409">
        <f>IF(XLOOKUP([@categorie],tbl_RegulriTVA[categorie],tbl_RegulriTVA[cota_legala],-1)&lt;&gt;[@cota_tva],"TVA GRESIT","")</f>
        <v/>
      </c>
      <c r="S1409">
        <f>IF([@data_scadentei]&lt;[@data_factura],"SCADENTA INAINTEA FACTURII","")</f>
        <v/>
      </c>
      <c r="T1409">
        <f>IF(NETWORKDAYS.INTL([@data_factura],[@data_factura],1,tbl_SarbatoriLegale[data])=0,"ZI NELUCRATOARE","")</f>
        <v/>
      </c>
      <c r="U1409">
        <f>IF([@motiv_anomalie]="","OK","DE INVESTIGAT")</f>
        <v/>
      </c>
      <c r="V1409">
        <f>TEXTJOIN("; ",TRUE,[@flag_oras],[@flag_tva],[@flag_scadenta],[@flag_zi])</f>
        <v/>
      </c>
    </row>
    <row r="1410">
      <c r="A1410" t="inlineStr">
        <is>
          <t>F-2025-01409</t>
        </is>
      </c>
      <c r="B1410" s="12" t="n">
        <v>46087</v>
      </c>
      <c r="C1410" t="inlineStr">
        <is>
          <t>SC METALPLAST INVEST SA</t>
        </is>
      </c>
      <c r="D1410" t="inlineStr">
        <is>
          <t>Cluj</t>
        </is>
      </c>
      <c r="E1410" t="inlineStr">
        <is>
          <t>PRD-005</t>
        </is>
      </c>
      <c r="F1410" t="inlineStr">
        <is>
          <t>Dezinfectant maini 5L</t>
        </is>
      </c>
      <c r="G1410" t="inlineStr">
        <is>
          <t>Produse farmaceutice</t>
        </is>
      </c>
      <c r="H1410" t="n">
        <v>1</v>
      </c>
      <c r="I1410" t="n">
        <v>252.72</v>
      </c>
      <c r="J1410" t="n">
        <v>252.72</v>
      </c>
      <c r="K1410" s="13" t="n">
        <v>0.09</v>
      </c>
      <c r="L1410" t="n">
        <v>22.74</v>
      </c>
      <c r="M1410" t="n">
        <v>275.46</v>
      </c>
      <c r="N1410" t="inlineStr">
        <is>
          <t>RON</t>
        </is>
      </c>
      <c r="O1410" t="inlineStr">
        <is>
          <t>Turda</t>
        </is>
      </c>
      <c r="P1410" s="12" t="n">
        <v>46132</v>
      </c>
      <c r="Q1410">
        <f>IF(COUNTIF(tbl_Localitati[oras_oficial],[@oras])=0,"ORAS NEALINIAT",IF(XLOOKUP([@oras],tbl_Localitati[oras_oficial],tbl_Localitati[judet],"?")&lt;&gt;[@judet],"JUDET NECORESPUNZATOR",""))</f>
        <v/>
      </c>
      <c r="R1410">
        <f>IF(XLOOKUP([@categorie],tbl_RegulriTVA[categorie],tbl_RegulriTVA[cota_legala],-1)&lt;&gt;[@cota_tva],"TVA GRESIT","")</f>
        <v/>
      </c>
      <c r="S1410">
        <f>IF([@data_scadentei]&lt;[@data_factura],"SCADENTA INAINTEA FACTURII","")</f>
        <v/>
      </c>
      <c r="T1410">
        <f>IF(NETWORKDAYS.INTL([@data_factura],[@data_factura],1,tbl_SarbatoriLegale[data])=0,"ZI NELUCRATOARE","")</f>
        <v/>
      </c>
      <c r="U1410">
        <f>IF([@motiv_anomalie]="","OK","DE INVESTIGAT")</f>
        <v/>
      </c>
      <c r="V1410">
        <f>TEXTJOIN("; ",TRUE,[@flag_oras],[@flag_tva],[@flag_scadenta],[@flag_zi])</f>
        <v/>
      </c>
    </row>
    <row r="1411">
      <c r="A1411" t="inlineStr">
        <is>
          <t>F-2025-01410</t>
        </is>
      </c>
      <c r="B1411" s="12" t="n">
        <v>46085</v>
      </c>
      <c r="C1411" t="inlineStr">
        <is>
          <t>SC AROMET TRADING SRL</t>
        </is>
      </c>
      <c r="D1411" t="inlineStr">
        <is>
          <t>Alba</t>
        </is>
      </c>
      <c r="E1411" t="inlineStr">
        <is>
          <t>PRD-010</t>
        </is>
      </c>
      <c r="F1411" t="inlineStr">
        <is>
          <t>Tocator documente</t>
        </is>
      </c>
      <c r="G1411" t="inlineStr">
        <is>
          <t>Echipamente birou</t>
        </is>
      </c>
      <c r="H1411" t="n">
        <v>50</v>
      </c>
      <c r="I1411" t="n">
        <v>339.78</v>
      </c>
      <c r="J1411" t="n">
        <v>16989</v>
      </c>
      <c r="K1411" s="13" t="n">
        <v>0.19</v>
      </c>
      <c r="L1411" t="n">
        <v>3227.91</v>
      </c>
      <c r="M1411" t="n">
        <v>20216.91</v>
      </c>
      <c r="N1411" t="inlineStr">
        <is>
          <t>RON</t>
        </is>
      </c>
      <c r="O1411" t="inlineStr">
        <is>
          <t>Alba Iulia</t>
        </is>
      </c>
      <c r="P1411" s="12" t="n">
        <v>46115</v>
      </c>
      <c r="Q1411">
        <f>IF(COUNTIF(tbl_Localitati[oras_oficial],[@oras])=0,"ORAS NEALINIAT",IF(XLOOKUP([@oras],tbl_Localitati[oras_oficial],tbl_Localitati[judet],"?")&lt;&gt;[@judet],"JUDET NECORESPUNZATOR",""))</f>
        <v/>
      </c>
      <c r="R1411">
        <f>IF(XLOOKUP([@categorie],tbl_RegulriTVA[categorie],tbl_RegulriTVA[cota_legala],-1)&lt;&gt;[@cota_tva],"TVA GRESIT","")</f>
        <v/>
      </c>
      <c r="S1411">
        <f>IF([@data_scadentei]&lt;[@data_factura],"SCADENTA INAINTEA FACTURII","")</f>
        <v/>
      </c>
      <c r="T1411">
        <f>IF(NETWORKDAYS.INTL([@data_factura],[@data_factura],1,tbl_SarbatoriLegale[data])=0,"ZI NELUCRATOARE","")</f>
        <v/>
      </c>
      <c r="U1411">
        <f>IF([@motiv_anomalie]="","OK","DE INVESTIGAT")</f>
        <v/>
      </c>
      <c r="V1411">
        <f>TEXTJOIN("; ",TRUE,[@flag_oras],[@flag_tva],[@flag_scadenta],[@flag_zi])</f>
        <v/>
      </c>
    </row>
    <row r="1412">
      <c r="A1412" t="inlineStr">
        <is>
          <t>F-2025-01411</t>
        </is>
      </c>
      <c r="B1412" s="12" t="n">
        <v>46296</v>
      </c>
      <c r="C1412" t="inlineStr">
        <is>
          <t>SC INTEGROMED SA</t>
        </is>
      </c>
      <c r="D1412" t="inlineStr">
        <is>
          <t>Cluj</t>
        </is>
      </c>
      <c r="E1412" t="inlineStr">
        <is>
          <t>PRD-002</t>
        </is>
      </c>
      <c r="F1412" t="inlineStr">
        <is>
          <t>Masti protectie cutie</t>
        </is>
      </c>
      <c r="G1412" t="inlineStr">
        <is>
          <t>Produse farmaceutice</t>
        </is>
      </c>
      <c r="H1412" t="n">
        <v>1</v>
      </c>
      <c r="I1412" t="n">
        <v>1092.39</v>
      </c>
      <c r="J1412" t="n">
        <v>1092.39</v>
      </c>
      <c r="K1412" s="13" t="n">
        <v>0.09</v>
      </c>
      <c r="L1412" t="n">
        <v>98.31999999999999</v>
      </c>
      <c r="M1412" t="n">
        <v>1190.71</v>
      </c>
      <c r="N1412" t="inlineStr">
        <is>
          <t>RON</t>
        </is>
      </c>
      <c r="O1412" t="inlineStr">
        <is>
          <t>Cluj-Napoca</t>
        </is>
      </c>
      <c r="P1412" s="12" t="n">
        <v>46326</v>
      </c>
      <c r="Q1412">
        <f>IF(COUNTIF(tbl_Localitati[oras_oficial],[@oras])=0,"ORAS NEALINIAT",IF(XLOOKUP([@oras],tbl_Localitati[oras_oficial],tbl_Localitati[judet],"?")&lt;&gt;[@judet],"JUDET NECORESPUNZATOR",""))</f>
        <v/>
      </c>
      <c r="R1412">
        <f>IF(XLOOKUP([@categorie],tbl_RegulriTVA[categorie],tbl_RegulriTVA[cota_legala],-1)&lt;&gt;[@cota_tva],"TVA GRESIT","")</f>
        <v/>
      </c>
      <c r="S1412">
        <f>IF([@data_scadentei]&lt;[@data_factura],"SCADENTA INAINTEA FACTURII","")</f>
        <v/>
      </c>
      <c r="T1412">
        <f>IF(NETWORKDAYS.INTL([@data_factura],[@data_factura],1,tbl_SarbatoriLegale[data])=0,"ZI NELUCRATOARE","")</f>
        <v/>
      </c>
      <c r="U1412">
        <f>IF([@motiv_anomalie]="","OK","DE INVESTIGAT")</f>
        <v/>
      </c>
      <c r="V1412">
        <f>TEXTJOIN("; ",TRUE,[@flag_oras],[@flag_tva],[@flag_scadenta],[@flag_zi])</f>
        <v/>
      </c>
    </row>
    <row r="1413">
      <c r="A1413" t="inlineStr">
        <is>
          <t>F-2025-01412</t>
        </is>
      </c>
      <c r="B1413" s="12" t="n">
        <v>46107</v>
      </c>
      <c r="C1413" t="inlineStr">
        <is>
          <t>SC SOLARIS ENERGY SRL</t>
        </is>
      </c>
      <c r="D1413" t="inlineStr">
        <is>
          <t>Prahova</t>
        </is>
      </c>
      <c r="E1413" t="inlineStr">
        <is>
          <t>PRD-006</t>
        </is>
      </c>
      <c r="F1413" t="inlineStr">
        <is>
          <t>Statie de lucru desktop</t>
        </is>
      </c>
      <c r="G1413" t="inlineStr">
        <is>
          <t>Hardware IT</t>
        </is>
      </c>
      <c r="H1413" t="n">
        <v>10</v>
      </c>
      <c r="I1413" t="n">
        <v>775.13</v>
      </c>
      <c r="J1413" t="n">
        <v>7751.3</v>
      </c>
      <c r="K1413" s="13" t="n">
        <v>0.19</v>
      </c>
      <c r="L1413" t="n">
        <v>1472.75</v>
      </c>
      <c r="M1413" t="n">
        <v>9224.049999999999</v>
      </c>
      <c r="N1413" t="inlineStr">
        <is>
          <t>RON</t>
        </is>
      </c>
      <c r="O1413" t="inlineStr">
        <is>
          <t>Câmpina</t>
        </is>
      </c>
      <c r="P1413" s="12" t="n">
        <v>46137</v>
      </c>
      <c r="Q1413">
        <f>IF(COUNTIF(tbl_Localitati[oras_oficial],[@oras])=0,"ORAS NEALINIAT",IF(XLOOKUP([@oras],tbl_Localitati[oras_oficial],tbl_Localitati[judet],"?")&lt;&gt;[@judet],"JUDET NECORESPUNZATOR",""))</f>
        <v/>
      </c>
      <c r="R1413">
        <f>IF(XLOOKUP([@categorie],tbl_RegulriTVA[categorie],tbl_RegulriTVA[cota_legala],-1)&lt;&gt;[@cota_tva],"TVA GRESIT","")</f>
        <v/>
      </c>
      <c r="S1413">
        <f>IF([@data_scadentei]&lt;[@data_factura],"SCADENTA INAINTEA FACTURII","")</f>
        <v/>
      </c>
      <c r="T1413">
        <f>IF(NETWORKDAYS.INTL([@data_factura],[@data_factura],1,tbl_SarbatoriLegale[data])=0,"ZI NELUCRATOARE","")</f>
        <v/>
      </c>
      <c r="U1413">
        <f>IF([@motiv_anomalie]="","OK","DE INVESTIGAT")</f>
        <v/>
      </c>
      <c r="V1413">
        <f>TEXTJOIN("; ",TRUE,[@flag_oras],[@flag_tva],[@flag_scadenta],[@flag_zi])</f>
        <v/>
      </c>
    </row>
    <row r="1414">
      <c r="A1414" t="inlineStr">
        <is>
          <t>F-2025-01413</t>
        </is>
      </c>
      <c r="B1414" s="12" t="n">
        <v>46126</v>
      </c>
      <c r="C1414" t="inlineStr">
        <is>
          <t>SC ZENITH AUTO SRL</t>
        </is>
      </c>
      <c r="D1414" t="inlineStr">
        <is>
          <t>București</t>
        </is>
      </c>
      <c r="E1414" t="inlineStr">
        <is>
          <t>PRD-007</t>
        </is>
      </c>
      <c r="F1414" t="inlineStr">
        <is>
          <t>Statie de lucru desktop</t>
        </is>
      </c>
      <c r="G1414" t="inlineStr">
        <is>
          <t>Hardware IT</t>
        </is>
      </c>
      <c r="H1414" t="n">
        <v>10</v>
      </c>
      <c r="I1414" t="n">
        <v>172.45</v>
      </c>
      <c r="J1414" t="n">
        <v>1724.5</v>
      </c>
      <c r="K1414" s="13" t="n">
        <v>0.19</v>
      </c>
      <c r="L1414" t="n">
        <v>327.66</v>
      </c>
      <c r="M1414" t="n">
        <v>2052.16</v>
      </c>
      <c r="N1414" t="inlineStr">
        <is>
          <t>RON</t>
        </is>
      </c>
      <c r="O1414" t="inlineStr">
        <is>
          <t>București</t>
        </is>
      </c>
      <c r="P1414" s="12" t="n">
        <v>46156</v>
      </c>
      <c r="Q1414">
        <f>IF(COUNTIF(tbl_Localitati[oras_oficial],[@oras])=0,"ORAS NEALINIAT",IF(XLOOKUP([@oras],tbl_Localitati[oras_oficial],tbl_Localitati[judet],"?")&lt;&gt;[@judet],"JUDET NECORESPUNZATOR",""))</f>
        <v/>
      </c>
      <c r="R1414">
        <f>IF(XLOOKUP([@categorie],tbl_RegulriTVA[categorie],tbl_RegulriTVA[cota_legala],-1)&lt;&gt;[@cota_tva],"TVA GRESIT","")</f>
        <v/>
      </c>
      <c r="S1414">
        <f>IF([@data_scadentei]&lt;[@data_factura],"SCADENTA INAINTEA FACTURII","")</f>
        <v/>
      </c>
      <c r="T1414">
        <f>IF(NETWORKDAYS.INTL([@data_factura],[@data_factura],1,tbl_SarbatoriLegale[data])=0,"ZI NELUCRATOARE","")</f>
        <v/>
      </c>
      <c r="U1414">
        <f>IF([@motiv_anomalie]="","OK","DE INVESTIGAT")</f>
        <v/>
      </c>
      <c r="V1414">
        <f>TEXTJOIN("; ",TRUE,[@flag_oras],[@flag_tva],[@flag_scadenta],[@flag_zi])</f>
        <v/>
      </c>
    </row>
    <row r="1415">
      <c r="A1415" t="inlineStr">
        <is>
          <t>F-2025-01414</t>
        </is>
      </c>
      <c r="B1415" s="12" t="n">
        <v>46274</v>
      </c>
      <c r="C1415" t="inlineStr">
        <is>
          <t>SC AROMET TRADING SRL</t>
        </is>
      </c>
      <c r="D1415" t="inlineStr">
        <is>
          <t>Alba</t>
        </is>
      </c>
      <c r="E1415" t="inlineStr">
        <is>
          <t>PRD-011</t>
        </is>
      </c>
      <c r="F1415" t="inlineStr">
        <is>
          <t>Switch gigabit 24p</t>
        </is>
      </c>
      <c r="G1415" t="inlineStr">
        <is>
          <t>Hardware IT</t>
        </is>
      </c>
      <c r="H1415" t="n">
        <v>10</v>
      </c>
      <c r="I1415" t="n">
        <v>45.92</v>
      </c>
      <c r="J1415" t="n">
        <v>459.2</v>
      </c>
      <c r="K1415" s="13" t="n">
        <v>0.19</v>
      </c>
      <c r="L1415" t="n">
        <v>87.25</v>
      </c>
      <c r="M1415" t="n">
        <v>546.45</v>
      </c>
      <c r="N1415" t="inlineStr">
        <is>
          <t>RON</t>
        </is>
      </c>
      <c r="O1415" t="inlineStr">
        <is>
          <t>Alba Iulia</t>
        </is>
      </c>
      <c r="P1415" s="12" t="n">
        <v>46304</v>
      </c>
      <c r="Q1415">
        <f>IF(COUNTIF(tbl_Localitati[oras_oficial],[@oras])=0,"ORAS NEALINIAT",IF(XLOOKUP([@oras],tbl_Localitati[oras_oficial],tbl_Localitati[judet],"?")&lt;&gt;[@judet],"JUDET NECORESPUNZATOR",""))</f>
        <v/>
      </c>
      <c r="R1415">
        <f>IF(XLOOKUP([@categorie],tbl_RegulriTVA[categorie],tbl_RegulriTVA[cota_legala],-1)&lt;&gt;[@cota_tva],"TVA GRESIT","")</f>
        <v/>
      </c>
      <c r="S1415">
        <f>IF([@data_scadentei]&lt;[@data_factura],"SCADENTA INAINTEA FACTURII","")</f>
        <v/>
      </c>
      <c r="T1415">
        <f>IF(NETWORKDAYS.INTL([@data_factura],[@data_factura],1,tbl_SarbatoriLegale[data])=0,"ZI NELUCRATOARE","")</f>
        <v/>
      </c>
      <c r="U1415">
        <f>IF([@motiv_anomalie]="","OK","DE INVESTIGAT")</f>
        <v/>
      </c>
      <c r="V1415">
        <f>TEXTJOIN("; ",TRUE,[@flag_oras],[@flag_tva],[@flag_scadenta],[@flag_zi])</f>
        <v/>
      </c>
    </row>
    <row r="1416">
      <c r="A1416" t="inlineStr">
        <is>
          <t>F-2025-01415</t>
        </is>
      </c>
      <c r="B1416" s="12" t="n">
        <v>46171</v>
      </c>
      <c r="C1416" t="inlineStr">
        <is>
          <t>SC SOLARIS ENERGY SRL</t>
        </is>
      </c>
      <c r="D1416" t="inlineStr">
        <is>
          <t>Prahova</t>
        </is>
      </c>
      <c r="E1416" t="inlineStr">
        <is>
          <t>PRD-008</t>
        </is>
      </c>
      <c r="F1416" t="inlineStr">
        <is>
          <t>Abonament suita cloud</t>
        </is>
      </c>
      <c r="G1416" t="inlineStr">
        <is>
          <t>Licențe software</t>
        </is>
      </c>
      <c r="H1416" t="n">
        <v>1</v>
      </c>
      <c r="I1416" t="n">
        <v>460</v>
      </c>
      <c r="J1416" t="n">
        <v>460</v>
      </c>
      <c r="K1416" s="13" t="n">
        <v>0.19</v>
      </c>
      <c r="L1416" t="n">
        <v>87.40000000000001</v>
      </c>
      <c r="M1416" t="n">
        <v>547.4</v>
      </c>
      <c r="N1416" t="inlineStr">
        <is>
          <t>RON</t>
        </is>
      </c>
      <c r="O1416" t="inlineStr">
        <is>
          <t>Câmpina</t>
        </is>
      </c>
      <c r="P1416" s="12" t="n">
        <v>46201</v>
      </c>
      <c r="Q1416">
        <f>IF(COUNTIF(tbl_Localitati[oras_oficial],[@oras])=0,"ORAS NEALINIAT",IF(XLOOKUP([@oras],tbl_Localitati[oras_oficial],tbl_Localitati[judet],"?")&lt;&gt;[@judet],"JUDET NECORESPUNZATOR",""))</f>
        <v/>
      </c>
      <c r="R1416">
        <f>IF(XLOOKUP([@categorie],tbl_RegulriTVA[categorie],tbl_RegulriTVA[cota_legala],-1)&lt;&gt;[@cota_tva],"TVA GRESIT","")</f>
        <v/>
      </c>
      <c r="S1416">
        <f>IF([@data_scadentei]&lt;[@data_factura],"SCADENTA INAINTEA FACTURII","")</f>
        <v/>
      </c>
      <c r="T1416">
        <f>IF(NETWORKDAYS.INTL([@data_factura],[@data_factura],1,tbl_SarbatoriLegale[data])=0,"ZI NELUCRATOARE","")</f>
        <v/>
      </c>
      <c r="U1416">
        <f>IF([@motiv_anomalie]="","OK","DE INVESTIGAT")</f>
        <v/>
      </c>
      <c r="V1416">
        <f>TEXTJOIN("; ",TRUE,[@flag_oras],[@flag_tva],[@flag_scadenta],[@flag_zi])</f>
        <v/>
      </c>
    </row>
    <row r="1417">
      <c r="A1417" t="inlineStr">
        <is>
          <t>F-2025-01416</t>
        </is>
      </c>
      <c r="B1417" s="12" t="n">
        <v>46043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Monitor 27" 4K</t>
        </is>
      </c>
      <c r="G1417" t="inlineStr">
        <is>
          <t>Hardware IT</t>
        </is>
      </c>
      <c r="H1417" t="n">
        <v>5</v>
      </c>
      <c r="I1417" t="n">
        <v>43.76</v>
      </c>
      <c r="J1417" t="n">
        <v>218.8</v>
      </c>
      <c r="K1417" s="13" t="n">
        <v>0.19</v>
      </c>
      <c r="L1417" t="n">
        <v>41.57</v>
      </c>
      <c r="M1417" t="n">
        <v>260.37</v>
      </c>
      <c r="N1417" t="inlineStr">
        <is>
          <t>RON</t>
        </is>
      </c>
      <c r="O1417" t="inlineStr">
        <is>
          <t>Sibiu</t>
        </is>
      </c>
      <c r="P1417" s="12" t="n">
        <v>46103</v>
      </c>
      <c r="Q1417">
        <f>IF(COUNTIF(tbl_Localitati[oras_oficial],[@oras])=0,"ORAS NEALINIAT",IF(XLOOKUP([@oras],tbl_Localitati[oras_oficial],tbl_Localitati[judet],"?")&lt;&gt;[@judet],"JUDET NECORESPUNZATOR",""))</f>
        <v/>
      </c>
      <c r="R1417">
        <f>IF(XLOOKUP([@categorie],tbl_RegulriTVA[categorie],tbl_RegulriTVA[cota_legala],-1)&lt;&gt;[@cota_tva],"TVA GRESIT","")</f>
        <v/>
      </c>
      <c r="S1417">
        <f>IF([@data_scadentei]&lt;[@data_factura],"SCADENTA INAINTEA FACTURII","")</f>
        <v/>
      </c>
      <c r="T1417">
        <f>IF(NETWORKDAYS.INTL([@data_factura],[@data_factura],1,tbl_SarbatoriLegale[data])=0,"ZI NELUCRATOARE","")</f>
        <v/>
      </c>
      <c r="U1417">
        <f>IF([@motiv_anomalie]="","OK","DE INVESTIGAT")</f>
        <v/>
      </c>
      <c r="V1417">
        <f>TEXTJOIN("; ",TRUE,[@flag_oras],[@flag_tva],[@flag_scadenta],[@flag_zi])</f>
        <v/>
      </c>
    </row>
    <row r="1418">
      <c r="A1418" t="inlineStr">
        <is>
          <t>F-2025-01417</t>
        </is>
      </c>
      <c r="B1418" s="12" t="n">
        <v>46287</v>
      </c>
      <c r="C1418" t="inlineStr">
        <is>
          <t>SC DACTECH SOLUTIONS SRL</t>
        </is>
      </c>
      <c r="D1418" t="inlineStr">
        <is>
          <t>Argeș</t>
        </is>
      </c>
      <c r="E1418" t="inlineStr">
        <is>
          <t>PRD-001</t>
        </is>
      </c>
      <c r="F1418" t="inlineStr">
        <is>
          <t>Monitor 27" 4K</t>
        </is>
      </c>
      <c r="G1418" t="inlineStr">
        <is>
          <t>Hardware IT</t>
        </is>
      </c>
      <c r="H1418" t="n">
        <v>1</v>
      </c>
      <c r="I1418" t="n">
        <v>2343.88</v>
      </c>
      <c r="J1418" t="n">
        <v>2343.88</v>
      </c>
      <c r="K1418" s="13" t="n">
        <v>0.19</v>
      </c>
      <c r="L1418" t="n">
        <v>445.34</v>
      </c>
      <c r="M1418" t="n">
        <v>2789.22</v>
      </c>
      <c r="N1418" t="inlineStr">
        <is>
          <t>RON</t>
        </is>
      </c>
      <c r="O1418" t="inlineStr">
        <is>
          <t>Pitești</t>
        </is>
      </c>
      <c r="P1418" s="12" t="n">
        <v>46332</v>
      </c>
      <c r="Q1418">
        <f>IF(COUNTIF(tbl_Localitati[oras_oficial],[@oras])=0,"ORAS NEALINIAT",IF(XLOOKUP([@oras],tbl_Localitati[oras_oficial],tbl_Localitati[judet],"?")&lt;&gt;[@judet],"JUDET NECORESPUNZATOR",""))</f>
        <v/>
      </c>
      <c r="R1418">
        <f>IF(XLOOKUP([@categorie],tbl_RegulriTVA[categorie],tbl_RegulriTVA[cota_legala],-1)&lt;&gt;[@cota_tva],"TVA GRESIT","")</f>
        <v/>
      </c>
      <c r="S1418">
        <f>IF([@data_scadentei]&lt;[@data_factura],"SCADENTA INAINTEA FACTURII","")</f>
        <v/>
      </c>
      <c r="T1418">
        <f>IF(NETWORKDAYS.INTL([@data_factura],[@data_factura],1,tbl_SarbatoriLegale[data])=0,"ZI NELUCRATOARE","")</f>
        <v/>
      </c>
      <c r="U1418">
        <f>IF([@motiv_anomalie]="","OK","DE INVESTIGAT")</f>
        <v/>
      </c>
      <c r="V1418">
        <f>TEXTJOIN("; ",TRUE,[@flag_oras],[@flag_tva],[@flag_scadenta],[@flag_zi])</f>
        <v/>
      </c>
    </row>
    <row r="1419">
      <c r="A1419" t="inlineStr">
        <is>
          <t>F-2025-01418</t>
        </is>
      </c>
      <c r="B1419" s="12" t="n">
        <v>46126</v>
      </c>
      <c r="C1419" t="inlineStr">
        <is>
          <t>SC AROMET TRADING SRL</t>
        </is>
      </c>
      <c r="D1419" t="inlineStr">
        <is>
          <t>Alba</t>
        </is>
      </c>
      <c r="E1419" t="inlineStr">
        <is>
          <t>PRD-001</t>
        </is>
      </c>
      <c r="F1419" t="inlineStr">
        <is>
          <t>Dezinfectant maini 5L</t>
        </is>
      </c>
      <c r="G1419" t="inlineStr">
        <is>
          <t>Produse farmaceutice</t>
        </is>
      </c>
      <c r="H1419" t="n">
        <v>3</v>
      </c>
      <c r="I1419" t="n">
        <v>2349.76</v>
      </c>
      <c r="J1419" t="n">
        <v>7049.28</v>
      </c>
      <c r="K1419" s="13" t="n">
        <v>0.09</v>
      </c>
      <c r="L1419" t="n">
        <v>634.4400000000001</v>
      </c>
      <c r="M1419" t="n">
        <v>7683.72</v>
      </c>
      <c r="N1419" t="inlineStr">
        <is>
          <t>RON</t>
        </is>
      </c>
      <c r="O1419" t="inlineStr">
        <is>
          <t>Alba Iulia</t>
        </is>
      </c>
      <c r="P1419" s="12" t="n">
        <v>46171</v>
      </c>
      <c r="Q1419">
        <f>IF(COUNTIF(tbl_Localitati[oras_oficial],[@oras])=0,"ORAS NEALINIAT",IF(XLOOKUP([@oras],tbl_Localitati[oras_oficial],tbl_Localitati[judet],"?")&lt;&gt;[@judet],"JUDET NECORESPUNZATOR",""))</f>
        <v/>
      </c>
      <c r="R1419">
        <f>IF(XLOOKUP([@categorie],tbl_RegulriTVA[categorie],tbl_RegulriTVA[cota_legala],-1)&lt;&gt;[@cota_tva],"TVA GRESIT","")</f>
        <v/>
      </c>
      <c r="S1419">
        <f>IF([@data_scadentei]&lt;[@data_factura],"SCADENTA INAINTEA FACTURII","")</f>
        <v/>
      </c>
      <c r="T1419">
        <f>IF(NETWORKDAYS.INTL([@data_factura],[@data_factura],1,tbl_SarbatoriLegale[data])=0,"ZI NELUCRATOARE","")</f>
        <v/>
      </c>
      <c r="U1419">
        <f>IF([@motiv_anomalie]="","OK","DE INVESTIGAT")</f>
        <v/>
      </c>
      <c r="V1419">
        <f>TEXTJOIN("; ",TRUE,[@flag_oras],[@flag_tva],[@flag_scadenta],[@flag_zi])</f>
        <v/>
      </c>
    </row>
    <row r="1420">
      <c r="A1420" t="inlineStr">
        <is>
          <t>F-2025-01419</t>
        </is>
      </c>
      <c r="B1420" s="12" t="n">
        <v>46268</v>
      </c>
      <c r="C1420" t="inlineStr">
        <is>
          <t>SC ZENITH AUTO SRL</t>
        </is>
      </c>
      <c r="D1420" t="inlineStr">
        <is>
          <t>București</t>
        </is>
      </c>
      <c r="E1420" t="inlineStr">
        <is>
          <t>PRD-005</t>
        </is>
      </c>
      <c r="F1420" t="inlineStr">
        <is>
          <t>Videoproiector sala</t>
        </is>
      </c>
      <c r="G1420" t="inlineStr">
        <is>
          <t>Echipamente birou</t>
        </is>
      </c>
      <c r="H1420" t="n">
        <v>3</v>
      </c>
      <c r="I1420" t="n">
        <v>247.58</v>
      </c>
      <c r="J1420" t="n">
        <v>742.74</v>
      </c>
      <c r="K1420" s="13" t="n">
        <v>0.19</v>
      </c>
      <c r="L1420" t="n">
        <v>141.12</v>
      </c>
      <c r="M1420" t="n">
        <v>883.86</v>
      </c>
      <c r="N1420" t="inlineStr">
        <is>
          <t>RON</t>
        </is>
      </c>
      <c r="O1420" t="inlineStr">
        <is>
          <t>București</t>
        </is>
      </c>
      <c r="P1420" s="12" t="n">
        <v>46298</v>
      </c>
      <c r="Q1420">
        <f>IF(COUNTIF(tbl_Localitati[oras_oficial],[@oras])=0,"ORAS NEALINIAT",IF(XLOOKUP([@oras],tbl_Localitati[oras_oficial],tbl_Localitati[judet],"?")&lt;&gt;[@judet],"JUDET NECORESPUNZATOR",""))</f>
        <v/>
      </c>
      <c r="R1420">
        <f>IF(XLOOKUP([@categorie],tbl_RegulriTVA[categorie],tbl_RegulriTVA[cota_legala],-1)&lt;&gt;[@cota_tva],"TVA GRESIT","")</f>
        <v/>
      </c>
      <c r="S1420">
        <f>IF([@data_scadentei]&lt;[@data_factura],"SCADENTA INAINTEA FACTURII","")</f>
        <v/>
      </c>
      <c r="T1420">
        <f>IF(NETWORKDAYS.INTL([@data_factura],[@data_factura],1,tbl_SarbatoriLegale[data])=0,"ZI NELUCRATOARE","")</f>
        <v/>
      </c>
      <c r="U1420">
        <f>IF([@motiv_anomalie]="","OK","DE INVESTIGAT")</f>
        <v/>
      </c>
      <c r="V1420">
        <f>TEXTJOIN("; ",TRUE,[@flag_oras],[@flag_tva],[@flag_scadenta],[@flag_zi])</f>
        <v/>
      </c>
    </row>
    <row r="1421">
      <c r="A1421" t="inlineStr">
        <is>
          <t>F-2025-01420</t>
        </is>
      </c>
      <c r="B1421" s="12" t="n">
        <v>46268</v>
      </c>
      <c r="C1421" t="inlineStr">
        <is>
          <t>SC DACTECH SOLUTIONS SRL</t>
        </is>
      </c>
      <c r="D1421" t="inlineStr">
        <is>
          <t>Argeș</t>
        </is>
      </c>
      <c r="E1421" t="inlineStr">
        <is>
          <t>PRD-005</t>
        </is>
      </c>
      <c r="F1421" t="inlineStr">
        <is>
          <t>Suport tehnic anual</t>
        </is>
      </c>
      <c r="G1421" t="inlineStr">
        <is>
          <t>Servicii consultanță</t>
        </is>
      </c>
      <c r="H1421" t="n">
        <v>5</v>
      </c>
      <c r="I1421" t="n">
        <v>238.24</v>
      </c>
      <c r="J1421" t="n">
        <v>1191.2</v>
      </c>
      <c r="K1421" s="13" t="n">
        <v>0.19</v>
      </c>
      <c r="L1421" t="n">
        <v>226.33</v>
      </c>
      <c r="M1421" t="n">
        <v>1417.53</v>
      </c>
      <c r="N1421" t="inlineStr">
        <is>
          <t>RON</t>
        </is>
      </c>
      <c r="O1421" t="inlineStr">
        <is>
          <t>Pitești</t>
        </is>
      </c>
      <c r="P1421" s="12" t="n">
        <v>46283</v>
      </c>
      <c r="Q1421">
        <f>IF(COUNTIF(tbl_Localitati[oras_oficial],[@oras])=0,"ORAS NEALINIAT",IF(XLOOKUP([@oras],tbl_Localitati[oras_oficial],tbl_Localitati[judet],"?")&lt;&gt;[@judet],"JUDET NECORESPUNZATOR",""))</f>
        <v/>
      </c>
      <c r="R1421">
        <f>IF(XLOOKUP([@categorie],tbl_RegulriTVA[categorie],tbl_RegulriTVA[cota_legala],-1)&lt;&gt;[@cota_tva],"TVA GRESIT","")</f>
        <v/>
      </c>
      <c r="S1421">
        <f>IF([@data_scadentei]&lt;[@data_factura],"SCADENTA INAINTEA FACTURII","")</f>
        <v/>
      </c>
      <c r="T1421">
        <f>IF(NETWORKDAYS.INTL([@data_factura],[@data_factura],1,tbl_SarbatoriLegale[data])=0,"ZI NELUCRATOARE","")</f>
        <v/>
      </c>
      <c r="U1421">
        <f>IF([@motiv_anomalie]="","OK","DE INVESTIGAT")</f>
        <v/>
      </c>
      <c r="V1421">
        <f>TEXTJOIN("; ",TRUE,[@flag_oras],[@flag_tva],[@flag_scadenta],[@flag_zi])</f>
        <v/>
      </c>
    </row>
    <row r="1422">
      <c r="A1422" t="inlineStr">
        <is>
          <t>F-2025-01421</t>
        </is>
      </c>
      <c r="B1422" s="12" t="n">
        <v>46387</v>
      </c>
      <c r="C1422" t="inlineStr">
        <is>
          <t>SC OMEGA SOFT SRL</t>
        </is>
      </c>
      <c r="D1422" t="inlineStr">
        <is>
          <t>Dolj</t>
        </is>
      </c>
      <c r="E1422" t="inlineStr">
        <is>
          <t>PRD-002</t>
        </is>
      </c>
      <c r="F1422" t="inlineStr">
        <is>
          <t>Telefon IP birou</t>
        </is>
      </c>
      <c r="G1422" t="inlineStr">
        <is>
          <t>Echipamente birou</t>
        </is>
      </c>
      <c r="H1422" t="n">
        <v>1</v>
      </c>
      <c r="I1422" t="n">
        <v>1061.28</v>
      </c>
      <c r="J1422" t="n">
        <v>1061.28</v>
      </c>
      <c r="K1422" s="13" t="n">
        <v>0.19</v>
      </c>
      <c r="L1422" t="n">
        <v>201.64</v>
      </c>
      <c r="M1422" t="n">
        <v>1262.92</v>
      </c>
      <c r="N1422" t="inlineStr">
        <is>
          <t>RON</t>
        </is>
      </c>
      <c r="O1422" t="inlineStr">
        <is>
          <t>Craiova</t>
        </is>
      </c>
      <c r="P1422" s="12" t="n">
        <v>46417</v>
      </c>
      <c r="Q1422">
        <f>IF(COUNTIF(tbl_Localitati[oras_oficial],[@oras])=0,"ORAS NEALINIAT",IF(XLOOKUP([@oras],tbl_Localitati[oras_oficial],tbl_Localitati[judet],"?")&lt;&gt;[@judet],"JUDET NECORESPUNZATOR",""))</f>
        <v/>
      </c>
      <c r="R1422">
        <f>IF(XLOOKUP([@categorie],tbl_RegulriTVA[categorie],tbl_RegulriTVA[cota_legala],-1)&lt;&gt;[@cota_tva],"TVA GRESIT","")</f>
        <v/>
      </c>
      <c r="S1422">
        <f>IF([@data_scadentei]&lt;[@data_factura],"SCADENTA INAINTEA FACTURII","")</f>
        <v/>
      </c>
      <c r="T1422">
        <f>IF(NETWORKDAYS.INTL([@data_factura],[@data_factura],1,tbl_SarbatoriLegale[data])=0,"ZI NELUCRATOARE","")</f>
        <v/>
      </c>
      <c r="U1422">
        <f>IF([@motiv_anomalie]="","OK","DE INVESTIGAT")</f>
        <v/>
      </c>
      <c r="V1422">
        <f>TEXTJOIN("; ",TRUE,[@flag_oras],[@flag_tva],[@flag_scadenta],[@flag_zi])</f>
        <v/>
      </c>
    </row>
    <row r="1423">
      <c r="A1423" t="inlineStr">
        <is>
          <t>F-2025-01422</t>
        </is>
      </c>
      <c r="B1423" s="12" t="n">
        <v>46328</v>
      </c>
      <c r="C1423" t="inlineStr">
        <is>
          <t>SC NORDIS DISTRIBUTIE SRL</t>
        </is>
      </c>
      <c r="D1423" t="inlineStr">
        <is>
          <t>Constanța</t>
        </is>
      </c>
      <c r="E1423" t="inlineStr">
        <is>
          <t>PRD-002</t>
        </is>
      </c>
      <c r="F1423" t="inlineStr">
        <is>
          <t>Abonament suita cloud</t>
        </is>
      </c>
      <c r="G1423" t="inlineStr">
        <is>
          <t>Licențe software</t>
        </is>
      </c>
      <c r="H1423" t="n">
        <v>10</v>
      </c>
      <c r="I1423" t="n">
        <v>1113.62</v>
      </c>
      <c r="J1423" t="n">
        <v>11136.2</v>
      </c>
      <c r="K1423" s="13" t="n">
        <v>0.19</v>
      </c>
      <c r="L1423" t="n">
        <v>2115.88</v>
      </c>
      <c r="M1423" t="n">
        <v>13252.08</v>
      </c>
      <c r="N1423" t="inlineStr">
        <is>
          <t>RON</t>
        </is>
      </c>
      <c r="O1423" t="inlineStr">
        <is>
          <t>Mangalia</t>
        </is>
      </c>
      <c r="P1423" s="12" t="n">
        <v>46358</v>
      </c>
      <c r="Q1423">
        <f>IF(COUNTIF(tbl_Localitati[oras_oficial],[@oras])=0,"ORAS NEALINIAT",IF(XLOOKUP([@oras],tbl_Localitati[oras_oficial],tbl_Localitati[judet],"?")&lt;&gt;[@judet],"JUDET NECORESPUNZATOR",""))</f>
        <v/>
      </c>
      <c r="R1423">
        <f>IF(XLOOKUP([@categorie],tbl_RegulriTVA[categorie],tbl_RegulriTVA[cota_legala],-1)&lt;&gt;[@cota_tva],"TVA GRESIT","")</f>
        <v/>
      </c>
      <c r="S1423">
        <f>IF([@data_scadentei]&lt;[@data_factura],"SCADENTA INAINTEA FACTURII","")</f>
        <v/>
      </c>
      <c r="T1423">
        <f>IF(NETWORKDAYS.INTL([@data_factura],[@data_factura],1,tbl_SarbatoriLegale[data])=0,"ZI NELUCRATOARE","")</f>
        <v/>
      </c>
      <c r="U1423">
        <f>IF([@motiv_anomalie]="","OK","DE INVESTIGAT")</f>
        <v/>
      </c>
      <c r="V1423">
        <f>TEXTJOIN("; ",TRUE,[@flag_oras],[@flag_tva],[@flag_scadenta],[@flag_zi])</f>
        <v/>
      </c>
    </row>
    <row r="1424">
      <c r="A1424" t="inlineStr">
        <is>
          <t>F-2025-01423</t>
        </is>
      </c>
      <c r="B1424" s="12" t="n">
        <v>46352</v>
      </c>
      <c r="C1424" t="inlineStr">
        <is>
          <t>SC FARMAVITAL DISTRIBUTIE SA</t>
        </is>
      </c>
      <c r="D1424" t="inlineStr">
        <is>
          <t>Bihor</t>
        </is>
      </c>
      <c r="E1424" t="inlineStr">
        <is>
          <t>PRD-002</t>
        </is>
      </c>
      <c r="F1424" t="inlineStr">
        <is>
          <t>Multifunctionala laser</t>
        </is>
      </c>
      <c r="G1424" t="inlineStr">
        <is>
          <t>Echipamente birou</t>
        </is>
      </c>
      <c r="H1424" t="n">
        <v>2</v>
      </c>
      <c r="I1424" t="n">
        <v>1053.88</v>
      </c>
      <c r="J1424" t="n">
        <v>2107.76</v>
      </c>
      <c r="K1424" s="13" t="n">
        <v>0.19</v>
      </c>
      <c r="L1424" t="n">
        <v>400.47</v>
      </c>
      <c r="M1424" t="n">
        <v>2508.23</v>
      </c>
      <c r="N1424" t="inlineStr">
        <is>
          <t>RON</t>
        </is>
      </c>
      <c r="O1424" t="inlineStr">
        <is>
          <t>Oradea</t>
        </is>
      </c>
      <c r="P1424" s="12" t="n">
        <v>46397</v>
      </c>
      <c r="Q1424">
        <f>IF(COUNTIF(tbl_Localitati[oras_oficial],[@oras])=0,"ORAS NEALINIAT",IF(XLOOKUP([@oras],tbl_Localitati[oras_oficial],tbl_Localitati[judet],"?")&lt;&gt;[@judet],"JUDET NECORESPUNZATOR",""))</f>
        <v/>
      </c>
      <c r="R1424">
        <f>IF(XLOOKUP([@categorie],tbl_RegulriTVA[categorie],tbl_RegulriTVA[cota_legala],-1)&lt;&gt;[@cota_tva],"TVA GRESIT","")</f>
        <v/>
      </c>
      <c r="S1424">
        <f>IF([@data_scadentei]&lt;[@data_factura],"SCADENTA INAINTEA FACTURII","")</f>
        <v/>
      </c>
      <c r="T1424">
        <f>IF(NETWORKDAYS.INTL([@data_factura],[@data_factura],1,tbl_SarbatoriLegale[data])=0,"ZI NELUCRATOARE","")</f>
        <v/>
      </c>
      <c r="U1424">
        <f>IF([@motiv_anomalie]="","OK","DE INVESTIGAT")</f>
        <v/>
      </c>
      <c r="V1424">
        <f>TEXTJOIN("; ",TRUE,[@flag_oras],[@flag_tva],[@flag_scadenta],[@flag_zi])</f>
        <v/>
      </c>
    </row>
    <row r="1425">
      <c r="A1425" t="inlineStr">
        <is>
          <t>F-2025-01424</t>
        </is>
      </c>
      <c r="B1425" s="12" t="n">
        <v>46350</v>
      </c>
      <c r="C1425" t="inlineStr">
        <is>
          <t>SC NORDIS DISTRIBUTIE SRL</t>
        </is>
      </c>
      <c r="D1425" t="inlineStr">
        <is>
          <t>Constanța</t>
        </is>
      </c>
      <c r="E1425" t="inlineStr">
        <is>
          <t>PRD-005</t>
        </is>
      </c>
      <c r="F1425" t="inlineStr">
        <is>
          <t>Telefon IP birou</t>
        </is>
      </c>
      <c r="G1425" t="inlineStr">
        <is>
          <t>Echipamente birou</t>
        </is>
      </c>
      <c r="H1425" t="n">
        <v>1</v>
      </c>
      <c r="I1425" t="n">
        <v>248.45</v>
      </c>
      <c r="J1425" t="n">
        <v>248.45</v>
      </c>
      <c r="K1425" s="13" t="n">
        <v>0.19</v>
      </c>
      <c r="L1425" t="n">
        <v>47.21</v>
      </c>
      <c r="M1425" t="n">
        <v>295.66</v>
      </c>
      <c r="N1425" t="inlineStr">
        <is>
          <t>EUR</t>
        </is>
      </c>
      <c r="O1425" t="inlineStr">
        <is>
          <t>Mangalia</t>
        </is>
      </c>
      <c r="P1425" s="12" t="n">
        <v>46380</v>
      </c>
      <c r="Q1425">
        <f>IF(COUNTIF(tbl_Localitati[oras_oficial],[@oras])=0,"ORAS NEALINIAT",IF(XLOOKUP([@oras],tbl_Localitati[oras_oficial],tbl_Localitati[judet],"?")&lt;&gt;[@judet],"JUDET NECORESPUNZATOR",""))</f>
        <v/>
      </c>
      <c r="R1425">
        <f>IF(XLOOKUP([@categorie],tbl_RegulriTVA[categorie],tbl_RegulriTVA[cota_legala],-1)&lt;&gt;[@cota_tva],"TVA GRESIT","")</f>
        <v/>
      </c>
      <c r="S1425">
        <f>IF([@data_scadentei]&lt;[@data_factura],"SCADENTA INAINTEA FACTURII","")</f>
        <v/>
      </c>
      <c r="T1425">
        <f>IF(NETWORKDAYS.INTL([@data_factura],[@data_factura],1,tbl_SarbatoriLegale[data])=0,"ZI NELUCRATOARE","")</f>
        <v/>
      </c>
      <c r="U1425">
        <f>IF([@motiv_anomalie]="","OK","DE INVESTIGAT")</f>
        <v/>
      </c>
      <c r="V1425">
        <f>TEXTJOIN("; ",TRUE,[@flag_oras],[@flag_tva],[@flag_scadenta],[@flag_zi])</f>
        <v/>
      </c>
    </row>
    <row r="1426">
      <c r="A1426" t="inlineStr">
        <is>
          <t>F-2025-01425</t>
        </is>
      </c>
      <c r="B1426" s="12" t="n">
        <v>46111</v>
      </c>
      <c r="C1426" t="inlineStr">
        <is>
          <t>SC RAPID LOGISTIC SA</t>
        </is>
      </c>
      <c r="D1426" t="inlineStr">
        <is>
          <t>Prahova</t>
        </is>
      </c>
      <c r="E1426" t="inlineStr">
        <is>
          <t>PRD-005</t>
        </is>
      </c>
      <c r="F1426" t="inlineStr">
        <is>
          <t>Switch gigabit 24p</t>
        </is>
      </c>
      <c r="G1426" t="inlineStr">
        <is>
          <t>Hardware IT</t>
        </is>
      </c>
      <c r="H1426" t="n">
        <v>10</v>
      </c>
      <c r="I1426" t="n">
        <v>260.56</v>
      </c>
      <c r="J1426" t="n">
        <v>2605.6</v>
      </c>
      <c r="K1426" s="13" t="n">
        <v>0.19</v>
      </c>
      <c r="L1426" t="n">
        <v>495.06</v>
      </c>
      <c r="M1426" t="n">
        <v>3100.66</v>
      </c>
      <c r="N1426" t="inlineStr">
        <is>
          <t>RON</t>
        </is>
      </c>
      <c r="O1426" t="inlineStr">
        <is>
          <t>Ploiești</t>
        </is>
      </c>
      <c r="P1426" s="12" t="n">
        <v>46126</v>
      </c>
      <c r="Q1426">
        <f>IF(COUNTIF(tbl_Localitati[oras_oficial],[@oras])=0,"ORAS NEALINIAT",IF(XLOOKUP([@oras],tbl_Localitati[oras_oficial],tbl_Localitati[judet],"?")&lt;&gt;[@judet],"JUDET NECORESPUNZATOR",""))</f>
        <v/>
      </c>
      <c r="R1426">
        <f>IF(XLOOKUP([@categorie],tbl_RegulriTVA[categorie],tbl_RegulriTVA[cota_legala],-1)&lt;&gt;[@cota_tva],"TVA GRESIT","")</f>
        <v/>
      </c>
      <c r="S1426">
        <f>IF([@data_scadentei]&lt;[@data_factura],"SCADENTA INAINTEA FACTURII","")</f>
        <v/>
      </c>
      <c r="T1426">
        <f>IF(NETWORKDAYS.INTL([@data_factura],[@data_factura],1,tbl_SarbatoriLegale[data])=0,"ZI NELUCRATOARE","")</f>
        <v/>
      </c>
      <c r="U1426">
        <f>IF([@motiv_anomalie]="","OK","DE INVESTIGAT")</f>
        <v/>
      </c>
      <c r="V1426">
        <f>TEXTJOIN("; ",TRUE,[@flag_oras],[@flag_tva],[@flag_scadenta],[@flag_zi])</f>
        <v/>
      </c>
    </row>
    <row r="1427">
      <c r="A1427" t="inlineStr">
        <is>
          <t>F-2025-01426</t>
        </is>
      </c>
      <c r="B1427" s="12" t="n">
        <v>46132</v>
      </c>
      <c r="C1427" t="inlineStr">
        <is>
          <t>SC PROVITA MEDICAL SRL</t>
        </is>
      </c>
      <c r="D1427" t="inlineStr">
        <is>
          <t>Mureș</t>
        </is>
      </c>
      <c r="E1427" t="inlineStr">
        <is>
          <t>PRD-010</t>
        </is>
      </c>
      <c r="F1427" t="inlineStr">
        <is>
          <t>Apa plata bax</t>
        </is>
      </c>
      <c r="G1427" t="inlineStr">
        <is>
          <t>Alimente</t>
        </is>
      </c>
      <c r="H1427" t="n">
        <v>10</v>
      </c>
      <c r="I1427" t="n">
        <v>346.25</v>
      </c>
      <c r="J1427" t="n">
        <v>3462.5</v>
      </c>
      <c r="K1427" s="13" t="n">
        <v>0.09</v>
      </c>
      <c r="L1427" t="n">
        <v>311.62</v>
      </c>
      <c r="M1427" t="n">
        <v>3774.12</v>
      </c>
      <c r="N1427" t="inlineStr">
        <is>
          <t>RON</t>
        </is>
      </c>
      <c r="O1427" t="inlineStr">
        <is>
          <t>Târgu Mureș</t>
        </is>
      </c>
      <c r="P1427" s="12" t="n">
        <v>46162</v>
      </c>
      <c r="Q1427">
        <f>IF(COUNTIF(tbl_Localitati[oras_oficial],[@oras])=0,"ORAS NEALINIAT",IF(XLOOKUP([@oras],tbl_Localitati[oras_oficial],tbl_Localitati[judet],"?")&lt;&gt;[@judet],"JUDET NECORESPUNZATOR",""))</f>
        <v/>
      </c>
      <c r="R1427">
        <f>IF(XLOOKUP([@categorie],tbl_RegulriTVA[categorie],tbl_RegulriTVA[cota_legala],-1)&lt;&gt;[@cota_tva],"TVA GRESIT","")</f>
        <v/>
      </c>
      <c r="S1427">
        <f>IF([@data_scadentei]&lt;[@data_factura],"SCADENTA INAINTEA FACTURII","")</f>
        <v/>
      </c>
      <c r="T1427">
        <f>IF(NETWORKDAYS.INTL([@data_factura],[@data_factura],1,tbl_SarbatoriLegale[data])=0,"ZI NELUCRATOARE","")</f>
        <v/>
      </c>
      <c r="U1427">
        <f>IF([@motiv_anomalie]="","OK","DE INVESTIGAT")</f>
        <v/>
      </c>
      <c r="V1427">
        <f>TEXTJOIN("; ",TRUE,[@flag_oras],[@flag_tva],[@flag_scadenta],[@flag_zi])</f>
        <v/>
      </c>
    </row>
    <row r="1428">
      <c r="A1428" t="inlineStr">
        <is>
          <t>F-2025-01427</t>
        </is>
      </c>
      <c r="B1428" s="12" t="n">
        <v>46085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Switch gigabit 24p</t>
        </is>
      </c>
      <c r="G1428" t="inlineStr">
        <is>
          <t>Hardware IT</t>
        </is>
      </c>
      <c r="H1428" t="n">
        <v>20</v>
      </c>
      <c r="I1428" t="n">
        <v>27.48</v>
      </c>
      <c r="J1428" t="n">
        <v>549.6</v>
      </c>
      <c r="K1428" s="13" t="n">
        <v>0.19</v>
      </c>
      <c r="L1428" t="n">
        <v>104.42</v>
      </c>
      <c r="M1428" t="n">
        <v>654.02</v>
      </c>
      <c r="N1428" t="inlineStr">
        <is>
          <t>RON</t>
        </is>
      </c>
      <c r="O1428" t="inlineStr">
        <is>
          <t>Sibiu</t>
        </is>
      </c>
      <c r="P1428" s="12" t="n">
        <v>46115</v>
      </c>
      <c r="Q1428">
        <f>IF(COUNTIF(tbl_Localitati[oras_oficial],[@oras])=0,"ORAS NEALINIAT",IF(XLOOKUP([@oras],tbl_Localitati[oras_oficial],tbl_Localitati[judet],"?")&lt;&gt;[@judet],"JUDET NECORESPUNZATOR",""))</f>
        <v/>
      </c>
      <c r="R1428">
        <f>IF(XLOOKUP([@categorie],tbl_RegulriTVA[categorie],tbl_RegulriTVA[cota_legala],-1)&lt;&gt;[@cota_tva],"TVA GRESIT","")</f>
        <v/>
      </c>
      <c r="S1428">
        <f>IF([@data_scadentei]&lt;[@data_factura],"SCADENTA INAINTEA FACTURII","")</f>
        <v/>
      </c>
      <c r="T1428">
        <f>IF(NETWORKDAYS.INTL([@data_factura],[@data_factura],1,tbl_SarbatoriLegale[data])=0,"ZI NELUCRATOARE","")</f>
        <v/>
      </c>
      <c r="U1428">
        <f>IF([@motiv_anomalie]="","OK","DE INVESTIGAT")</f>
        <v/>
      </c>
      <c r="V1428">
        <f>TEXTJOIN("; ",TRUE,[@flag_oras],[@flag_tva],[@flag_scadenta],[@flag_zi])</f>
        <v/>
      </c>
    </row>
    <row r="1429">
      <c r="A1429" t="inlineStr">
        <is>
          <t>F-2025-01428</t>
        </is>
      </c>
      <c r="B1429" s="12" t="n">
        <v>46328</v>
      </c>
      <c r="C1429" t="inlineStr">
        <is>
          <t>SC AROMET TRADING SRL</t>
        </is>
      </c>
      <c r="D1429" t="inlineStr">
        <is>
          <t>Alba</t>
        </is>
      </c>
      <c r="E1429" t="inlineStr">
        <is>
          <t>PRD-001</t>
        </is>
      </c>
      <c r="F1429" t="inlineStr">
        <is>
          <t>Dezinfectant maini 5L</t>
        </is>
      </c>
      <c r="G1429" t="inlineStr">
        <is>
          <t>Produse farmaceutice</t>
        </is>
      </c>
      <c r="H1429" t="n">
        <v>2</v>
      </c>
      <c r="I1429" t="n">
        <v>2373.77</v>
      </c>
      <c r="J1429" t="n">
        <v>4747.54</v>
      </c>
      <c r="K1429" s="13" t="n">
        <v>0.09</v>
      </c>
      <c r="L1429" t="n">
        <v>427.28</v>
      </c>
      <c r="M1429" t="n">
        <v>5174.82</v>
      </c>
      <c r="N1429" t="inlineStr">
        <is>
          <t>RON</t>
        </is>
      </c>
      <c r="O1429" t="inlineStr">
        <is>
          <t>Alba Iulia</t>
        </is>
      </c>
      <c r="P1429" s="12" t="n">
        <v>46343</v>
      </c>
      <c r="Q1429">
        <f>IF(COUNTIF(tbl_Localitati[oras_oficial],[@oras])=0,"ORAS NEALINIAT",IF(XLOOKUP([@oras],tbl_Localitati[oras_oficial],tbl_Localitati[judet],"?")&lt;&gt;[@judet],"JUDET NECORESPUNZATOR",""))</f>
        <v/>
      </c>
      <c r="R1429">
        <f>IF(XLOOKUP([@categorie],tbl_RegulriTVA[categorie],tbl_RegulriTVA[cota_legala],-1)&lt;&gt;[@cota_tva],"TVA GRESIT","")</f>
        <v/>
      </c>
      <c r="S1429">
        <f>IF([@data_scadentei]&lt;[@data_factura],"SCADENTA INAINTEA FACTURII","")</f>
        <v/>
      </c>
      <c r="T1429">
        <f>IF(NETWORKDAYS.INTL([@data_factura],[@data_factura],1,tbl_SarbatoriLegale[data])=0,"ZI NELUCRATOARE","")</f>
        <v/>
      </c>
      <c r="U1429">
        <f>IF([@motiv_anomalie]="","OK","DE INVESTIGAT")</f>
        <v/>
      </c>
      <c r="V1429">
        <f>TEXTJOIN("; ",TRUE,[@flag_oras],[@flag_tva],[@flag_scadenta],[@flag_zi])</f>
        <v/>
      </c>
    </row>
    <row r="1430">
      <c r="A1430" t="inlineStr">
        <is>
          <t>F-2025-01429</t>
        </is>
      </c>
      <c r="B1430" s="12" t="n">
        <v>46324</v>
      </c>
      <c r="C1430" t="inlineStr">
        <is>
          <t>SC AROMET TRADING SRL</t>
        </is>
      </c>
      <c r="D1430" t="inlineStr">
        <is>
          <t>Alba</t>
        </is>
      </c>
      <c r="E1430" t="inlineStr">
        <is>
          <t>PRD-001</t>
        </is>
      </c>
      <c r="F1430" t="inlineStr">
        <is>
          <t>Multifunctionala laser</t>
        </is>
      </c>
      <c r="G1430" t="inlineStr">
        <is>
          <t>Echipamente birou</t>
        </is>
      </c>
      <c r="H1430" t="n">
        <v>10</v>
      </c>
      <c r="I1430" t="n">
        <v>2303.09</v>
      </c>
      <c r="J1430" t="n">
        <v>23030.9</v>
      </c>
      <c r="K1430" s="13" t="n">
        <v>0.19</v>
      </c>
      <c r="L1430" t="n">
        <v>4375.87</v>
      </c>
      <c r="M1430" t="n">
        <v>27406.77</v>
      </c>
      <c r="N1430" t="inlineStr">
        <is>
          <t>RON</t>
        </is>
      </c>
      <c r="O1430" t="inlineStr">
        <is>
          <t>Alba Iulia</t>
        </is>
      </c>
      <c r="P1430" s="12" t="n">
        <v>46354</v>
      </c>
      <c r="Q1430">
        <f>IF(COUNTIF(tbl_Localitati[oras_oficial],[@oras])=0,"ORAS NEALINIAT",IF(XLOOKUP([@oras],tbl_Localitati[oras_oficial],tbl_Localitati[judet],"?")&lt;&gt;[@judet],"JUDET NECORESPUNZATOR",""))</f>
        <v/>
      </c>
      <c r="R1430">
        <f>IF(XLOOKUP([@categorie],tbl_RegulriTVA[categorie],tbl_RegulriTVA[cota_legala],-1)&lt;&gt;[@cota_tva],"TVA GRESIT","")</f>
        <v/>
      </c>
      <c r="S1430">
        <f>IF([@data_scadentei]&lt;[@data_factura],"SCADENTA INAINTEA FACTURII","")</f>
        <v/>
      </c>
      <c r="T1430">
        <f>IF(NETWORKDAYS.INTL([@data_factura],[@data_factura],1,tbl_SarbatoriLegale[data])=0,"ZI NELUCRATOARE","")</f>
        <v/>
      </c>
      <c r="U1430">
        <f>IF([@motiv_anomalie]="","OK","DE INVESTIGAT")</f>
        <v/>
      </c>
      <c r="V1430">
        <f>TEXTJOIN("; ",TRUE,[@flag_oras],[@flag_tva],[@flag_scadenta],[@flag_zi])</f>
        <v/>
      </c>
    </row>
    <row r="1431">
      <c r="A1431" t="inlineStr">
        <is>
          <t>F-2025-01430</t>
        </is>
      </c>
      <c r="B1431" s="12" t="n">
        <v>46275</v>
      </c>
      <c r="C1431" t="inlineStr">
        <is>
          <t>SC METALPLAST INVEST SA</t>
        </is>
      </c>
      <c r="D1431" t="inlineStr">
        <is>
          <t>Cluj</t>
        </is>
      </c>
      <c r="E1431" t="inlineStr">
        <is>
          <t>PRD-009</t>
        </is>
      </c>
      <c r="F1431" t="inlineStr">
        <is>
          <t>Telefon IP birou</t>
        </is>
      </c>
      <c r="G1431" t="inlineStr">
        <is>
          <t>Echipamente birou</t>
        </is>
      </c>
      <c r="H1431" t="n">
        <v>50</v>
      </c>
      <c r="I1431" t="n">
        <v>28.46</v>
      </c>
      <c r="J1431" t="n">
        <v>1423</v>
      </c>
      <c r="K1431" s="13" t="n">
        <v>0.19</v>
      </c>
      <c r="L1431" t="n">
        <v>270.37</v>
      </c>
      <c r="M1431" t="n">
        <v>1693.37</v>
      </c>
      <c r="N1431" t="inlineStr">
        <is>
          <t>RON</t>
        </is>
      </c>
      <c r="O1431" t="inlineStr">
        <is>
          <t>Turda</t>
        </is>
      </c>
      <c r="P1431" s="12" t="n">
        <v>46305</v>
      </c>
      <c r="Q1431">
        <f>IF(COUNTIF(tbl_Localitati[oras_oficial],[@oras])=0,"ORAS NEALINIAT",IF(XLOOKUP([@oras],tbl_Localitati[oras_oficial],tbl_Localitati[judet],"?")&lt;&gt;[@judet],"JUDET NECORESPUNZATOR",""))</f>
        <v/>
      </c>
      <c r="R1431">
        <f>IF(XLOOKUP([@categorie],tbl_RegulriTVA[categorie],tbl_RegulriTVA[cota_legala],-1)&lt;&gt;[@cota_tva],"TVA GRESIT","")</f>
        <v/>
      </c>
      <c r="S1431">
        <f>IF([@data_scadentei]&lt;[@data_factura],"SCADENTA INAINTEA FACTURII","")</f>
        <v/>
      </c>
      <c r="T1431">
        <f>IF(NETWORKDAYS.INTL([@data_factura],[@data_factura],1,tbl_SarbatoriLegale[data])=0,"ZI NELUCRATOARE","")</f>
        <v/>
      </c>
      <c r="U1431">
        <f>IF([@motiv_anomalie]="","OK","DE INVESTIGAT")</f>
        <v/>
      </c>
      <c r="V1431">
        <f>TEXTJOIN("; ",TRUE,[@flag_oras],[@flag_tva],[@flag_scadenta],[@flag_zi])</f>
        <v/>
      </c>
    </row>
    <row r="1432">
      <c r="A1432" t="inlineStr">
        <is>
          <t>F-2025-01431</t>
        </is>
      </c>
      <c r="B1432" s="12" t="n">
        <v>46246</v>
      </c>
      <c r="C1432" t="inlineStr">
        <is>
          <t>SC METALPLAST INVEST SA</t>
        </is>
      </c>
      <c r="D1432" t="inlineStr">
        <is>
          <t>Cluj</t>
        </is>
      </c>
      <c r="E1432" t="inlineStr">
        <is>
          <t>PRD-003</t>
        </is>
      </c>
      <c r="F1432" t="inlineStr">
        <is>
          <t>Server rack 1U</t>
        </is>
      </c>
      <c r="G1432" t="inlineStr">
        <is>
          <t>Hardware IT</t>
        </is>
      </c>
      <c r="H1432" t="n">
        <v>3</v>
      </c>
      <c r="I1432" t="n">
        <v>4119.11</v>
      </c>
      <c r="J1432" t="n">
        <v>12357.33</v>
      </c>
      <c r="K1432" s="13" t="n">
        <v>0.19</v>
      </c>
      <c r="L1432" t="n">
        <v>2347.89</v>
      </c>
      <c r="M1432" t="n">
        <v>14705.22</v>
      </c>
      <c r="N1432" t="inlineStr">
        <is>
          <t>RON</t>
        </is>
      </c>
      <c r="O1432" t="inlineStr">
        <is>
          <t>Turda</t>
        </is>
      </c>
      <c r="P1432" s="12" t="n">
        <v>46276</v>
      </c>
      <c r="Q1432">
        <f>IF(COUNTIF(tbl_Localitati[oras_oficial],[@oras])=0,"ORAS NEALINIAT",IF(XLOOKUP([@oras],tbl_Localitati[oras_oficial],tbl_Localitati[judet],"?")&lt;&gt;[@judet],"JUDET NECORESPUNZATOR",""))</f>
        <v/>
      </c>
      <c r="R1432">
        <f>IF(XLOOKUP([@categorie],tbl_RegulriTVA[categorie],tbl_RegulriTVA[cota_legala],-1)&lt;&gt;[@cota_tva],"TVA GRESIT","")</f>
        <v/>
      </c>
      <c r="S1432">
        <f>IF([@data_scadentei]&lt;[@data_factura],"SCADENTA INAINTEA FACTURII","")</f>
        <v/>
      </c>
      <c r="T1432">
        <f>IF(NETWORKDAYS.INTL([@data_factura],[@data_factura],1,tbl_SarbatoriLegale[data])=0,"ZI NELUCRATOARE","")</f>
        <v/>
      </c>
      <c r="U1432">
        <f>IF([@motiv_anomalie]="","OK","DE INVESTIGAT")</f>
        <v/>
      </c>
      <c r="V1432">
        <f>TEXTJOIN("; ",TRUE,[@flag_oras],[@flag_tva],[@flag_scadenta],[@flag_zi])</f>
        <v/>
      </c>
    </row>
    <row r="1433">
      <c r="A1433" t="inlineStr">
        <is>
          <t>F-2025-01432</t>
        </is>
      </c>
      <c r="B1433" s="12" t="n">
        <v>46115</v>
      </c>
      <c r="C1433" t="inlineStr">
        <is>
          <t>SC AROMET TRADING SRL</t>
        </is>
      </c>
      <c r="D1433" t="inlineStr">
        <is>
          <t>Alba</t>
        </is>
      </c>
      <c r="E1433" t="inlineStr">
        <is>
          <t>PRD-009</t>
        </is>
      </c>
      <c r="F1433" t="inlineStr">
        <is>
          <t>Statie de lucru desktop</t>
        </is>
      </c>
      <c r="G1433" t="inlineStr">
        <is>
          <t>Hardware IT</t>
        </is>
      </c>
      <c r="H1433" t="n">
        <v>20</v>
      </c>
      <c r="I1433" t="n">
        <v>28.37</v>
      </c>
      <c r="J1433" t="n">
        <v>567.4</v>
      </c>
      <c r="K1433" s="13" t="n">
        <v>0.19</v>
      </c>
      <c r="L1433" t="n">
        <v>107.81</v>
      </c>
      <c r="M1433" t="n">
        <v>675.21</v>
      </c>
      <c r="N1433" t="inlineStr">
        <is>
          <t>RON</t>
        </is>
      </c>
      <c r="O1433" t="inlineStr">
        <is>
          <t>Cluj</t>
        </is>
      </c>
      <c r="P1433" s="12" t="n">
        <v>46130</v>
      </c>
      <c r="Q1433">
        <f>IF(COUNTIF(tbl_Localitati[oras_oficial],[@oras])=0,"ORAS NEALINIAT",IF(XLOOKUP([@oras],tbl_Localitati[oras_oficial],tbl_Localitati[judet],"?")&lt;&gt;[@judet],"JUDET NECORESPUNZATOR",""))</f>
        <v/>
      </c>
      <c r="R1433">
        <f>IF(XLOOKUP([@categorie],tbl_RegulriTVA[categorie],tbl_RegulriTVA[cota_legala],-1)&lt;&gt;[@cota_tva],"TVA GRESIT","")</f>
        <v/>
      </c>
      <c r="S1433">
        <f>IF([@data_scadentei]&lt;[@data_factura],"SCADENTA INAINTEA FACTURII","")</f>
        <v/>
      </c>
      <c r="T1433">
        <f>IF(NETWORKDAYS.INTL([@data_factura],[@data_factura],1,tbl_SarbatoriLegale[data])=0,"ZI NELUCRATOARE","")</f>
        <v/>
      </c>
      <c r="U1433">
        <f>IF([@motiv_anomalie]="","OK","DE INVESTIGAT")</f>
        <v/>
      </c>
      <c r="V1433">
        <f>TEXTJOIN("; ",TRUE,[@flag_oras],[@flag_tva],[@flag_scadenta],[@flag_zi])</f>
        <v/>
      </c>
    </row>
    <row r="1434">
      <c r="A1434" t="inlineStr">
        <is>
          <t>F-2025-01433</t>
        </is>
      </c>
      <c r="B1434" s="12" t="n">
        <v>46246</v>
      </c>
      <c r="C1434" t="inlineStr">
        <is>
          <t>SC METALPLAST INVEST SA</t>
        </is>
      </c>
      <c r="D1434" t="inlineStr">
        <is>
          <t>Cluj</t>
        </is>
      </c>
      <c r="E1434" t="inlineStr">
        <is>
          <t>PRD-005</t>
        </is>
      </c>
      <c r="F1434" t="inlineStr">
        <is>
          <t>Audit infrastructura</t>
        </is>
      </c>
      <c r="G1434" t="inlineStr">
        <is>
          <t>Servicii consultanță</t>
        </is>
      </c>
      <c r="H1434" t="n">
        <v>2</v>
      </c>
      <c r="I1434" t="n">
        <v>250.68</v>
      </c>
      <c r="J1434" t="n">
        <v>501.36</v>
      </c>
      <c r="K1434" s="13" t="n">
        <v>0.19</v>
      </c>
      <c r="L1434" t="n">
        <v>95.26000000000001</v>
      </c>
      <c r="M1434" t="n">
        <v>596.62</v>
      </c>
      <c r="N1434" t="inlineStr">
        <is>
          <t>RON</t>
        </is>
      </c>
      <c r="O1434" t="inlineStr">
        <is>
          <t>Turda</t>
        </is>
      </c>
      <c r="P1434" s="12" t="n">
        <v>46276</v>
      </c>
      <c r="Q1434">
        <f>IF(COUNTIF(tbl_Localitati[oras_oficial],[@oras])=0,"ORAS NEALINIAT",IF(XLOOKUP([@oras],tbl_Localitati[oras_oficial],tbl_Localitati[judet],"?")&lt;&gt;[@judet],"JUDET NECORESPUNZATOR",""))</f>
        <v/>
      </c>
      <c r="R1434">
        <f>IF(XLOOKUP([@categorie],tbl_RegulriTVA[categorie],tbl_RegulriTVA[cota_legala],-1)&lt;&gt;[@cota_tva],"TVA GRESIT","")</f>
        <v/>
      </c>
      <c r="S1434">
        <f>IF([@data_scadentei]&lt;[@data_factura],"SCADENTA INAINTEA FACTURII","")</f>
        <v/>
      </c>
      <c r="T1434">
        <f>IF(NETWORKDAYS.INTL([@data_factura],[@data_factura],1,tbl_SarbatoriLegale[data])=0,"ZI NELUCRATOARE","")</f>
        <v/>
      </c>
      <c r="U1434">
        <f>IF([@motiv_anomalie]="","OK","DE INVESTIGAT")</f>
        <v/>
      </c>
      <c r="V1434">
        <f>TEXTJOIN("; ",TRUE,[@flag_oras],[@flag_tva],[@flag_scadenta],[@flag_zi])</f>
        <v/>
      </c>
    </row>
    <row r="1435">
      <c r="A1435" t="inlineStr">
        <is>
          <t>F-2025-01434</t>
        </is>
      </c>
      <c r="B1435" s="12" t="n">
        <v>46218</v>
      </c>
      <c r="C1435" t="inlineStr">
        <is>
          <t>SC UNIFOOD DISTRIBUTION SA</t>
        </is>
      </c>
      <c r="D1435" t="inlineStr">
        <is>
          <t>Sibiu</t>
        </is>
      </c>
      <c r="E1435" t="inlineStr">
        <is>
          <t>PRD-008</t>
        </is>
      </c>
      <c r="F1435" t="inlineStr">
        <is>
          <t>Apa plata bax</t>
        </is>
      </c>
      <c r="G1435" t="inlineStr">
        <is>
          <t>Alimente</t>
        </is>
      </c>
      <c r="H1435" t="n">
        <v>5</v>
      </c>
      <c r="I1435" t="n">
        <v>445.18</v>
      </c>
      <c r="J1435" t="n">
        <v>2225.9</v>
      </c>
      <c r="K1435" s="13" t="n">
        <v>0.09</v>
      </c>
      <c r="L1435" t="n">
        <v>200.33</v>
      </c>
      <c r="M1435" t="n">
        <v>2426.23</v>
      </c>
      <c r="N1435" t="inlineStr">
        <is>
          <t>RON</t>
        </is>
      </c>
      <c r="O1435" t="inlineStr">
        <is>
          <t>Mediaș</t>
        </is>
      </c>
      <c r="P1435" s="12" t="n">
        <v>46233</v>
      </c>
      <c r="Q1435">
        <f>IF(COUNTIF(tbl_Localitati[oras_oficial],[@oras])=0,"ORAS NEALINIAT",IF(XLOOKUP([@oras],tbl_Localitati[oras_oficial],tbl_Localitati[judet],"?")&lt;&gt;[@judet],"JUDET NECORESPUNZATOR",""))</f>
        <v/>
      </c>
      <c r="R1435">
        <f>IF(XLOOKUP([@categorie],tbl_RegulriTVA[categorie],tbl_RegulriTVA[cota_legala],-1)&lt;&gt;[@cota_tva],"TVA GRESIT","")</f>
        <v/>
      </c>
      <c r="S1435">
        <f>IF([@data_scadentei]&lt;[@data_factura],"SCADENTA INAINTEA FACTURII","")</f>
        <v/>
      </c>
      <c r="T1435">
        <f>IF(NETWORKDAYS.INTL([@data_factura],[@data_factura],1,tbl_SarbatoriLegale[data])=0,"ZI NELUCRATOARE","")</f>
        <v/>
      </c>
      <c r="U1435">
        <f>IF([@motiv_anomalie]="","OK","DE INVESTIGAT")</f>
        <v/>
      </c>
      <c r="V1435">
        <f>TEXTJOIN("; ",TRUE,[@flag_oras],[@flag_tva],[@flag_scadenta],[@flag_zi])</f>
        <v/>
      </c>
    </row>
    <row r="1436">
      <c r="A1436" t="inlineStr">
        <is>
          <t>F-2025-01435</t>
        </is>
      </c>
      <c r="B1436" s="12" t="n">
        <v>46087</v>
      </c>
      <c r="C1436" t="inlineStr">
        <is>
          <t>SC AROMET TRADING SRL</t>
        </is>
      </c>
      <c r="D1436" t="inlineStr">
        <is>
          <t>Alba</t>
        </is>
      </c>
      <c r="E1436" t="inlineStr">
        <is>
          <t>PRD-009</t>
        </is>
      </c>
      <c r="F1436" t="inlineStr">
        <is>
          <t>Statie de lucru desktop</t>
        </is>
      </c>
      <c r="G1436" t="inlineStr">
        <is>
          <t>Hardware IT</t>
        </is>
      </c>
      <c r="H1436" t="n">
        <v>20</v>
      </c>
      <c r="I1436" t="n">
        <v>27.93</v>
      </c>
      <c r="J1436" t="n">
        <v>558.6</v>
      </c>
      <c r="K1436" s="13" t="n">
        <v>0.19</v>
      </c>
      <c r="L1436" t="n">
        <v>106.13</v>
      </c>
      <c r="M1436" t="n">
        <v>664.73</v>
      </c>
      <c r="N1436" t="inlineStr">
        <is>
          <t>RON</t>
        </is>
      </c>
      <c r="O1436" t="inlineStr">
        <is>
          <t>Alba Iulia</t>
        </is>
      </c>
      <c r="P1436" s="12" t="n">
        <v>46117</v>
      </c>
      <c r="Q1436">
        <f>IF(COUNTIF(tbl_Localitati[oras_oficial],[@oras])=0,"ORAS NEALINIAT",IF(XLOOKUP([@oras],tbl_Localitati[oras_oficial],tbl_Localitati[judet],"?")&lt;&gt;[@judet],"JUDET NECORESPUNZATOR",""))</f>
        <v/>
      </c>
      <c r="R1436">
        <f>IF(XLOOKUP([@categorie],tbl_RegulriTVA[categorie],tbl_RegulriTVA[cota_legala],-1)&lt;&gt;[@cota_tva],"TVA GRESIT","")</f>
        <v/>
      </c>
      <c r="S1436">
        <f>IF([@data_scadentei]&lt;[@data_factura],"SCADENTA INAINTEA FACTURII","")</f>
        <v/>
      </c>
      <c r="T1436">
        <f>IF(NETWORKDAYS.INTL([@data_factura],[@data_factura],1,tbl_SarbatoriLegale[data])=0,"ZI NELUCRATOARE","")</f>
        <v/>
      </c>
      <c r="U1436">
        <f>IF([@motiv_anomalie]="","OK","DE INVESTIGAT")</f>
        <v/>
      </c>
      <c r="V1436">
        <f>TEXTJOIN("; ",TRUE,[@flag_oras],[@flag_tva],[@flag_scadenta],[@flag_zi])</f>
        <v/>
      </c>
    </row>
    <row r="1437">
      <c r="A1437" t="inlineStr">
        <is>
          <t>F-2025-01436</t>
        </is>
      </c>
      <c r="B1437" s="12" t="n">
        <v>46380</v>
      </c>
      <c r="C1437" t="inlineStr">
        <is>
          <t>SC SOLARIS ENERGY SRL</t>
        </is>
      </c>
      <c r="D1437" t="inlineStr">
        <is>
          <t>Prahova</t>
        </is>
      </c>
      <c r="E1437" t="inlineStr">
        <is>
          <t>PRD-004</t>
        </is>
      </c>
      <c r="F1437" t="inlineStr">
        <is>
          <t>Consultanta implementare IT</t>
        </is>
      </c>
      <c r="G1437" t="inlineStr">
        <is>
          <t>Servicii consultanță</t>
        </is>
      </c>
      <c r="H1437" t="n">
        <v>2</v>
      </c>
      <c r="I1437" t="n">
        <v>858.47</v>
      </c>
      <c r="J1437" t="n">
        <v>1716.94</v>
      </c>
      <c r="K1437" s="13" t="n">
        <v>0.19</v>
      </c>
      <c r="L1437" t="n">
        <v>326.22</v>
      </c>
      <c r="M1437" t="n">
        <v>2043.16</v>
      </c>
      <c r="N1437" t="inlineStr">
        <is>
          <t>RON</t>
        </is>
      </c>
      <c r="O1437" t="inlineStr">
        <is>
          <t>Câmpina</t>
        </is>
      </c>
      <c r="P1437" s="12" t="n">
        <v>46410</v>
      </c>
      <c r="Q1437">
        <f>IF(COUNTIF(tbl_Localitati[oras_oficial],[@oras])=0,"ORAS NEALINIAT",IF(XLOOKUP([@oras],tbl_Localitati[oras_oficial],tbl_Localitati[judet],"?")&lt;&gt;[@judet],"JUDET NECORESPUNZATOR",""))</f>
        <v/>
      </c>
      <c r="R1437">
        <f>IF(XLOOKUP([@categorie],tbl_RegulriTVA[categorie],tbl_RegulriTVA[cota_legala],-1)&lt;&gt;[@cota_tva],"TVA GRESIT","")</f>
        <v/>
      </c>
      <c r="S1437">
        <f>IF([@data_scadentei]&lt;[@data_factura],"SCADENTA INAINTEA FACTURII","")</f>
        <v/>
      </c>
      <c r="T1437">
        <f>IF(NETWORKDAYS.INTL([@data_factura],[@data_factura],1,tbl_SarbatoriLegale[data])=0,"ZI NELUCRATOARE","")</f>
        <v/>
      </c>
      <c r="U1437">
        <f>IF([@motiv_anomalie]="","OK","DE INVESTIGAT")</f>
        <v/>
      </c>
      <c r="V1437">
        <f>TEXTJOIN("; ",TRUE,[@flag_oras],[@flag_tva],[@flag_scadenta],[@flag_zi])</f>
        <v/>
      </c>
    </row>
    <row r="1438">
      <c r="A1438" t="inlineStr">
        <is>
          <t>F-2025-01437</t>
        </is>
      </c>
      <c r="B1438" s="12" t="n">
        <v>46295</v>
      </c>
      <c r="C1438" t="inlineStr">
        <is>
          <t>SC OMEGA SOFT SRL</t>
        </is>
      </c>
      <c r="D1438" t="inlineStr">
        <is>
          <t>Dolj</t>
        </is>
      </c>
      <c r="E1438" t="inlineStr">
        <is>
          <t>PRD-002</t>
        </is>
      </c>
      <c r="F1438" t="inlineStr">
        <is>
          <t>Masti protectie cutie</t>
        </is>
      </c>
      <c r="G1438" t="inlineStr">
        <is>
          <t>Produse farmaceutice</t>
        </is>
      </c>
      <c r="H1438" t="n">
        <v>2</v>
      </c>
      <c r="I1438" t="n">
        <v>1050.45</v>
      </c>
      <c r="J1438" t="n">
        <v>2100.9</v>
      </c>
      <c r="K1438" s="13" t="n">
        <v>0.09</v>
      </c>
      <c r="L1438" t="n">
        <v>189.08</v>
      </c>
      <c r="M1438" t="n">
        <v>2289.98</v>
      </c>
      <c r="N1438" t="inlineStr">
        <is>
          <t>RON</t>
        </is>
      </c>
      <c r="O1438" t="inlineStr">
        <is>
          <t>Craiova</t>
        </is>
      </c>
      <c r="P1438" s="12" t="n">
        <v>46355</v>
      </c>
      <c r="Q1438">
        <f>IF(COUNTIF(tbl_Localitati[oras_oficial],[@oras])=0,"ORAS NEALINIAT",IF(XLOOKUP([@oras],tbl_Localitati[oras_oficial],tbl_Localitati[judet],"?")&lt;&gt;[@judet],"JUDET NECORESPUNZATOR",""))</f>
        <v/>
      </c>
      <c r="R1438">
        <f>IF(XLOOKUP([@categorie],tbl_RegulriTVA[categorie],tbl_RegulriTVA[cota_legala],-1)&lt;&gt;[@cota_tva],"TVA GRESIT","")</f>
        <v/>
      </c>
      <c r="S1438">
        <f>IF([@data_scadentei]&lt;[@data_factura],"SCADENTA INAINTEA FACTURII","")</f>
        <v/>
      </c>
      <c r="T1438">
        <f>IF(NETWORKDAYS.INTL([@data_factura],[@data_factura],1,tbl_SarbatoriLegale[data])=0,"ZI NELUCRATOARE","")</f>
        <v/>
      </c>
      <c r="U1438">
        <f>IF([@motiv_anomalie]="","OK","DE INVESTIGAT")</f>
        <v/>
      </c>
      <c r="V1438">
        <f>TEXTJOIN("; ",TRUE,[@flag_oras],[@flag_tva],[@flag_scadenta],[@flag_zi])</f>
        <v/>
      </c>
    </row>
    <row r="1439">
      <c r="A1439" t="inlineStr">
        <is>
          <t>F-2025-01438</t>
        </is>
      </c>
      <c r="B1439" s="12" t="n">
        <v>46106</v>
      </c>
      <c r="C1439" t="inlineStr">
        <is>
          <t>SC INTEGROMED SA</t>
        </is>
      </c>
      <c r="D1439" t="inlineStr">
        <is>
          <t>Cluj</t>
        </is>
      </c>
      <c r="E1439" t="inlineStr">
        <is>
          <t>PRD-001</t>
        </is>
      </c>
      <c r="F1439" t="inlineStr">
        <is>
          <t>Switch gigabit 24p</t>
        </is>
      </c>
      <c r="G1439" t="inlineStr">
        <is>
          <t>Hardware IT</t>
        </is>
      </c>
      <c r="H1439" t="n">
        <v>2</v>
      </c>
      <c r="I1439" t="n">
        <v>2402.65</v>
      </c>
      <c r="J1439" t="n">
        <v>4805.3</v>
      </c>
      <c r="K1439" s="13" t="n">
        <v>0.19</v>
      </c>
      <c r="L1439" t="n">
        <v>913.01</v>
      </c>
      <c r="M1439" t="n">
        <v>5718.31</v>
      </c>
      <c r="N1439" t="inlineStr">
        <is>
          <t>RON</t>
        </is>
      </c>
      <c r="O1439" t="inlineStr">
        <is>
          <t>Cluj-Napoca</t>
        </is>
      </c>
      <c r="P1439" s="12" t="n">
        <v>46136</v>
      </c>
      <c r="Q1439">
        <f>IF(COUNTIF(tbl_Localitati[oras_oficial],[@oras])=0,"ORAS NEALINIAT",IF(XLOOKUP([@oras],tbl_Localitati[oras_oficial],tbl_Localitati[judet],"?")&lt;&gt;[@judet],"JUDET NECORESPUNZATOR",""))</f>
        <v/>
      </c>
      <c r="R1439">
        <f>IF(XLOOKUP([@categorie],tbl_RegulriTVA[categorie],tbl_RegulriTVA[cota_legala],-1)&lt;&gt;[@cota_tva],"TVA GRESIT","")</f>
        <v/>
      </c>
      <c r="S1439">
        <f>IF([@data_scadentei]&lt;[@data_factura],"SCADENTA INAINTEA FACTURII","")</f>
        <v/>
      </c>
      <c r="T1439">
        <f>IF(NETWORKDAYS.INTL([@data_factura],[@data_factura],1,tbl_SarbatoriLegale[data])=0,"ZI NELUCRATOARE","")</f>
        <v/>
      </c>
      <c r="U1439">
        <f>IF([@motiv_anomalie]="","OK","DE INVESTIGAT")</f>
        <v/>
      </c>
      <c r="V1439">
        <f>TEXTJOIN("; ",TRUE,[@flag_oras],[@flag_tva],[@flag_scadenta],[@flag_zi])</f>
        <v/>
      </c>
    </row>
    <row r="1440">
      <c r="A1440" t="inlineStr">
        <is>
          <t>F-2025-01439</t>
        </is>
      </c>
      <c r="B1440" s="12" t="n">
        <v>46345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Tocator documente</t>
        </is>
      </c>
      <c r="G1440" t="inlineStr">
        <is>
          <t>Echipamente birou</t>
        </is>
      </c>
      <c r="H1440" t="n">
        <v>10</v>
      </c>
      <c r="I1440" t="n">
        <v>178.73</v>
      </c>
      <c r="J1440" t="n">
        <v>1787.3</v>
      </c>
      <c r="K1440" s="13" t="n">
        <v>0.19</v>
      </c>
      <c r="L1440" t="n">
        <v>339.59</v>
      </c>
      <c r="M1440" t="n">
        <v>2126.89</v>
      </c>
      <c r="N1440" t="inlineStr">
        <is>
          <t>RON</t>
        </is>
      </c>
      <c r="O1440" t="inlineStr">
        <is>
          <t>Sibiu</t>
        </is>
      </c>
      <c r="P1440" s="12" t="n">
        <v>46375</v>
      </c>
      <c r="Q1440">
        <f>IF(COUNTIF(tbl_Localitati[oras_oficial],[@oras])=0,"ORAS NEALINIAT",IF(XLOOKUP([@oras],tbl_Localitati[oras_oficial],tbl_Localitati[judet],"?")&lt;&gt;[@judet],"JUDET NECORESPUNZATOR",""))</f>
        <v/>
      </c>
      <c r="R1440">
        <f>IF(XLOOKUP([@categorie],tbl_RegulriTVA[categorie],tbl_RegulriTVA[cota_legala],-1)&lt;&gt;[@cota_tva],"TVA GRESIT","")</f>
        <v/>
      </c>
      <c r="S1440">
        <f>IF([@data_scadentei]&lt;[@data_factura],"SCADENTA INAINTEA FACTURII","")</f>
        <v/>
      </c>
      <c r="T1440">
        <f>IF(NETWORKDAYS.INTL([@data_factura],[@data_factura],1,tbl_SarbatoriLegale[data])=0,"ZI NELUCRATOARE","")</f>
        <v/>
      </c>
      <c r="U1440">
        <f>IF([@motiv_anomalie]="","OK","DE INVESTIGAT")</f>
        <v/>
      </c>
      <c r="V1440">
        <f>TEXTJOIN("; ",TRUE,[@flag_oras],[@flag_tva],[@flag_scadenta],[@flag_zi])</f>
        <v/>
      </c>
    </row>
    <row r="1441">
      <c r="A1441" t="inlineStr">
        <is>
          <t>F-2025-01440</t>
        </is>
      </c>
      <c r="B1441" s="12" t="n">
        <v>46331</v>
      </c>
      <c r="C1441" t="inlineStr">
        <is>
          <t>SC INTEGROMED SA</t>
        </is>
      </c>
      <c r="D1441" t="inlineStr">
        <is>
          <t>Cluj</t>
        </is>
      </c>
      <c r="E1441" t="inlineStr">
        <is>
          <t>PRD-009</t>
        </is>
      </c>
      <c r="F1441" t="inlineStr">
        <is>
          <t>Switch gigabit 24p</t>
        </is>
      </c>
      <c r="G1441" t="inlineStr">
        <is>
          <t>Hardware IT</t>
        </is>
      </c>
      <c r="H1441" t="n">
        <v>10</v>
      </c>
      <c r="I1441" t="n">
        <v>27.34</v>
      </c>
      <c r="J1441" t="n">
        <v>273.4</v>
      </c>
      <c r="K1441" s="13" t="n">
        <v>0.19</v>
      </c>
      <c r="L1441" t="n">
        <v>51.95</v>
      </c>
      <c r="M1441" t="n">
        <v>325.35</v>
      </c>
      <c r="N1441" t="inlineStr">
        <is>
          <t>RON</t>
        </is>
      </c>
      <c r="O1441" t="inlineStr">
        <is>
          <t>Cluj-Napoca</t>
        </is>
      </c>
      <c r="P1441" s="12" t="n">
        <v>46361</v>
      </c>
      <c r="Q1441">
        <f>IF(COUNTIF(tbl_Localitati[oras_oficial],[@oras])=0,"ORAS NEALINIAT",IF(XLOOKUP([@oras],tbl_Localitati[oras_oficial],tbl_Localitati[judet],"?")&lt;&gt;[@judet],"JUDET NECORESPUNZATOR",""))</f>
        <v/>
      </c>
      <c r="R1441">
        <f>IF(XLOOKUP([@categorie],tbl_RegulriTVA[categorie],tbl_RegulriTVA[cota_legala],-1)&lt;&gt;[@cota_tva],"TVA GRESIT","")</f>
        <v/>
      </c>
      <c r="S1441">
        <f>IF([@data_scadentei]&lt;[@data_factura],"SCADENTA INAINTEA FACTURII","")</f>
        <v/>
      </c>
      <c r="T1441">
        <f>IF(NETWORKDAYS.INTL([@data_factura],[@data_factura],1,tbl_SarbatoriLegale[data])=0,"ZI NELUCRATOARE","")</f>
        <v/>
      </c>
      <c r="U1441">
        <f>IF([@motiv_anomalie]="","OK","DE INVESTIGAT")</f>
        <v/>
      </c>
      <c r="V1441">
        <f>TEXTJOIN("; ",TRUE,[@flag_oras],[@flag_tva],[@flag_scadenta],[@flag_zi])</f>
        <v/>
      </c>
    </row>
    <row r="1442">
      <c r="A1442" t="inlineStr">
        <is>
          <t>F-2025-01441</t>
        </is>
      </c>
      <c r="B1442" s="12" t="n">
        <v>46318</v>
      </c>
      <c r="C1442" t="inlineStr">
        <is>
          <t>SC DACTECH SOLUTIONS SRL</t>
        </is>
      </c>
      <c r="D1442" t="inlineStr">
        <is>
          <t>Argeș</t>
        </is>
      </c>
      <c r="E1442" t="inlineStr">
        <is>
          <t>PRD-001</t>
        </is>
      </c>
      <c r="F1442" t="inlineStr">
        <is>
          <t>Statie de lucru desktop</t>
        </is>
      </c>
      <c r="G1442" t="inlineStr">
        <is>
          <t>Hardware IT</t>
        </is>
      </c>
      <c r="H1442" t="n">
        <v>2</v>
      </c>
      <c r="I1442" t="n">
        <v>2362.39</v>
      </c>
      <c r="J1442" t="n">
        <v>4724.78</v>
      </c>
      <c r="K1442" s="13" t="n">
        <v>0.19</v>
      </c>
      <c r="L1442" t="n">
        <v>897.71</v>
      </c>
      <c r="M1442" t="n">
        <v>5622.49</v>
      </c>
      <c r="N1442" t="inlineStr">
        <is>
          <t>RON</t>
        </is>
      </c>
      <c r="O1442" t="inlineStr">
        <is>
          <t>Pitești</t>
        </is>
      </c>
      <c r="P1442" s="12" t="n">
        <v>46363</v>
      </c>
      <c r="Q1442">
        <f>IF(COUNTIF(tbl_Localitati[oras_oficial],[@oras])=0,"ORAS NEALINIAT",IF(XLOOKUP([@oras],tbl_Localitati[oras_oficial],tbl_Localitati[judet],"?")&lt;&gt;[@judet],"JUDET NECORESPUNZATOR",""))</f>
        <v/>
      </c>
      <c r="R1442">
        <f>IF(XLOOKUP([@categorie],tbl_RegulriTVA[categorie],tbl_RegulriTVA[cota_legala],-1)&lt;&gt;[@cota_tva],"TVA GRESIT","")</f>
        <v/>
      </c>
      <c r="S1442">
        <f>IF([@data_scadentei]&lt;[@data_factura],"SCADENTA INAINTEA FACTURII","")</f>
        <v/>
      </c>
      <c r="T1442">
        <f>IF(NETWORKDAYS.INTL([@data_factura],[@data_factura],1,tbl_SarbatoriLegale[data])=0,"ZI NELUCRATOARE","")</f>
        <v/>
      </c>
      <c r="U1442">
        <f>IF([@motiv_anomalie]="","OK","DE INVESTIGAT")</f>
        <v/>
      </c>
      <c r="V1442">
        <f>TEXTJOIN("; ",TRUE,[@flag_oras],[@flag_tva],[@flag_scadenta],[@flag_zi])</f>
        <v/>
      </c>
    </row>
    <row r="1443">
      <c r="A1443" t="inlineStr">
        <is>
          <t>F-2025-01442</t>
        </is>
      </c>
      <c r="B1443" s="12" t="n">
        <v>46269</v>
      </c>
      <c r="C1443" t="inlineStr">
        <is>
          <t>SC PROVITA MEDICAL SRL</t>
        </is>
      </c>
      <c r="D1443" t="inlineStr">
        <is>
          <t>Mureș</t>
        </is>
      </c>
      <c r="E1443" t="inlineStr">
        <is>
          <t>PRD-001</t>
        </is>
      </c>
      <c r="F1443" t="inlineStr">
        <is>
          <t>Pachet protocol sedinte</t>
        </is>
      </c>
      <c r="G1443" t="inlineStr">
        <is>
          <t>Alimente</t>
        </is>
      </c>
      <c r="H1443" t="n">
        <v>2</v>
      </c>
      <c r="I1443" t="n">
        <v>2328.12</v>
      </c>
      <c r="J1443" t="n">
        <v>4656.24</v>
      </c>
      <c r="K1443" s="13" t="n">
        <v>0.09</v>
      </c>
      <c r="L1443" t="n">
        <v>419.06</v>
      </c>
      <c r="M1443" t="n">
        <v>5075.3</v>
      </c>
      <c r="N1443" t="inlineStr">
        <is>
          <t>RON</t>
        </is>
      </c>
      <c r="O1443" t="inlineStr">
        <is>
          <t>Târgu Mureș</t>
        </is>
      </c>
      <c r="P1443" s="12" t="n">
        <v>46314</v>
      </c>
      <c r="Q1443">
        <f>IF(COUNTIF(tbl_Localitati[oras_oficial],[@oras])=0,"ORAS NEALINIAT",IF(XLOOKUP([@oras],tbl_Localitati[oras_oficial],tbl_Localitati[judet],"?")&lt;&gt;[@judet],"JUDET NECORESPUNZATOR",""))</f>
        <v/>
      </c>
      <c r="R1443">
        <f>IF(XLOOKUP([@categorie],tbl_RegulriTVA[categorie],tbl_RegulriTVA[cota_legala],-1)&lt;&gt;[@cota_tva],"TVA GRESIT","")</f>
        <v/>
      </c>
      <c r="S1443">
        <f>IF([@data_scadentei]&lt;[@data_factura],"SCADENTA INAINTEA FACTURII","")</f>
        <v/>
      </c>
      <c r="T1443">
        <f>IF(NETWORKDAYS.INTL([@data_factura],[@data_factura],1,tbl_SarbatoriLegale[data])=0,"ZI NELUCRATOARE","")</f>
        <v/>
      </c>
      <c r="U1443">
        <f>IF([@motiv_anomalie]="","OK","DE INVESTIGAT")</f>
        <v/>
      </c>
      <c r="V1443">
        <f>TEXTJOIN("; ",TRUE,[@flag_oras],[@flag_tva],[@flag_scadenta],[@flag_zi])</f>
        <v/>
      </c>
    </row>
    <row r="1444">
      <c r="A1444" t="inlineStr">
        <is>
          <t>F-2025-01443</t>
        </is>
      </c>
      <c r="B1444" s="12" t="n">
        <v>46294</v>
      </c>
      <c r="C1444" t="inlineStr">
        <is>
          <t>SC RAPID LOGISTIC SA</t>
        </is>
      </c>
      <c r="D1444" t="inlineStr">
        <is>
          <t>Prahova</t>
        </is>
      </c>
      <c r="E1444" t="inlineStr">
        <is>
          <t>PRD-001</t>
        </is>
      </c>
      <c r="F1444" t="inlineStr">
        <is>
          <t>Monitor 27" 4K</t>
        </is>
      </c>
      <c r="G1444" t="inlineStr">
        <is>
          <t>Hardware IT</t>
        </is>
      </c>
      <c r="H1444" t="n">
        <v>2</v>
      </c>
      <c r="I1444" t="n">
        <v>2334.06</v>
      </c>
      <c r="J1444" t="n">
        <v>4668.12</v>
      </c>
      <c r="K1444" s="13" t="n">
        <v>0.19</v>
      </c>
      <c r="L1444" t="n">
        <v>886.9400000000001</v>
      </c>
      <c r="M1444" t="n">
        <v>5555.06</v>
      </c>
      <c r="N1444" t="inlineStr">
        <is>
          <t>RON</t>
        </is>
      </c>
      <c r="O1444" t="inlineStr">
        <is>
          <t>Ploiești</t>
        </is>
      </c>
      <c r="P1444" s="12" t="n">
        <v>46354</v>
      </c>
      <c r="Q1444">
        <f>IF(COUNTIF(tbl_Localitati[oras_oficial],[@oras])=0,"ORAS NEALINIAT",IF(XLOOKUP([@oras],tbl_Localitati[oras_oficial],tbl_Localitati[judet],"?")&lt;&gt;[@judet],"JUDET NECORESPUNZATOR",""))</f>
        <v/>
      </c>
      <c r="R1444">
        <f>IF(XLOOKUP([@categorie],tbl_RegulriTVA[categorie],tbl_RegulriTVA[cota_legala],-1)&lt;&gt;[@cota_tva],"TVA GRESIT","")</f>
        <v/>
      </c>
      <c r="S1444">
        <f>IF([@data_scadentei]&lt;[@data_factura],"SCADENTA INAINTEA FACTURII","")</f>
        <v/>
      </c>
      <c r="T1444">
        <f>IF(NETWORKDAYS.INTL([@data_factura],[@data_factura],1,tbl_SarbatoriLegale[data])=0,"ZI NELUCRATOARE","")</f>
        <v/>
      </c>
      <c r="U1444">
        <f>IF([@motiv_anomalie]="","OK","DE INVESTIGAT")</f>
        <v/>
      </c>
      <c r="V1444">
        <f>TEXTJOIN("; ",TRUE,[@flag_oras],[@flag_tva],[@flag_scadenta],[@flag_zi])</f>
        <v/>
      </c>
    </row>
    <row r="1445">
      <c r="A1445" t="inlineStr">
        <is>
          <t>F-2025-01444</t>
        </is>
      </c>
      <c r="B1445" s="12" t="n">
        <v>46247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Multifunctionala laser</t>
        </is>
      </c>
      <c r="G1445" t="inlineStr">
        <is>
          <t>Echipamente birou</t>
        </is>
      </c>
      <c r="H1445" t="n">
        <v>10</v>
      </c>
      <c r="I1445" t="n">
        <v>177.14</v>
      </c>
      <c r="J1445" t="n">
        <v>1771.4</v>
      </c>
      <c r="K1445" s="13" t="n">
        <v>0.19</v>
      </c>
      <c r="L1445" t="n">
        <v>336.57</v>
      </c>
      <c r="M1445" t="n">
        <v>2107.97</v>
      </c>
      <c r="N1445" t="inlineStr">
        <is>
          <t>RON</t>
        </is>
      </c>
      <c r="O1445" t="inlineStr">
        <is>
          <t>Sibiu</t>
        </is>
      </c>
      <c r="P1445" s="12" t="n">
        <v>46292</v>
      </c>
      <c r="Q1445">
        <f>IF(COUNTIF(tbl_Localitati[oras_oficial],[@oras])=0,"ORAS NEALINIAT",IF(XLOOKUP([@oras],tbl_Localitati[oras_oficial],tbl_Localitati[judet],"?")&lt;&gt;[@judet],"JUDET NECORESPUNZATOR",""))</f>
        <v/>
      </c>
      <c r="R1445">
        <f>IF(XLOOKUP([@categorie],tbl_RegulriTVA[categorie],tbl_RegulriTVA[cota_legala],-1)&lt;&gt;[@cota_tva],"TVA GRESIT","")</f>
        <v/>
      </c>
      <c r="S1445">
        <f>IF([@data_scadentei]&lt;[@data_factura],"SCADENTA INAINTEA FACTURII","")</f>
        <v/>
      </c>
      <c r="T1445">
        <f>IF(NETWORKDAYS.INTL([@data_factura],[@data_factura],1,tbl_SarbatoriLegale[data])=0,"ZI NELUCRATOARE","")</f>
        <v/>
      </c>
      <c r="U1445">
        <f>IF([@motiv_anomalie]="","OK","DE INVESTIGAT")</f>
        <v/>
      </c>
      <c r="V1445">
        <f>TEXTJOIN("; ",TRUE,[@flag_oras],[@flag_tva],[@flag_scadenta],[@flag_zi])</f>
        <v/>
      </c>
    </row>
    <row r="1446">
      <c r="A1446" t="inlineStr">
        <is>
          <t>F-2025-01445</t>
        </is>
      </c>
      <c r="B1446" s="12" t="n">
        <v>46168</v>
      </c>
      <c r="C1446" t="inlineStr">
        <is>
          <t>SC SOLARIS ENERGY SRL</t>
        </is>
      </c>
      <c r="D1446" t="inlineStr">
        <is>
          <t>Prahova</t>
        </is>
      </c>
      <c r="E1446" t="inlineStr">
        <is>
          <t>PRD-009</t>
        </is>
      </c>
      <c r="F1446" t="inlineStr">
        <is>
          <t>Statie de lucru desktop</t>
        </is>
      </c>
      <c r="G1446" t="inlineStr">
        <is>
          <t>Hardware IT</t>
        </is>
      </c>
      <c r="H1446" t="n">
        <v>20</v>
      </c>
      <c r="I1446" t="n">
        <v>26.95</v>
      </c>
      <c r="J1446" t="n">
        <v>539</v>
      </c>
      <c r="K1446" s="13" t="n">
        <v>0.19</v>
      </c>
      <c r="L1446" t="n">
        <v>102.41</v>
      </c>
      <c r="M1446" t="n">
        <v>641.41</v>
      </c>
      <c r="N1446" t="inlineStr">
        <is>
          <t>RON</t>
        </is>
      </c>
      <c r="O1446" t="inlineStr">
        <is>
          <t>Câmpina</t>
        </is>
      </c>
      <c r="P1446" s="12" t="n">
        <v>46198</v>
      </c>
      <c r="Q1446">
        <f>IF(COUNTIF(tbl_Localitati[oras_oficial],[@oras])=0,"ORAS NEALINIAT",IF(XLOOKUP([@oras],tbl_Localitati[oras_oficial],tbl_Localitati[judet],"?")&lt;&gt;[@judet],"JUDET NECORESPUNZATOR",""))</f>
        <v/>
      </c>
      <c r="R1446">
        <f>IF(XLOOKUP([@categorie],tbl_RegulriTVA[categorie],tbl_RegulriTVA[cota_legala],-1)&lt;&gt;[@cota_tva],"TVA GRESIT","")</f>
        <v/>
      </c>
      <c r="S1446">
        <f>IF([@data_scadentei]&lt;[@data_factura],"SCADENTA INAINTEA FACTURII","")</f>
        <v/>
      </c>
      <c r="T1446">
        <f>IF(NETWORKDAYS.INTL([@data_factura],[@data_factura],1,tbl_SarbatoriLegale[data])=0,"ZI NELUCRATOARE","")</f>
        <v/>
      </c>
      <c r="U1446">
        <f>IF([@motiv_anomalie]="","OK","DE INVESTIGAT")</f>
        <v/>
      </c>
      <c r="V1446">
        <f>TEXTJOIN("; ",TRUE,[@flag_oras],[@flag_tva],[@flag_scadenta],[@flag_zi])</f>
        <v/>
      </c>
    </row>
    <row r="1447">
      <c r="A1447" t="inlineStr">
        <is>
          <t>F-2025-01446</t>
        </is>
      </c>
      <c r="B1447" s="12" t="n">
        <v>46035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Switch gigabit 24p</t>
        </is>
      </c>
      <c r="G1447" t="inlineStr">
        <is>
          <t>Hardware IT</t>
        </is>
      </c>
      <c r="H1447" t="n">
        <v>1</v>
      </c>
      <c r="I1447" t="n">
        <v>237.72</v>
      </c>
      <c r="J1447" t="n">
        <v>237.72</v>
      </c>
      <c r="K1447" s="13" t="n">
        <v>0.19</v>
      </c>
      <c r="L1447" t="n">
        <v>45.17</v>
      </c>
      <c r="M1447" t="n">
        <v>282.89</v>
      </c>
      <c r="N1447" t="inlineStr">
        <is>
          <t>RON</t>
        </is>
      </c>
      <c r="O1447" t="inlineStr">
        <is>
          <t>Sibiu</t>
        </is>
      </c>
      <c r="P1447" s="12" t="n">
        <v>46065</v>
      </c>
      <c r="Q1447">
        <f>IF(COUNTIF(tbl_Localitati[oras_oficial],[@oras])=0,"ORAS NEALINIAT",IF(XLOOKUP([@oras],tbl_Localitati[oras_oficial],tbl_Localitati[judet],"?")&lt;&gt;[@judet],"JUDET NECORESPUNZATOR",""))</f>
        <v/>
      </c>
      <c r="R1447">
        <f>IF(XLOOKUP([@categorie],tbl_RegulriTVA[categorie],tbl_RegulriTVA[cota_legala],-1)&lt;&gt;[@cota_tva],"TVA GRESIT","")</f>
        <v/>
      </c>
      <c r="S1447">
        <f>IF([@data_scadentei]&lt;[@data_factura],"SCADENTA INAINTEA FACTURII","")</f>
        <v/>
      </c>
      <c r="T1447">
        <f>IF(NETWORKDAYS.INTL([@data_factura],[@data_factura],1,tbl_SarbatoriLegale[data])=0,"ZI NELUCRATOARE","")</f>
        <v/>
      </c>
      <c r="U1447">
        <f>IF([@motiv_anomalie]="","OK","DE INVESTIGAT")</f>
        <v/>
      </c>
      <c r="V1447">
        <f>TEXTJOIN("; ",TRUE,[@flag_oras],[@flag_tva],[@flag_scadenta],[@flag_zi])</f>
        <v/>
      </c>
    </row>
    <row r="1448">
      <c r="A1448" t="inlineStr">
        <is>
          <t>F-2025-01447</t>
        </is>
      </c>
      <c r="B1448" s="12" t="n">
        <v>46280</v>
      </c>
      <c r="C1448" t="inlineStr">
        <is>
          <t>SC ELECTROBUILD SRL</t>
        </is>
      </c>
      <c r="D1448" t="inlineStr">
        <is>
          <t>Bacău</t>
        </is>
      </c>
      <c r="E1448" t="inlineStr">
        <is>
          <t>PRD-001</t>
        </is>
      </c>
      <c r="F1448" t="inlineStr">
        <is>
          <t>Tocator documente</t>
        </is>
      </c>
      <c r="G1448" t="inlineStr">
        <is>
          <t>Echipamente birou</t>
        </is>
      </c>
      <c r="H1448" t="n">
        <v>5</v>
      </c>
      <c r="I1448" t="n">
        <v>2483.86</v>
      </c>
      <c r="J1448" t="n">
        <v>12419.3</v>
      </c>
      <c r="K1448" s="13" t="n">
        <v>0.19</v>
      </c>
      <c r="L1448" t="n">
        <v>2359.67</v>
      </c>
      <c r="M1448" t="n">
        <v>14778.97</v>
      </c>
      <c r="N1448" t="inlineStr">
        <is>
          <t>RON</t>
        </is>
      </c>
      <c r="O1448" t="inlineStr">
        <is>
          <t>Bacău</t>
        </is>
      </c>
      <c r="P1448" s="12" t="n">
        <v>46310</v>
      </c>
      <c r="Q1448">
        <f>IF(COUNTIF(tbl_Localitati[oras_oficial],[@oras])=0,"ORAS NEALINIAT",IF(XLOOKUP([@oras],tbl_Localitati[oras_oficial],tbl_Localitati[judet],"?")&lt;&gt;[@judet],"JUDET NECORESPUNZATOR",""))</f>
        <v/>
      </c>
      <c r="R1448">
        <f>IF(XLOOKUP([@categorie],tbl_RegulriTVA[categorie],tbl_RegulriTVA[cota_legala],-1)&lt;&gt;[@cota_tva],"TVA GRESIT","")</f>
        <v/>
      </c>
      <c r="S1448">
        <f>IF([@data_scadentei]&lt;[@data_factura],"SCADENTA INAINTEA FACTURII","")</f>
        <v/>
      </c>
      <c r="T1448">
        <f>IF(NETWORKDAYS.INTL([@data_factura],[@data_factura],1,tbl_SarbatoriLegale[data])=0,"ZI NELUCRATOARE","")</f>
        <v/>
      </c>
      <c r="U1448">
        <f>IF([@motiv_anomalie]="","OK","DE INVESTIGAT")</f>
        <v/>
      </c>
      <c r="V1448">
        <f>TEXTJOIN("; ",TRUE,[@flag_oras],[@flag_tva],[@flag_scadenta],[@flag_zi])</f>
        <v/>
      </c>
    </row>
    <row r="1449">
      <c r="A1449" t="inlineStr">
        <is>
          <t>F-2025-01448</t>
        </is>
      </c>
      <c r="B1449" s="12" t="n">
        <v>46063</v>
      </c>
      <c r="C1449" t="inlineStr">
        <is>
          <t>SC NORDIS DISTRIBUTIE SRL</t>
        </is>
      </c>
      <c r="D1449" t="inlineStr">
        <is>
          <t>Constanța</t>
        </is>
      </c>
      <c r="E1449" t="inlineStr">
        <is>
          <t>PRD-009</t>
        </is>
      </c>
      <c r="F1449" t="inlineStr">
        <is>
          <t>Training utilizatori</t>
        </is>
      </c>
      <c r="G1449" t="inlineStr">
        <is>
          <t>Servicii consultanță</t>
        </is>
      </c>
      <c r="H1449" t="n">
        <v>10</v>
      </c>
      <c r="I1449" t="n">
        <v>29.25</v>
      </c>
      <c r="J1449" t="n">
        <v>292.5</v>
      </c>
      <c r="K1449" s="13" t="n">
        <v>0.19</v>
      </c>
      <c r="L1449" t="n">
        <v>55.58</v>
      </c>
      <c r="M1449" t="n">
        <v>348.08</v>
      </c>
      <c r="N1449" t="inlineStr">
        <is>
          <t>RON</t>
        </is>
      </c>
      <c r="O1449" t="inlineStr">
        <is>
          <t>Mangalia</t>
        </is>
      </c>
      <c r="P1449" s="12" t="n">
        <v>46093</v>
      </c>
      <c r="Q1449">
        <f>IF(COUNTIF(tbl_Localitati[oras_oficial],[@oras])=0,"ORAS NEALINIAT",IF(XLOOKUP([@oras],tbl_Localitati[oras_oficial],tbl_Localitati[judet],"?")&lt;&gt;[@judet],"JUDET NECORESPUNZATOR",""))</f>
        <v/>
      </c>
      <c r="R1449">
        <f>IF(XLOOKUP([@categorie],tbl_RegulriTVA[categorie],tbl_RegulriTVA[cota_legala],-1)&lt;&gt;[@cota_tva],"TVA GRESIT","")</f>
        <v/>
      </c>
      <c r="S1449">
        <f>IF([@data_scadentei]&lt;[@data_factura],"SCADENTA INAINTEA FACTURII","")</f>
        <v/>
      </c>
      <c r="T1449">
        <f>IF(NETWORKDAYS.INTL([@data_factura],[@data_factura],1,tbl_SarbatoriLegale[data])=0,"ZI NELUCRATOARE","")</f>
        <v/>
      </c>
      <c r="U1449">
        <f>IF([@motiv_anomalie]="","OK","DE INVESTIGAT")</f>
        <v/>
      </c>
      <c r="V1449">
        <f>TEXTJOIN("; ",TRUE,[@flag_oras],[@flag_tva],[@flag_scadenta],[@flag_zi])</f>
        <v/>
      </c>
    </row>
    <row r="1450">
      <c r="A1450" t="inlineStr">
        <is>
          <t>F-2025-01449</t>
        </is>
      </c>
      <c r="B1450" s="12" t="n">
        <v>46248</v>
      </c>
      <c r="C1450" t="inlineStr">
        <is>
          <t>SC AROMET TRADING SRL</t>
        </is>
      </c>
      <c r="D1450" t="inlineStr">
        <is>
          <t>Alba</t>
        </is>
      </c>
      <c r="E1450" t="inlineStr">
        <is>
          <t>PRD-002</t>
        </is>
      </c>
      <c r="F1450" t="inlineStr">
        <is>
          <t>Cafea boabe 1kg</t>
        </is>
      </c>
      <c r="G1450" t="inlineStr">
        <is>
          <t>Alimente</t>
        </is>
      </c>
      <c r="H1450" t="n">
        <v>3</v>
      </c>
      <c r="I1450" t="n">
        <v>1092.68</v>
      </c>
      <c r="J1450" t="n">
        <v>3278.04</v>
      </c>
      <c r="K1450" s="13" t="n">
        <v>0.09</v>
      </c>
      <c r="L1450" t="n">
        <v>295.02</v>
      </c>
      <c r="M1450" t="n">
        <v>3573.06</v>
      </c>
      <c r="N1450" t="inlineStr">
        <is>
          <t>RON</t>
        </is>
      </c>
      <c r="O1450" t="inlineStr">
        <is>
          <t>Alba Iulia</t>
        </is>
      </c>
      <c r="P1450" s="12" t="n">
        <v>46263</v>
      </c>
      <c r="Q1450">
        <f>IF(COUNTIF(tbl_Localitati[oras_oficial],[@oras])=0,"ORAS NEALINIAT",IF(XLOOKUP([@oras],tbl_Localitati[oras_oficial],tbl_Localitati[judet],"?")&lt;&gt;[@judet],"JUDET NECORESPUNZATOR",""))</f>
        <v/>
      </c>
      <c r="R1450">
        <f>IF(XLOOKUP([@categorie],tbl_RegulriTVA[categorie],tbl_RegulriTVA[cota_legala],-1)&lt;&gt;[@cota_tva],"TVA GRESIT","")</f>
        <v/>
      </c>
      <c r="S1450">
        <f>IF([@data_scadentei]&lt;[@data_factura],"SCADENTA INAINTEA FACTURII","")</f>
        <v/>
      </c>
      <c r="T1450">
        <f>IF(NETWORKDAYS.INTL([@data_factura],[@data_factura],1,tbl_SarbatoriLegale[data])=0,"ZI NELUCRATOARE","")</f>
        <v/>
      </c>
      <c r="U1450">
        <f>IF([@motiv_anomalie]="","OK","DE INVESTIGAT")</f>
        <v/>
      </c>
      <c r="V1450">
        <f>TEXTJOIN("; ",TRUE,[@flag_oras],[@flag_tva],[@flag_scadenta],[@flag_zi])</f>
        <v/>
      </c>
    </row>
    <row r="1451">
      <c r="A1451" t="inlineStr">
        <is>
          <t>F-2025-01450</t>
        </is>
      </c>
      <c r="B1451" s="12" t="n">
        <v>46206</v>
      </c>
      <c r="C1451" t="inlineStr">
        <is>
          <t>SC AROMET TRADING SRL</t>
        </is>
      </c>
      <c r="D1451" t="inlineStr">
        <is>
          <t>Alba</t>
        </is>
      </c>
      <c r="E1451" t="inlineStr">
        <is>
          <t>PRD-004</t>
        </is>
      </c>
      <c r="F1451" t="inlineStr">
        <is>
          <t>Statie de lucru desktop</t>
        </is>
      </c>
      <c r="G1451" t="inlineStr">
        <is>
          <t>Hardware IT</t>
        </is>
      </c>
      <c r="H1451" t="n">
        <v>2</v>
      </c>
      <c r="I1451" t="n">
        <v>928.12</v>
      </c>
      <c r="J1451" t="n">
        <v>1856.24</v>
      </c>
      <c r="K1451" s="13" t="n">
        <v>0.19</v>
      </c>
      <c r="L1451" t="n">
        <v>352.69</v>
      </c>
      <c r="M1451" t="n">
        <v>2208.93</v>
      </c>
      <c r="N1451" t="inlineStr">
        <is>
          <t>RON</t>
        </is>
      </c>
      <c r="O1451" t="inlineStr">
        <is>
          <t>Alba Iulia</t>
        </is>
      </c>
      <c r="P1451" s="12" t="n">
        <v>46266</v>
      </c>
      <c r="Q1451">
        <f>IF(COUNTIF(tbl_Localitati[oras_oficial],[@oras])=0,"ORAS NEALINIAT",IF(XLOOKUP([@oras],tbl_Localitati[oras_oficial],tbl_Localitati[judet],"?")&lt;&gt;[@judet],"JUDET NECORESPUNZATOR",""))</f>
        <v/>
      </c>
      <c r="R1451">
        <f>IF(XLOOKUP([@categorie],tbl_RegulriTVA[categorie],tbl_RegulriTVA[cota_legala],-1)&lt;&gt;[@cota_tva],"TVA GRESIT","")</f>
        <v/>
      </c>
      <c r="S1451">
        <f>IF([@data_scadentei]&lt;[@data_factura],"SCADENTA INAINTEA FACTURII","")</f>
        <v/>
      </c>
      <c r="T1451">
        <f>IF(NETWORKDAYS.INTL([@data_factura],[@data_factura],1,tbl_SarbatoriLegale[data])=0,"ZI NELUCRATOARE","")</f>
        <v/>
      </c>
      <c r="U1451">
        <f>IF([@motiv_anomalie]="","OK","DE INVESTIGAT")</f>
        <v/>
      </c>
      <c r="V1451">
        <f>TEXTJOIN("; ",TRUE,[@flag_oras],[@flag_tva],[@flag_scadenta],[@flag_zi])</f>
        <v/>
      </c>
    </row>
    <row r="1452">
      <c r="A1452" t="inlineStr">
        <is>
          <t>F-2025-01451</t>
        </is>
      </c>
      <c r="B1452" s="12" t="n">
        <v>46227</v>
      </c>
      <c r="C1452" t="inlineStr">
        <is>
          <t>SC AROMET TRADING SRL</t>
        </is>
      </c>
      <c r="D1452" t="inlineStr">
        <is>
          <t>Alba</t>
        </is>
      </c>
      <c r="E1452" t="inlineStr">
        <is>
          <t>PRD-004</t>
        </is>
      </c>
      <c r="F1452" t="inlineStr">
        <is>
          <t>Training utilizatori</t>
        </is>
      </c>
      <c r="G1452" t="inlineStr">
        <is>
          <t>Servicii consultanță</t>
        </is>
      </c>
      <c r="H1452" t="n">
        <v>2</v>
      </c>
      <c r="I1452" t="n">
        <v>874.5599999999999</v>
      </c>
      <c r="J1452" t="n">
        <v>1749.12</v>
      </c>
      <c r="K1452" s="13" t="n">
        <v>0.19</v>
      </c>
      <c r="L1452" t="n">
        <v>332.33</v>
      </c>
      <c r="M1452" t="n">
        <v>2081.45</v>
      </c>
      <c r="N1452" t="inlineStr">
        <is>
          <t>RON</t>
        </is>
      </c>
      <c r="O1452" t="inlineStr">
        <is>
          <t>Alba Iulia</t>
        </is>
      </c>
      <c r="P1452" s="12" t="n">
        <v>46242</v>
      </c>
      <c r="Q1452">
        <f>IF(COUNTIF(tbl_Localitati[oras_oficial],[@oras])=0,"ORAS NEALINIAT",IF(XLOOKUP([@oras],tbl_Localitati[oras_oficial],tbl_Localitati[judet],"?")&lt;&gt;[@judet],"JUDET NECORESPUNZATOR",""))</f>
        <v/>
      </c>
      <c r="R1452">
        <f>IF(XLOOKUP([@categorie],tbl_RegulriTVA[categorie],tbl_RegulriTVA[cota_legala],-1)&lt;&gt;[@cota_tva],"TVA GRESIT","")</f>
        <v/>
      </c>
      <c r="S1452">
        <f>IF([@data_scadentei]&lt;[@data_factura],"SCADENTA INAINTEA FACTURII","")</f>
        <v/>
      </c>
      <c r="T1452">
        <f>IF(NETWORKDAYS.INTL([@data_factura],[@data_factura],1,tbl_SarbatoriLegale[data])=0,"ZI NELUCRATOARE","")</f>
        <v/>
      </c>
      <c r="U1452">
        <f>IF([@motiv_anomalie]="","OK","DE INVESTIGAT")</f>
        <v/>
      </c>
      <c r="V1452">
        <f>TEXTJOIN("; ",TRUE,[@flag_oras],[@flag_tva],[@flag_scadenta],[@flag_zi])</f>
        <v/>
      </c>
    </row>
    <row r="1453">
      <c r="A1453" t="inlineStr">
        <is>
          <t>F-2025-01452</t>
        </is>
      </c>
      <c r="B1453" s="12" t="n">
        <v>46184</v>
      </c>
      <c r="C1453" t="inlineStr">
        <is>
          <t>SC SOLARIS ENERGY SRL</t>
        </is>
      </c>
      <c r="D1453" t="inlineStr">
        <is>
          <t>Prahova</t>
        </is>
      </c>
      <c r="E1453" t="inlineStr">
        <is>
          <t>PRD-006</t>
        </is>
      </c>
      <c r="F1453" t="inlineStr">
        <is>
          <t>Consultanta implementare IT</t>
        </is>
      </c>
      <c r="G1453" t="inlineStr">
        <is>
          <t>Servicii consultanță</t>
        </is>
      </c>
      <c r="H1453" t="n">
        <v>50</v>
      </c>
      <c r="I1453" t="n">
        <v>754.5599999999999</v>
      </c>
      <c r="J1453" t="n">
        <v>37728</v>
      </c>
      <c r="K1453" s="13" t="n">
        <v>0.19</v>
      </c>
      <c r="L1453" t="n">
        <v>7168.32</v>
      </c>
      <c r="M1453" t="n">
        <v>44896.32</v>
      </c>
      <c r="N1453" t="inlineStr">
        <is>
          <t>RON</t>
        </is>
      </c>
      <c r="O1453" t="inlineStr">
        <is>
          <t>Câmpina</t>
        </is>
      </c>
      <c r="P1453" s="12" t="n">
        <v>46214</v>
      </c>
      <c r="Q1453">
        <f>IF(COUNTIF(tbl_Localitati[oras_oficial],[@oras])=0,"ORAS NEALINIAT",IF(XLOOKUP([@oras],tbl_Localitati[oras_oficial],tbl_Localitati[judet],"?")&lt;&gt;[@judet],"JUDET NECORESPUNZATOR",""))</f>
        <v/>
      </c>
      <c r="R1453">
        <f>IF(XLOOKUP([@categorie],tbl_RegulriTVA[categorie],tbl_RegulriTVA[cota_legala],-1)&lt;&gt;[@cota_tva],"TVA GRESIT","")</f>
        <v/>
      </c>
      <c r="S1453">
        <f>IF([@data_scadentei]&lt;[@data_factura],"SCADENTA INAINTEA FACTURII","")</f>
        <v/>
      </c>
      <c r="T1453">
        <f>IF(NETWORKDAYS.INTL([@data_factura],[@data_factura],1,tbl_SarbatoriLegale[data])=0,"ZI NELUCRATOARE","")</f>
        <v/>
      </c>
      <c r="U1453">
        <f>IF([@motiv_anomalie]="","OK","DE INVESTIGAT")</f>
        <v/>
      </c>
      <c r="V1453">
        <f>TEXTJOIN("; ",TRUE,[@flag_oras],[@flag_tva],[@flag_scadenta],[@flag_zi])</f>
        <v/>
      </c>
    </row>
    <row r="1454">
      <c r="A1454" t="inlineStr">
        <is>
          <t>F-2025-01453</t>
        </is>
      </c>
      <c r="B1454" s="12" t="n">
        <v>46224</v>
      </c>
      <c r="C1454" t="inlineStr">
        <is>
          <t>SC OMEGA SOFT SRL</t>
        </is>
      </c>
      <c r="D1454" t="inlineStr">
        <is>
          <t>Dolj</t>
        </is>
      </c>
      <c r="E1454" t="inlineStr">
        <is>
          <t>PRD-002</t>
        </is>
      </c>
      <c r="F1454" t="inlineStr">
        <is>
          <t>Dezinfectant maini 5L</t>
        </is>
      </c>
      <c r="G1454" t="inlineStr">
        <is>
          <t>Produse farmaceutice</t>
        </is>
      </c>
      <c r="H1454" t="n">
        <v>2</v>
      </c>
      <c r="I1454" t="n">
        <v>1141.35</v>
      </c>
      <c r="J1454" t="n">
        <v>2282.7</v>
      </c>
      <c r="K1454" s="13" t="n">
        <v>0.09</v>
      </c>
      <c r="L1454" t="n">
        <v>205.44</v>
      </c>
      <c r="M1454" t="n">
        <v>2488.14</v>
      </c>
      <c r="N1454" t="inlineStr">
        <is>
          <t>RON</t>
        </is>
      </c>
      <c r="O1454" t="inlineStr">
        <is>
          <t>Craiova</t>
        </is>
      </c>
      <c r="P1454" s="12" t="n">
        <v>46254</v>
      </c>
      <c r="Q1454">
        <f>IF(COUNTIF(tbl_Localitati[oras_oficial],[@oras])=0,"ORAS NEALINIAT",IF(XLOOKUP([@oras],tbl_Localitati[oras_oficial],tbl_Localitati[judet],"?")&lt;&gt;[@judet],"JUDET NECORESPUNZATOR",""))</f>
        <v/>
      </c>
      <c r="R1454">
        <f>IF(XLOOKUP([@categorie],tbl_RegulriTVA[categorie],tbl_RegulriTVA[cota_legala],-1)&lt;&gt;[@cota_tva],"TVA GRESIT","")</f>
        <v/>
      </c>
      <c r="S1454">
        <f>IF([@data_scadentei]&lt;[@data_factura],"SCADENTA INAINTEA FACTURII","")</f>
        <v/>
      </c>
      <c r="T1454">
        <f>IF(NETWORKDAYS.INTL([@data_factura],[@data_factura],1,tbl_SarbatoriLegale[data])=0,"ZI NELUCRATOARE","")</f>
        <v/>
      </c>
      <c r="U1454">
        <f>IF([@motiv_anomalie]="","OK","DE INVESTIGAT")</f>
        <v/>
      </c>
      <c r="V1454">
        <f>TEXTJOIN("; ",TRUE,[@flag_oras],[@flag_tva],[@flag_scadenta],[@flag_zi])</f>
        <v/>
      </c>
    </row>
    <row r="1455">
      <c r="A1455" t="inlineStr">
        <is>
          <t>F-2025-01454</t>
        </is>
      </c>
      <c r="B1455" s="12" t="n">
        <v>46317</v>
      </c>
      <c r="C1455" t="inlineStr">
        <is>
          <t>SC SOLARIS ENERGY SRL</t>
        </is>
      </c>
      <c r="D1455" t="inlineStr">
        <is>
          <t>Prahova</t>
        </is>
      </c>
      <c r="E1455" t="inlineStr">
        <is>
          <t>PRD-007</t>
        </is>
      </c>
      <c r="F1455" t="inlineStr">
        <is>
          <t>Videoproiector sala</t>
        </is>
      </c>
      <c r="G1455" t="inlineStr">
        <is>
          <t>Echipamente birou</t>
        </is>
      </c>
      <c r="H1455" t="n">
        <v>5</v>
      </c>
      <c r="I1455" t="n">
        <v>182.18</v>
      </c>
      <c r="J1455" t="n">
        <v>910.9</v>
      </c>
      <c r="K1455" s="13" t="n">
        <v>0.19</v>
      </c>
      <c r="L1455" t="n">
        <v>173.07</v>
      </c>
      <c r="M1455" t="n">
        <v>1083.97</v>
      </c>
      <c r="N1455" t="inlineStr">
        <is>
          <t>RON</t>
        </is>
      </c>
      <c r="O1455" t="inlineStr">
        <is>
          <t>Câmpina</t>
        </is>
      </c>
      <c r="P1455" s="12" t="n">
        <v>46347</v>
      </c>
      <c r="Q1455">
        <f>IF(COUNTIF(tbl_Localitati[oras_oficial],[@oras])=0,"ORAS NEALINIAT",IF(XLOOKUP([@oras],tbl_Localitati[oras_oficial],tbl_Localitati[judet],"?")&lt;&gt;[@judet],"JUDET NECORESPUNZATOR",""))</f>
        <v/>
      </c>
      <c r="R1455">
        <f>IF(XLOOKUP([@categorie],tbl_RegulriTVA[categorie],tbl_RegulriTVA[cota_legala],-1)&lt;&gt;[@cota_tva],"TVA GRESIT","")</f>
        <v/>
      </c>
      <c r="S1455">
        <f>IF([@data_scadentei]&lt;[@data_factura],"SCADENTA INAINTEA FACTURII","")</f>
        <v/>
      </c>
      <c r="T1455">
        <f>IF(NETWORKDAYS.INTL([@data_factura],[@data_factura],1,tbl_SarbatoriLegale[data])=0,"ZI NELUCRATOARE","")</f>
        <v/>
      </c>
      <c r="U1455">
        <f>IF([@motiv_anomalie]="","OK","DE INVESTIGAT")</f>
        <v/>
      </c>
      <c r="V1455">
        <f>TEXTJOIN("; ",TRUE,[@flag_oras],[@flag_tva],[@flag_scadenta],[@flag_zi])</f>
        <v/>
      </c>
    </row>
    <row r="1456">
      <c r="A1456" t="inlineStr">
        <is>
          <t>F-2025-01455</t>
        </is>
      </c>
      <c r="B1456" s="12" t="n">
        <v>46322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Consultanta implementare IT</t>
        </is>
      </c>
      <c r="G1456" t="inlineStr">
        <is>
          <t>Servicii consultanță</t>
        </is>
      </c>
      <c r="H1456" t="n">
        <v>1</v>
      </c>
      <c r="I1456" t="n">
        <v>2426.34</v>
      </c>
      <c r="J1456" t="n">
        <v>2426.34</v>
      </c>
      <c r="K1456" s="13" t="n">
        <v>0.19</v>
      </c>
      <c r="L1456" t="n">
        <v>461</v>
      </c>
      <c r="M1456" t="n">
        <v>2887.34</v>
      </c>
      <c r="N1456" t="inlineStr">
        <is>
          <t>RON</t>
        </is>
      </c>
      <c r="O1456" t="inlineStr">
        <is>
          <t>Sibiu</t>
        </is>
      </c>
      <c r="P1456" s="12" t="n">
        <v>46382</v>
      </c>
      <c r="Q1456">
        <f>IF(COUNTIF(tbl_Localitati[oras_oficial],[@oras])=0,"ORAS NEALINIAT",IF(XLOOKUP([@oras],tbl_Localitati[oras_oficial],tbl_Localitati[judet],"?")&lt;&gt;[@judet],"JUDET NECORESPUNZATOR",""))</f>
        <v/>
      </c>
      <c r="R1456">
        <f>IF(XLOOKUP([@categorie],tbl_RegulriTVA[categorie],tbl_RegulriTVA[cota_legala],-1)&lt;&gt;[@cota_tva],"TVA GRESIT","")</f>
        <v/>
      </c>
      <c r="S1456">
        <f>IF([@data_scadentei]&lt;[@data_factura],"SCADENTA INAINTEA FACTURII","")</f>
        <v/>
      </c>
      <c r="T1456">
        <f>IF(NETWORKDAYS.INTL([@data_factura],[@data_factura],1,tbl_SarbatoriLegale[data])=0,"ZI NELUCRATOARE","")</f>
        <v/>
      </c>
      <c r="U1456">
        <f>IF([@motiv_anomalie]="","OK","DE INVESTIGAT")</f>
        <v/>
      </c>
      <c r="V1456">
        <f>TEXTJOIN("; ",TRUE,[@flag_oras],[@flag_tva],[@flag_scadenta],[@flag_zi])</f>
        <v/>
      </c>
    </row>
    <row r="1457">
      <c r="A1457" t="inlineStr">
        <is>
          <t>F-2025-01456</t>
        </is>
      </c>
      <c r="B1457" s="12" t="n">
        <v>46077</v>
      </c>
      <c r="C1457" t="inlineStr">
        <is>
          <t>SC NORDIS DISTRIBUTIE SRL</t>
        </is>
      </c>
      <c r="D1457" t="inlineStr">
        <is>
          <t>Constanța</t>
        </is>
      </c>
      <c r="E1457" t="inlineStr">
        <is>
          <t>PRD-002</t>
        </is>
      </c>
      <c r="F1457" t="inlineStr">
        <is>
          <t>Telefon IP birou</t>
        </is>
      </c>
      <c r="G1457" t="inlineStr">
        <is>
          <t>Echipamente birou</t>
        </is>
      </c>
      <c r="H1457" t="n">
        <v>1</v>
      </c>
      <c r="I1457" t="n">
        <v>1068.67</v>
      </c>
      <c r="J1457" t="n">
        <v>1068.67</v>
      </c>
      <c r="K1457" s="13" t="n">
        <v>0.19</v>
      </c>
      <c r="L1457" t="n">
        <v>203.05</v>
      </c>
      <c r="M1457" t="n">
        <v>1271.72</v>
      </c>
      <c r="N1457" t="inlineStr">
        <is>
          <t>RON</t>
        </is>
      </c>
      <c r="O1457" t="inlineStr">
        <is>
          <t>Mangalia</t>
        </is>
      </c>
      <c r="P1457" s="12" t="n">
        <v>46107</v>
      </c>
      <c r="Q1457">
        <f>IF(COUNTIF(tbl_Localitati[oras_oficial],[@oras])=0,"ORAS NEALINIAT",IF(XLOOKUP([@oras],tbl_Localitati[oras_oficial],tbl_Localitati[judet],"?")&lt;&gt;[@judet],"JUDET NECORESPUNZATOR",""))</f>
        <v/>
      </c>
      <c r="R1457">
        <f>IF(XLOOKUP([@categorie],tbl_RegulriTVA[categorie],tbl_RegulriTVA[cota_legala],-1)&lt;&gt;[@cota_tva],"TVA GRESIT","")</f>
        <v/>
      </c>
      <c r="S1457">
        <f>IF([@data_scadentei]&lt;[@data_factura],"SCADENTA INAINTEA FACTURII","")</f>
        <v/>
      </c>
      <c r="T1457">
        <f>IF(NETWORKDAYS.INTL([@data_factura],[@data_factura],1,tbl_SarbatoriLegale[data])=0,"ZI NELUCRATOARE","")</f>
        <v/>
      </c>
      <c r="U1457">
        <f>IF([@motiv_anomalie]="","OK","DE INVESTIGAT")</f>
        <v/>
      </c>
      <c r="V1457">
        <f>TEXTJOIN("; ",TRUE,[@flag_oras],[@flag_tva],[@flag_scadenta],[@flag_zi])</f>
        <v/>
      </c>
    </row>
    <row r="1458">
      <c r="A1458" t="inlineStr">
        <is>
          <t>F-2025-01457</t>
        </is>
      </c>
      <c r="B1458" s="12" t="n">
        <v>46112</v>
      </c>
      <c r="C1458" t="inlineStr">
        <is>
          <t>SC AROMET TRADING SRL</t>
        </is>
      </c>
      <c r="D1458" t="inlineStr">
        <is>
          <t>Alba</t>
        </is>
      </c>
      <c r="E1458" t="inlineStr">
        <is>
          <t>PRD-004</t>
        </is>
      </c>
      <c r="F1458" t="inlineStr">
        <is>
          <t>Ghid legislatie GDPR</t>
        </is>
      </c>
      <c r="G1458" t="inlineStr">
        <is>
          <t>Cărți și manuale</t>
        </is>
      </c>
      <c r="H1458" t="n">
        <v>1</v>
      </c>
      <c r="I1458" t="n">
        <v>884.6</v>
      </c>
      <c r="J1458" t="n">
        <v>884.6</v>
      </c>
      <c r="K1458" s="13" t="n">
        <v>0.05</v>
      </c>
      <c r="L1458" t="n">
        <v>44.23</v>
      </c>
      <c r="M1458" t="n">
        <v>928.83</v>
      </c>
      <c r="N1458" t="inlineStr">
        <is>
          <t>RON</t>
        </is>
      </c>
      <c r="O1458" t="inlineStr">
        <is>
          <t>Alba Iulia</t>
        </is>
      </c>
      <c r="P1458" s="12" t="n">
        <v>46127</v>
      </c>
      <c r="Q1458">
        <f>IF(COUNTIF(tbl_Localitati[oras_oficial],[@oras])=0,"ORAS NEALINIAT",IF(XLOOKUP([@oras],tbl_Localitati[oras_oficial],tbl_Localitati[judet],"?")&lt;&gt;[@judet],"JUDET NECORESPUNZATOR",""))</f>
        <v/>
      </c>
      <c r="R1458">
        <f>IF(XLOOKUP([@categorie],tbl_RegulriTVA[categorie],tbl_RegulriTVA[cota_legala],-1)&lt;&gt;[@cota_tva],"TVA GRESIT","")</f>
        <v/>
      </c>
      <c r="S1458">
        <f>IF([@data_scadentei]&lt;[@data_factura],"SCADENTA INAINTEA FACTURII","")</f>
        <v/>
      </c>
      <c r="T1458">
        <f>IF(NETWORKDAYS.INTL([@data_factura],[@data_factura],1,tbl_SarbatoriLegale[data])=0,"ZI NELUCRATOARE","")</f>
        <v/>
      </c>
      <c r="U1458">
        <f>IF([@motiv_anomalie]="","OK","DE INVESTIGAT")</f>
        <v/>
      </c>
      <c r="V1458">
        <f>TEXTJOIN("; ",TRUE,[@flag_oras],[@flag_tva],[@flag_scadenta],[@flag_zi])</f>
        <v/>
      </c>
    </row>
    <row r="1459">
      <c r="A1459" t="inlineStr">
        <is>
          <t>F-2025-01458</t>
        </is>
      </c>
      <c r="B1459" s="12" t="n">
        <v>46349</v>
      </c>
      <c r="C1459" t="inlineStr">
        <is>
          <t>SC NORDIS DISTRIBUTIE SRL</t>
        </is>
      </c>
      <c r="D1459" t="inlineStr">
        <is>
          <t>Constanța</t>
        </is>
      </c>
      <c r="E1459" t="inlineStr">
        <is>
          <t>PRD-001</t>
        </is>
      </c>
      <c r="F1459" t="inlineStr">
        <is>
          <t>Training utilizatori</t>
        </is>
      </c>
      <c r="G1459" t="inlineStr">
        <is>
          <t>Servicii consultanță</t>
        </is>
      </c>
      <c r="H1459" t="n">
        <v>1</v>
      </c>
      <c r="I1459" t="n">
        <v>2516.15</v>
      </c>
      <c r="J1459" t="n">
        <v>2516.15</v>
      </c>
      <c r="K1459" s="13" t="n">
        <v>0.19</v>
      </c>
      <c r="L1459" t="n">
        <v>478.07</v>
      </c>
      <c r="M1459" t="n">
        <v>2994.22</v>
      </c>
      <c r="N1459" t="inlineStr">
        <is>
          <t>RON</t>
        </is>
      </c>
      <c r="O1459" t="inlineStr">
        <is>
          <t>Mangalia</t>
        </is>
      </c>
      <c r="P1459" s="12" t="n">
        <v>46394</v>
      </c>
      <c r="Q1459">
        <f>IF(COUNTIF(tbl_Localitati[oras_oficial],[@oras])=0,"ORAS NEALINIAT",IF(XLOOKUP([@oras],tbl_Localitati[oras_oficial],tbl_Localitati[judet],"?")&lt;&gt;[@judet],"JUDET NECORESPUNZATOR",""))</f>
        <v/>
      </c>
      <c r="R1459">
        <f>IF(XLOOKUP([@categorie],tbl_RegulriTVA[categorie],tbl_RegulriTVA[cota_legala],-1)&lt;&gt;[@cota_tva],"TVA GRESIT","")</f>
        <v/>
      </c>
      <c r="S1459">
        <f>IF([@data_scadentei]&lt;[@data_factura],"SCADENTA INAINTEA FACTURII","")</f>
        <v/>
      </c>
      <c r="T1459">
        <f>IF(NETWORKDAYS.INTL([@data_factura],[@data_factura],1,tbl_SarbatoriLegale[data])=0,"ZI NELUCRATOARE","")</f>
        <v/>
      </c>
      <c r="U1459">
        <f>IF([@motiv_anomalie]="","OK","DE INVESTIGAT")</f>
        <v/>
      </c>
      <c r="V1459">
        <f>TEXTJOIN("; ",TRUE,[@flag_oras],[@flag_tva],[@flag_scadenta],[@flag_zi])</f>
        <v/>
      </c>
    </row>
    <row r="1460">
      <c r="A1460" t="inlineStr">
        <is>
          <t>F-2025-01459</t>
        </is>
      </c>
      <c r="B1460" s="12" t="n">
        <v>46143</v>
      </c>
      <c r="C1460" t="inlineStr">
        <is>
          <t>SC UNIFOOD DISTRIBUTION SA</t>
        </is>
      </c>
      <c r="D1460" t="inlineStr">
        <is>
          <t>Sibiu</t>
        </is>
      </c>
      <c r="E1460" t="inlineStr">
        <is>
          <t>PRD-009</t>
        </is>
      </c>
      <c r="F1460" t="inlineStr">
        <is>
          <t>Licenta Office 365 anuala</t>
        </is>
      </c>
      <c r="G1460" t="inlineStr">
        <is>
          <t>Licențe software</t>
        </is>
      </c>
      <c r="H1460" t="n">
        <v>10</v>
      </c>
      <c r="I1460" t="n">
        <v>26.85</v>
      </c>
      <c r="J1460" t="n">
        <v>268.5</v>
      </c>
      <c r="K1460" s="13" t="n">
        <v>0.19</v>
      </c>
      <c r="L1460" t="n">
        <v>51.02</v>
      </c>
      <c r="M1460" t="n">
        <v>319.52</v>
      </c>
      <c r="N1460" t="inlineStr">
        <is>
          <t>RON</t>
        </is>
      </c>
      <c r="O1460" t="inlineStr">
        <is>
          <t>Mediaș</t>
        </is>
      </c>
      <c r="P1460" s="12" t="n">
        <v>46173</v>
      </c>
      <c r="Q1460">
        <f>IF(COUNTIF(tbl_Localitati[oras_oficial],[@oras])=0,"ORAS NEALINIAT",IF(XLOOKUP([@oras],tbl_Localitati[oras_oficial],tbl_Localitati[judet],"?")&lt;&gt;[@judet],"JUDET NECORESPUNZATOR",""))</f>
        <v/>
      </c>
      <c r="R1460">
        <f>IF(XLOOKUP([@categorie],tbl_RegulriTVA[categorie],tbl_RegulriTVA[cota_legala],-1)&lt;&gt;[@cota_tva],"TVA GRESIT","")</f>
        <v/>
      </c>
      <c r="S1460">
        <f>IF([@data_scadentei]&lt;[@data_factura],"SCADENTA INAINTEA FACTURII","")</f>
        <v/>
      </c>
      <c r="T1460">
        <f>IF(NETWORKDAYS.INTL([@data_factura],[@data_factura],1,tbl_SarbatoriLegale[data])=0,"ZI NELUCRATOARE","")</f>
        <v/>
      </c>
      <c r="U1460">
        <f>IF([@motiv_anomalie]="","OK","DE INVESTIGAT")</f>
        <v/>
      </c>
      <c r="V1460">
        <f>TEXTJOIN("; ",TRUE,[@flag_oras],[@flag_tva],[@flag_scadenta],[@flag_zi])</f>
        <v/>
      </c>
    </row>
    <row r="1461">
      <c r="A1461" t="inlineStr">
        <is>
          <t>F-2025-01460</t>
        </is>
      </c>
      <c r="B1461" s="12" t="n">
        <v>46220</v>
      </c>
      <c r="C1461" t="inlineStr">
        <is>
          <t>SC AROMET TRADING SRL</t>
        </is>
      </c>
      <c r="D1461" t="inlineStr">
        <is>
          <t>Alba</t>
        </is>
      </c>
      <c r="E1461" t="inlineStr">
        <is>
          <t>PRD-005</t>
        </is>
      </c>
      <c r="F1461" t="inlineStr">
        <is>
          <t>Consultanta implementare IT</t>
        </is>
      </c>
      <c r="G1461" t="inlineStr">
        <is>
          <t>Servicii consultanță</t>
        </is>
      </c>
      <c r="H1461" t="n">
        <v>1</v>
      </c>
      <c r="I1461" t="n">
        <v>253.43</v>
      </c>
      <c r="J1461" t="n">
        <v>253.43</v>
      </c>
      <c r="K1461" s="13" t="n">
        <v>0.19</v>
      </c>
      <c r="L1461" t="n">
        <v>48.15</v>
      </c>
      <c r="M1461" t="n">
        <v>301.58</v>
      </c>
      <c r="N1461" t="inlineStr">
        <is>
          <t>RON</t>
        </is>
      </c>
      <c r="O1461" t="inlineStr">
        <is>
          <t>Alba Iulia</t>
        </is>
      </c>
      <c r="P1461" s="12" t="n">
        <v>46235</v>
      </c>
      <c r="Q1461">
        <f>IF(COUNTIF(tbl_Localitati[oras_oficial],[@oras])=0,"ORAS NEALINIAT",IF(XLOOKUP([@oras],tbl_Localitati[oras_oficial],tbl_Localitati[judet],"?")&lt;&gt;[@judet],"JUDET NECORESPUNZATOR",""))</f>
        <v/>
      </c>
      <c r="R1461">
        <f>IF(XLOOKUP([@categorie],tbl_RegulriTVA[categorie],tbl_RegulriTVA[cota_legala],-1)&lt;&gt;[@cota_tva],"TVA GRESIT","")</f>
        <v/>
      </c>
      <c r="S1461">
        <f>IF([@data_scadentei]&lt;[@data_factura],"SCADENTA INAINTEA FACTURII","")</f>
        <v/>
      </c>
      <c r="T1461">
        <f>IF(NETWORKDAYS.INTL([@data_factura],[@data_factura],1,tbl_SarbatoriLegale[data])=0,"ZI NELUCRATOARE","")</f>
        <v/>
      </c>
      <c r="U1461">
        <f>IF([@motiv_anomalie]="","OK","DE INVESTIGAT")</f>
        <v/>
      </c>
      <c r="V1461">
        <f>TEXTJOIN("; ",TRUE,[@flag_oras],[@flag_tva],[@flag_scadenta],[@flag_zi])</f>
        <v/>
      </c>
    </row>
    <row r="1462">
      <c r="A1462" t="inlineStr">
        <is>
          <t>F-2025-01461</t>
        </is>
      </c>
      <c r="B1462" s="12" t="n">
        <v>46268</v>
      </c>
      <c r="C1462" t="inlineStr">
        <is>
          <t>SC AROMET TRADING SRL</t>
        </is>
      </c>
      <c r="D1462" t="inlineStr">
        <is>
          <t>Alba</t>
        </is>
      </c>
      <c r="E1462" t="inlineStr">
        <is>
          <t>PRD-009</t>
        </is>
      </c>
      <c r="F1462" t="inlineStr">
        <is>
          <t>Videoproiector sala</t>
        </is>
      </c>
      <c r="G1462" t="inlineStr">
        <is>
          <t>Echipamente birou</t>
        </is>
      </c>
      <c r="H1462" t="n">
        <v>10</v>
      </c>
      <c r="I1462" t="n">
        <v>28.92</v>
      </c>
      <c r="J1462" t="n">
        <v>289.2</v>
      </c>
      <c r="K1462" s="13" t="n">
        <v>0.19</v>
      </c>
      <c r="L1462" t="n">
        <v>54.95</v>
      </c>
      <c r="M1462" t="n">
        <v>344.15</v>
      </c>
      <c r="N1462" t="inlineStr">
        <is>
          <t>RON</t>
        </is>
      </c>
      <c r="O1462" t="inlineStr">
        <is>
          <t>Alba Iulia</t>
        </is>
      </c>
      <c r="P1462" s="12" t="n">
        <v>46298</v>
      </c>
      <c r="Q1462">
        <f>IF(COUNTIF(tbl_Localitati[oras_oficial],[@oras])=0,"ORAS NEALINIAT",IF(XLOOKUP([@oras],tbl_Localitati[oras_oficial],tbl_Localitati[judet],"?")&lt;&gt;[@judet],"JUDET NECORESPUNZATOR",""))</f>
        <v/>
      </c>
      <c r="R1462">
        <f>IF(XLOOKUP([@categorie],tbl_RegulriTVA[categorie],tbl_RegulriTVA[cota_legala],-1)&lt;&gt;[@cota_tva],"TVA GRESIT","")</f>
        <v/>
      </c>
      <c r="S1462">
        <f>IF([@data_scadentei]&lt;[@data_factura],"SCADENTA INAINTEA FACTURII","")</f>
        <v/>
      </c>
      <c r="T1462">
        <f>IF(NETWORKDAYS.INTL([@data_factura],[@data_factura],1,tbl_SarbatoriLegale[data])=0,"ZI NELUCRATOARE","")</f>
        <v/>
      </c>
      <c r="U1462">
        <f>IF([@motiv_anomalie]="","OK","DE INVESTIGAT")</f>
        <v/>
      </c>
      <c r="V1462">
        <f>TEXTJOIN("; ",TRUE,[@flag_oras],[@flag_tva],[@flag_scadenta],[@flag_zi])</f>
        <v/>
      </c>
    </row>
    <row r="1463">
      <c r="A1463" t="inlineStr">
        <is>
          <t>F-2025-01462</t>
        </is>
      </c>
      <c r="B1463" s="12" t="n">
        <v>46162</v>
      </c>
      <c r="C1463" t="inlineStr">
        <is>
          <t>SC ELECTROBUILD SRL</t>
        </is>
      </c>
      <c r="D1463" t="inlineStr">
        <is>
          <t>Bacău</t>
        </is>
      </c>
      <c r="E1463" t="inlineStr">
        <is>
          <t>PRD-005</t>
        </is>
      </c>
      <c r="F1463" t="inlineStr">
        <is>
          <t>Tocator documente</t>
        </is>
      </c>
      <c r="G1463" t="inlineStr">
        <is>
          <t>Echipamente birou</t>
        </is>
      </c>
      <c r="H1463" t="n">
        <v>1</v>
      </c>
      <c r="I1463" t="n">
        <v>257.17</v>
      </c>
      <c r="J1463" t="n">
        <v>257.17</v>
      </c>
      <c r="K1463" s="13" t="n">
        <v>0.19</v>
      </c>
      <c r="L1463" t="n">
        <v>48.86</v>
      </c>
      <c r="M1463" t="n">
        <v>306.03</v>
      </c>
      <c r="N1463" t="inlineStr">
        <is>
          <t>RON</t>
        </is>
      </c>
      <c r="O1463" t="inlineStr">
        <is>
          <t>Bacău</t>
        </is>
      </c>
      <c r="P1463" s="12" t="n">
        <v>46177</v>
      </c>
      <c r="Q1463">
        <f>IF(COUNTIF(tbl_Localitati[oras_oficial],[@oras])=0,"ORAS NEALINIAT",IF(XLOOKUP([@oras],tbl_Localitati[oras_oficial],tbl_Localitati[judet],"?")&lt;&gt;[@judet],"JUDET NECORESPUNZATOR",""))</f>
        <v/>
      </c>
      <c r="R1463">
        <f>IF(XLOOKUP([@categorie],tbl_RegulriTVA[categorie],tbl_RegulriTVA[cota_legala],-1)&lt;&gt;[@cota_tva],"TVA GRESIT","")</f>
        <v/>
      </c>
      <c r="S1463">
        <f>IF([@data_scadentei]&lt;[@data_factura],"SCADENTA INAINTEA FACTURII","")</f>
        <v/>
      </c>
      <c r="T1463">
        <f>IF(NETWORKDAYS.INTL([@data_factura],[@data_factura],1,tbl_SarbatoriLegale[data])=0,"ZI NELUCRATOARE","")</f>
        <v/>
      </c>
      <c r="U1463">
        <f>IF([@motiv_anomalie]="","OK","DE INVESTIGAT")</f>
        <v/>
      </c>
      <c r="V1463">
        <f>TEXTJOIN("; ",TRUE,[@flag_oras],[@flag_tva],[@flag_scadenta],[@flag_zi])</f>
        <v/>
      </c>
    </row>
    <row r="1464">
      <c r="A1464" t="inlineStr">
        <is>
          <t>F-2025-01463</t>
        </is>
      </c>
      <c r="B1464" s="12" t="n">
        <v>46267</v>
      </c>
      <c r="C1464" t="inlineStr">
        <is>
          <t>SC AROMET TRADING SRL</t>
        </is>
      </c>
      <c r="D1464" t="inlineStr">
        <is>
          <t>Alba</t>
        </is>
      </c>
      <c r="E1464" t="inlineStr">
        <is>
          <t>PRD-008</t>
        </is>
      </c>
      <c r="F1464" t="inlineStr">
        <is>
          <t>Videoproiector sala</t>
        </is>
      </c>
      <c r="G1464" t="inlineStr">
        <is>
          <t>Echipamente birou</t>
        </is>
      </c>
      <c r="H1464" t="n">
        <v>10</v>
      </c>
      <c r="I1464" t="n">
        <v>446.52</v>
      </c>
      <c r="J1464" t="n">
        <v>4465.2</v>
      </c>
      <c r="K1464" s="13" t="n">
        <v>0.19</v>
      </c>
      <c r="L1464" t="n">
        <v>848.39</v>
      </c>
      <c r="M1464" t="n">
        <v>5313.59</v>
      </c>
      <c r="N1464" t="inlineStr">
        <is>
          <t>RON</t>
        </is>
      </c>
      <c r="O1464" t="inlineStr">
        <is>
          <t>Alba Iulia</t>
        </is>
      </c>
      <c r="P1464" s="12" t="n">
        <v>46312</v>
      </c>
      <c r="Q1464">
        <f>IF(COUNTIF(tbl_Localitati[oras_oficial],[@oras])=0,"ORAS NEALINIAT",IF(XLOOKUP([@oras],tbl_Localitati[oras_oficial],tbl_Localitati[judet],"?")&lt;&gt;[@judet],"JUDET NECORESPUNZATOR",""))</f>
        <v/>
      </c>
      <c r="R1464">
        <f>IF(XLOOKUP([@categorie],tbl_RegulriTVA[categorie],tbl_RegulriTVA[cota_legala],-1)&lt;&gt;[@cota_tva],"TVA GRESIT","")</f>
        <v/>
      </c>
      <c r="S1464">
        <f>IF([@data_scadentei]&lt;[@data_factura],"SCADENTA INAINTEA FACTURII","")</f>
        <v/>
      </c>
      <c r="T1464">
        <f>IF(NETWORKDAYS.INTL([@data_factura],[@data_factura],1,tbl_SarbatoriLegale[data])=0,"ZI NELUCRATOARE","")</f>
        <v/>
      </c>
      <c r="U1464">
        <f>IF([@motiv_anomalie]="","OK","DE INVESTIGAT")</f>
        <v/>
      </c>
      <c r="V1464">
        <f>TEXTJOIN("; ",TRUE,[@flag_oras],[@flag_tva],[@flag_scadenta],[@flag_zi])</f>
        <v/>
      </c>
    </row>
    <row r="1465">
      <c r="A1465" t="inlineStr">
        <is>
          <t>F-2025-01464</t>
        </is>
      </c>
      <c r="B1465" s="12" t="n">
        <v>46339</v>
      </c>
      <c r="C1465" t="inlineStr">
        <is>
          <t>SC DACTECH SOLUTIONS SRL</t>
        </is>
      </c>
      <c r="D1465" t="inlineStr">
        <is>
          <t>Argeș</t>
        </is>
      </c>
      <c r="E1465" t="inlineStr">
        <is>
          <t>PRD-008</t>
        </is>
      </c>
      <c r="F1465" t="inlineStr">
        <is>
          <t>Abonament suita cloud</t>
        </is>
      </c>
      <c r="G1465" t="inlineStr">
        <is>
          <t>Licențe software</t>
        </is>
      </c>
      <c r="H1465" t="n">
        <v>5</v>
      </c>
      <c r="I1465" t="n">
        <v>445.46</v>
      </c>
      <c r="J1465" t="n">
        <v>2227.3</v>
      </c>
      <c r="K1465" s="13" t="n">
        <v>0.19</v>
      </c>
      <c r="L1465" t="n">
        <v>423.19</v>
      </c>
      <c r="M1465" t="n">
        <v>2650.49</v>
      </c>
      <c r="N1465" t="inlineStr">
        <is>
          <t>RON</t>
        </is>
      </c>
      <c r="O1465" t="inlineStr">
        <is>
          <t>Pitești</t>
        </is>
      </c>
      <c r="P1465" s="12" t="n">
        <v>46384</v>
      </c>
      <c r="Q1465">
        <f>IF(COUNTIF(tbl_Localitati[oras_oficial],[@oras])=0,"ORAS NEALINIAT",IF(XLOOKUP([@oras],tbl_Localitati[oras_oficial],tbl_Localitati[judet],"?")&lt;&gt;[@judet],"JUDET NECORESPUNZATOR",""))</f>
        <v/>
      </c>
      <c r="R1465">
        <f>IF(XLOOKUP([@categorie],tbl_RegulriTVA[categorie],tbl_RegulriTVA[cota_legala],-1)&lt;&gt;[@cota_tva],"TVA GRESIT","")</f>
        <v/>
      </c>
      <c r="S1465">
        <f>IF([@data_scadentei]&lt;[@data_factura],"SCADENTA INAINTEA FACTURII","")</f>
        <v/>
      </c>
      <c r="T1465">
        <f>IF(NETWORKDAYS.INTL([@data_factura],[@data_factura],1,tbl_SarbatoriLegale[data])=0,"ZI NELUCRATOARE","")</f>
        <v/>
      </c>
      <c r="U1465">
        <f>IF([@motiv_anomalie]="","OK","DE INVESTIGAT")</f>
        <v/>
      </c>
      <c r="V1465">
        <f>TEXTJOIN("; ",TRUE,[@flag_oras],[@flag_tva],[@flag_scadenta],[@flag_zi])</f>
        <v/>
      </c>
    </row>
    <row r="1466">
      <c r="A1466" t="inlineStr">
        <is>
          <t>F-2025-01465</t>
        </is>
      </c>
      <c r="B1466" s="12" t="n">
        <v>46163</v>
      </c>
      <c r="C1466" t="inlineStr">
        <is>
          <t>SC INTEGROMED SA</t>
        </is>
      </c>
      <c r="D1466" t="inlineStr">
        <is>
          <t>Cluj</t>
        </is>
      </c>
      <c r="E1466" t="inlineStr">
        <is>
          <t>PRD-004</t>
        </is>
      </c>
      <c r="F1466" t="inlineStr">
        <is>
          <t>Suport tehnic anual</t>
        </is>
      </c>
      <c r="G1466" t="inlineStr">
        <is>
          <t>Servicii consultanță</t>
        </is>
      </c>
      <c r="H1466" t="n">
        <v>5</v>
      </c>
      <c r="I1466" t="n">
        <v>876.4400000000001</v>
      </c>
      <c r="J1466" t="n">
        <v>4382.2</v>
      </c>
      <c r="K1466" s="13" t="n">
        <v>0.19</v>
      </c>
      <c r="L1466" t="n">
        <v>832.62</v>
      </c>
      <c r="M1466" t="n">
        <v>5214.82</v>
      </c>
      <c r="N1466" t="inlineStr">
        <is>
          <t>RON</t>
        </is>
      </c>
      <c r="O1466" t="inlineStr">
        <is>
          <t>Cluj-Napoca</t>
        </is>
      </c>
      <c r="P1466" s="12" t="n">
        <v>46208</v>
      </c>
      <c r="Q1466">
        <f>IF(COUNTIF(tbl_Localitati[oras_oficial],[@oras])=0,"ORAS NEALINIAT",IF(XLOOKUP([@oras],tbl_Localitati[oras_oficial],tbl_Localitati[judet],"?")&lt;&gt;[@judet],"JUDET NECORESPUNZATOR",""))</f>
        <v/>
      </c>
      <c r="R1466">
        <f>IF(XLOOKUP([@categorie],tbl_RegulriTVA[categorie],tbl_RegulriTVA[cota_legala],-1)&lt;&gt;[@cota_tva],"TVA GRESIT","")</f>
        <v/>
      </c>
      <c r="S1466">
        <f>IF([@data_scadentei]&lt;[@data_factura],"SCADENTA INAINTEA FACTURII","")</f>
        <v/>
      </c>
      <c r="T1466">
        <f>IF(NETWORKDAYS.INTL([@data_factura],[@data_factura],1,tbl_SarbatoriLegale[data])=0,"ZI NELUCRATOARE","")</f>
        <v/>
      </c>
      <c r="U1466">
        <f>IF([@motiv_anomalie]="","OK","DE INVESTIGAT")</f>
        <v/>
      </c>
      <c r="V1466">
        <f>TEXTJOIN("; ",TRUE,[@flag_oras],[@flag_tva],[@flag_scadenta],[@flag_zi])</f>
        <v/>
      </c>
    </row>
    <row r="1467">
      <c r="A1467" t="inlineStr">
        <is>
          <t>F-2025-01466</t>
        </is>
      </c>
      <c r="B1467" s="12" t="n">
        <v>46176</v>
      </c>
      <c r="C1467" t="inlineStr">
        <is>
          <t>SC AROMET TRADING SRL</t>
        </is>
      </c>
      <c r="D1467" t="inlineStr">
        <is>
          <t>Alba</t>
        </is>
      </c>
      <c r="E1467" t="inlineStr">
        <is>
          <t>PRD-009</t>
        </is>
      </c>
      <c r="F1467" t="inlineStr">
        <is>
          <t>Termometru digital</t>
        </is>
      </c>
      <c r="G1467" t="inlineStr">
        <is>
          <t>Produse farmaceutice</t>
        </is>
      </c>
      <c r="H1467" t="n">
        <v>100</v>
      </c>
      <c r="I1467" t="n">
        <v>28.38</v>
      </c>
      <c r="J1467" t="n">
        <v>2838</v>
      </c>
      <c r="K1467" s="13" t="n">
        <v>0.09</v>
      </c>
      <c r="L1467" t="n">
        <v>255.42</v>
      </c>
      <c r="M1467" t="n">
        <v>3093.42</v>
      </c>
      <c r="N1467" t="inlineStr">
        <is>
          <t>RON</t>
        </is>
      </c>
      <c r="O1467" t="inlineStr">
        <is>
          <t>Alba Iulia</t>
        </is>
      </c>
      <c r="P1467" s="12" t="n">
        <v>46206</v>
      </c>
      <c r="Q1467">
        <f>IF(COUNTIF(tbl_Localitati[oras_oficial],[@oras])=0,"ORAS NEALINIAT",IF(XLOOKUP([@oras],tbl_Localitati[oras_oficial],tbl_Localitati[judet],"?")&lt;&gt;[@judet],"JUDET NECORESPUNZATOR",""))</f>
        <v/>
      </c>
      <c r="R1467">
        <f>IF(XLOOKUP([@categorie],tbl_RegulriTVA[categorie],tbl_RegulriTVA[cota_legala],-1)&lt;&gt;[@cota_tva],"TVA GRESIT","")</f>
        <v/>
      </c>
      <c r="S1467">
        <f>IF([@data_scadentei]&lt;[@data_factura],"SCADENTA INAINTEA FACTURII","")</f>
        <v/>
      </c>
      <c r="T1467">
        <f>IF(NETWORKDAYS.INTL([@data_factura],[@data_factura],1,tbl_SarbatoriLegale[data])=0,"ZI NELUCRATOARE","")</f>
        <v/>
      </c>
      <c r="U1467">
        <f>IF([@motiv_anomalie]="","OK","DE INVESTIGAT")</f>
        <v/>
      </c>
      <c r="V1467">
        <f>TEXTJOIN("; ",TRUE,[@flag_oras],[@flag_tva],[@flag_scadenta],[@flag_zi])</f>
        <v/>
      </c>
    </row>
    <row r="1468">
      <c r="A1468" t="inlineStr">
        <is>
          <t>F-2025-01467</t>
        </is>
      </c>
      <c r="B1468" s="12" t="n">
        <v>46315</v>
      </c>
      <c r="C1468" t="inlineStr">
        <is>
          <t>SC AROMET TRADING SRL</t>
        </is>
      </c>
      <c r="D1468" t="inlineStr">
        <is>
          <t>Alba</t>
        </is>
      </c>
      <c r="E1468" t="inlineStr">
        <is>
          <t>PRD-006</t>
        </is>
      </c>
      <c r="F1468" t="inlineStr">
        <is>
          <t>Training utilizatori</t>
        </is>
      </c>
      <c r="G1468" t="inlineStr">
        <is>
          <t>Servicii consultanță</t>
        </is>
      </c>
      <c r="H1468" t="n">
        <v>5</v>
      </c>
      <c r="I1468" t="n">
        <v>737.8</v>
      </c>
      <c r="J1468" t="n">
        <v>3689</v>
      </c>
      <c r="K1468" s="13" t="n">
        <v>0.19</v>
      </c>
      <c r="L1468" t="n">
        <v>700.91</v>
      </c>
      <c r="M1468" t="n">
        <v>4389.91</v>
      </c>
      <c r="N1468" t="inlineStr">
        <is>
          <t>RON</t>
        </is>
      </c>
      <c r="O1468" t="inlineStr">
        <is>
          <t>Alba Iulia</t>
        </is>
      </c>
      <c r="P1468" s="12" t="n">
        <v>46360</v>
      </c>
      <c r="Q1468">
        <f>IF(COUNTIF(tbl_Localitati[oras_oficial],[@oras])=0,"ORAS NEALINIAT",IF(XLOOKUP([@oras],tbl_Localitati[oras_oficial],tbl_Localitati[judet],"?")&lt;&gt;[@judet],"JUDET NECORESPUNZATOR",""))</f>
        <v/>
      </c>
      <c r="R1468">
        <f>IF(XLOOKUP([@categorie],tbl_RegulriTVA[categorie],tbl_RegulriTVA[cota_legala],-1)&lt;&gt;[@cota_tva],"TVA GRESIT","")</f>
        <v/>
      </c>
      <c r="S1468">
        <f>IF([@data_scadentei]&lt;[@data_factura],"SCADENTA INAINTEA FACTURII","")</f>
        <v/>
      </c>
      <c r="T1468">
        <f>IF(NETWORKDAYS.INTL([@data_factura],[@data_factura],1,tbl_SarbatoriLegale[data])=0,"ZI NELUCRATOARE","")</f>
        <v/>
      </c>
      <c r="U1468">
        <f>IF([@motiv_anomalie]="","OK","DE INVESTIGAT")</f>
        <v/>
      </c>
      <c r="V1468">
        <f>TEXTJOIN("; ",TRUE,[@flag_oras],[@flag_tva],[@flag_scadenta],[@flag_zi])</f>
        <v/>
      </c>
    </row>
    <row r="1469">
      <c r="A1469" t="inlineStr">
        <is>
          <t>F-2025-01468</t>
        </is>
      </c>
      <c r="B1469" s="12" t="n">
        <v>46164</v>
      </c>
      <c r="C1469" t="inlineStr">
        <is>
          <t>SC OMEGA SOFT SRL</t>
        </is>
      </c>
      <c r="D1469" t="inlineStr">
        <is>
          <t>Dolj</t>
        </is>
      </c>
      <c r="E1469" t="inlineStr">
        <is>
          <t>PRD-011</t>
        </is>
      </c>
      <c r="F1469" t="inlineStr">
        <is>
          <t>Switch gigabit 24p</t>
        </is>
      </c>
      <c r="G1469" t="inlineStr">
        <is>
          <t>Hardware IT</t>
        </is>
      </c>
      <c r="H1469" t="n">
        <v>50</v>
      </c>
      <c r="I1469" t="n">
        <v>45.8</v>
      </c>
      <c r="J1469" t="n">
        <v>2290</v>
      </c>
      <c r="K1469" s="13" t="n">
        <v>0.19</v>
      </c>
      <c r="L1469" t="n">
        <v>435.1</v>
      </c>
      <c r="M1469" t="n">
        <v>2725.1</v>
      </c>
      <c r="N1469" t="inlineStr">
        <is>
          <t>RON</t>
        </is>
      </c>
      <c r="O1469" t="inlineStr">
        <is>
          <t>Craiova</t>
        </is>
      </c>
      <c r="P1469" s="12" t="n">
        <v>46209</v>
      </c>
      <c r="Q1469">
        <f>IF(COUNTIF(tbl_Localitati[oras_oficial],[@oras])=0,"ORAS NEALINIAT",IF(XLOOKUP([@oras],tbl_Localitati[oras_oficial],tbl_Localitati[judet],"?")&lt;&gt;[@judet],"JUDET NECORESPUNZATOR",""))</f>
        <v/>
      </c>
      <c r="R1469">
        <f>IF(XLOOKUP([@categorie],tbl_RegulriTVA[categorie],tbl_RegulriTVA[cota_legala],-1)&lt;&gt;[@cota_tva],"TVA GRESIT","")</f>
        <v/>
      </c>
      <c r="S1469">
        <f>IF([@data_scadentei]&lt;[@data_factura],"SCADENTA INAINTEA FACTURII","")</f>
        <v/>
      </c>
      <c r="T1469">
        <f>IF(NETWORKDAYS.INTL([@data_factura],[@data_factura],1,tbl_SarbatoriLegale[data])=0,"ZI NELUCRATOARE","")</f>
        <v/>
      </c>
      <c r="U1469">
        <f>IF([@motiv_anomalie]="","OK","DE INVESTIGAT")</f>
        <v/>
      </c>
      <c r="V1469">
        <f>TEXTJOIN("; ",TRUE,[@flag_oras],[@flag_tva],[@flag_scadenta],[@flag_zi])</f>
        <v/>
      </c>
    </row>
    <row r="1470">
      <c r="A1470" t="inlineStr">
        <is>
          <t>F-2025-01469</t>
        </is>
      </c>
      <c r="B1470" s="12" t="n">
        <v>46119</v>
      </c>
      <c r="C1470" t="inlineStr">
        <is>
          <t>SC NORDIS DISTRIBUTIE SRL</t>
        </is>
      </c>
      <c r="D1470" t="inlineStr">
        <is>
          <t>Constanța</t>
        </is>
      </c>
      <c r="E1470" t="inlineStr">
        <is>
          <t>PRD-003</t>
        </is>
      </c>
      <c r="F1470" t="inlineStr">
        <is>
          <t>Videoproiector sala</t>
        </is>
      </c>
      <c r="G1470" t="inlineStr">
        <is>
          <t>Echipamente birou</t>
        </is>
      </c>
      <c r="H1470" t="n">
        <v>1</v>
      </c>
      <c r="I1470" t="n">
        <v>4267.17</v>
      </c>
      <c r="J1470" t="n">
        <v>4267.17</v>
      </c>
      <c r="K1470" s="13" t="n">
        <v>0.19</v>
      </c>
      <c r="L1470" t="n">
        <v>810.76</v>
      </c>
      <c r="M1470" t="n">
        <v>5077.93</v>
      </c>
      <c r="N1470" t="inlineStr">
        <is>
          <t>RON</t>
        </is>
      </c>
      <c r="O1470" t="inlineStr">
        <is>
          <t>Mangalia</t>
        </is>
      </c>
      <c r="P1470" s="12" t="n">
        <v>46149</v>
      </c>
      <c r="Q1470">
        <f>IF(COUNTIF(tbl_Localitati[oras_oficial],[@oras])=0,"ORAS NEALINIAT",IF(XLOOKUP([@oras],tbl_Localitati[oras_oficial],tbl_Localitati[judet],"?")&lt;&gt;[@judet],"JUDET NECORESPUNZATOR",""))</f>
        <v/>
      </c>
      <c r="R1470">
        <f>IF(XLOOKUP([@categorie],tbl_RegulriTVA[categorie],tbl_RegulriTVA[cota_legala],-1)&lt;&gt;[@cota_tva],"TVA GRESIT","")</f>
        <v/>
      </c>
      <c r="S1470">
        <f>IF([@data_scadentei]&lt;[@data_factura],"SCADENTA INAINTEA FACTURII","")</f>
        <v/>
      </c>
      <c r="T1470">
        <f>IF(NETWORKDAYS.INTL([@data_factura],[@data_factura],1,tbl_SarbatoriLegale[data])=0,"ZI NELUCRATOARE","")</f>
        <v/>
      </c>
      <c r="U1470">
        <f>IF([@motiv_anomalie]="","OK","DE INVESTIGAT")</f>
        <v/>
      </c>
      <c r="V1470">
        <f>TEXTJOIN("; ",TRUE,[@flag_oras],[@flag_tva],[@flag_scadenta],[@flag_zi])</f>
        <v/>
      </c>
    </row>
    <row r="1471">
      <c r="A1471" t="inlineStr">
        <is>
          <t>F-2025-01470</t>
        </is>
      </c>
      <c r="B1471" s="12" t="n">
        <v>46287</v>
      </c>
      <c r="C1471" t="inlineStr">
        <is>
          <t>SC NORDIS DISTRIBUTIE SRL</t>
        </is>
      </c>
      <c r="D1471" t="inlineStr">
        <is>
          <t>Constanța</t>
        </is>
      </c>
      <c r="E1471" t="inlineStr">
        <is>
          <t>PRD-013</t>
        </is>
      </c>
      <c r="F1471" t="inlineStr">
        <is>
          <t>Carte tehnica IT</t>
        </is>
      </c>
      <c r="G1471" t="inlineStr">
        <is>
          <t>Cărți și manuale</t>
        </is>
      </c>
      <c r="H1471" t="n">
        <v>1</v>
      </c>
      <c r="I1471" t="n">
        <v>1248.93</v>
      </c>
      <c r="J1471" t="n">
        <v>1248.93</v>
      </c>
      <c r="K1471" s="13" t="n">
        <v>0.05</v>
      </c>
      <c r="L1471" t="n">
        <v>62.45</v>
      </c>
      <c r="M1471" t="n">
        <v>1311.38</v>
      </c>
      <c r="N1471" t="inlineStr">
        <is>
          <t>RON</t>
        </is>
      </c>
      <c r="O1471" t="inlineStr">
        <is>
          <t>Mangalia</t>
        </is>
      </c>
      <c r="P1471" s="12" t="n">
        <v>46317</v>
      </c>
      <c r="Q1471">
        <f>IF(COUNTIF(tbl_Localitati[oras_oficial],[@oras])=0,"ORAS NEALINIAT",IF(XLOOKUP([@oras],tbl_Localitati[oras_oficial],tbl_Localitati[judet],"?")&lt;&gt;[@judet],"JUDET NECORESPUNZATOR",""))</f>
        <v/>
      </c>
      <c r="R1471">
        <f>IF(XLOOKUP([@categorie],tbl_RegulriTVA[categorie],tbl_RegulriTVA[cota_legala],-1)&lt;&gt;[@cota_tva],"TVA GRESIT","")</f>
        <v/>
      </c>
      <c r="S1471">
        <f>IF([@data_scadentei]&lt;[@data_factura],"SCADENTA INAINTEA FACTURII","")</f>
        <v/>
      </c>
      <c r="T1471">
        <f>IF(NETWORKDAYS.INTL([@data_factura],[@data_factura],1,tbl_SarbatoriLegale[data])=0,"ZI NELUCRATOARE","")</f>
        <v/>
      </c>
      <c r="U1471">
        <f>IF([@motiv_anomalie]="","OK","DE INVESTIGAT")</f>
        <v/>
      </c>
      <c r="V1471">
        <f>TEXTJOIN("; ",TRUE,[@flag_oras],[@flag_tva],[@flag_scadenta],[@flag_zi])</f>
        <v/>
      </c>
    </row>
    <row r="1472">
      <c r="A1472" t="inlineStr">
        <is>
          <t>F-2025-01471</t>
        </is>
      </c>
      <c r="B1472" s="12" t="n">
        <v>46071</v>
      </c>
      <c r="C1472" t="inlineStr">
        <is>
          <t>SC PROVITA MEDICAL SRL</t>
        </is>
      </c>
      <c r="D1472" t="inlineStr">
        <is>
          <t>Mureș</t>
        </is>
      </c>
      <c r="E1472" t="inlineStr">
        <is>
          <t>PRD-009</t>
        </is>
      </c>
      <c r="F1472" t="inlineStr">
        <is>
          <t>Apa plata bax</t>
        </is>
      </c>
      <c r="G1472" t="inlineStr">
        <is>
          <t>Alimente</t>
        </is>
      </c>
      <c r="H1472" t="n">
        <v>20</v>
      </c>
      <c r="I1472" t="n">
        <v>27.21</v>
      </c>
      <c r="J1472" t="n">
        <v>544.2</v>
      </c>
      <c r="K1472" s="13" t="n">
        <v>0.09</v>
      </c>
      <c r="L1472" t="n">
        <v>48.98</v>
      </c>
      <c r="M1472" t="n">
        <v>593.1799999999999</v>
      </c>
      <c r="N1472" t="inlineStr">
        <is>
          <t>RON</t>
        </is>
      </c>
      <c r="O1472" t="inlineStr">
        <is>
          <t>Târgu Mureș</t>
        </is>
      </c>
      <c r="P1472" s="12" t="n">
        <v>46131</v>
      </c>
      <c r="Q1472">
        <f>IF(COUNTIF(tbl_Localitati[oras_oficial],[@oras])=0,"ORAS NEALINIAT",IF(XLOOKUP([@oras],tbl_Localitati[oras_oficial],tbl_Localitati[judet],"?")&lt;&gt;[@judet],"JUDET NECORESPUNZATOR",""))</f>
        <v/>
      </c>
      <c r="R1472">
        <f>IF(XLOOKUP([@categorie],tbl_RegulriTVA[categorie],tbl_RegulriTVA[cota_legala],-1)&lt;&gt;[@cota_tva],"TVA GRESIT","")</f>
        <v/>
      </c>
      <c r="S1472">
        <f>IF([@data_scadentei]&lt;[@data_factura],"SCADENTA INAINTEA FACTURII","")</f>
        <v/>
      </c>
      <c r="T1472">
        <f>IF(NETWORKDAYS.INTL([@data_factura],[@data_factura],1,tbl_SarbatoriLegale[data])=0,"ZI NELUCRATOARE","")</f>
        <v/>
      </c>
      <c r="U1472">
        <f>IF([@motiv_anomalie]="","OK","DE INVESTIGAT")</f>
        <v/>
      </c>
      <c r="V1472">
        <f>TEXTJOIN("; ",TRUE,[@flag_oras],[@flag_tva],[@flag_scadenta],[@flag_zi])</f>
        <v/>
      </c>
    </row>
    <row r="1473">
      <c r="A1473" t="inlineStr">
        <is>
          <t>F-2025-01472</t>
        </is>
      </c>
      <c r="B1473" s="12" t="n">
        <v>46315</v>
      </c>
      <c r="C1473" t="inlineStr">
        <is>
          <t>SC METALPLAST INVEST SA</t>
        </is>
      </c>
      <c r="D1473" t="inlineStr">
        <is>
          <t>Cluj</t>
        </is>
      </c>
      <c r="E1473" t="inlineStr">
        <is>
          <t>PRD-009</t>
        </is>
      </c>
      <c r="F1473" t="inlineStr">
        <is>
          <t>Tocator documente</t>
        </is>
      </c>
      <c r="G1473" t="inlineStr">
        <is>
          <t>Echipamente birou</t>
        </is>
      </c>
      <c r="H1473" t="n">
        <v>5</v>
      </c>
      <c r="I1473" t="n">
        <v>27.09</v>
      </c>
      <c r="J1473" t="n">
        <v>135.45</v>
      </c>
      <c r="K1473" s="13" t="n">
        <v>0.19</v>
      </c>
      <c r="L1473" t="n">
        <v>25.74</v>
      </c>
      <c r="M1473" t="n">
        <v>161.19</v>
      </c>
      <c r="N1473" t="inlineStr">
        <is>
          <t>RON</t>
        </is>
      </c>
      <c r="O1473" t="inlineStr">
        <is>
          <t>Turda</t>
        </is>
      </c>
      <c r="P1473" s="12" t="n">
        <v>46375</v>
      </c>
      <c r="Q1473">
        <f>IF(COUNTIF(tbl_Localitati[oras_oficial],[@oras])=0,"ORAS NEALINIAT",IF(XLOOKUP([@oras],tbl_Localitati[oras_oficial],tbl_Localitati[judet],"?")&lt;&gt;[@judet],"JUDET NECORESPUNZATOR",""))</f>
        <v/>
      </c>
      <c r="R1473">
        <f>IF(XLOOKUP([@categorie],tbl_RegulriTVA[categorie],tbl_RegulriTVA[cota_legala],-1)&lt;&gt;[@cota_tva],"TVA GRESIT","")</f>
        <v/>
      </c>
      <c r="S1473">
        <f>IF([@data_scadentei]&lt;[@data_factura],"SCADENTA INAINTEA FACTURII","")</f>
        <v/>
      </c>
      <c r="T1473">
        <f>IF(NETWORKDAYS.INTL([@data_factura],[@data_factura],1,tbl_SarbatoriLegale[data])=0,"ZI NELUCRATOARE","")</f>
        <v/>
      </c>
      <c r="U1473">
        <f>IF([@motiv_anomalie]="","OK","DE INVESTIGAT")</f>
        <v/>
      </c>
      <c r="V1473">
        <f>TEXTJOIN("; ",TRUE,[@flag_oras],[@flag_tva],[@flag_scadenta],[@flag_zi])</f>
        <v/>
      </c>
    </row>
    <row r="1474">
      <c r="A1474" t="inlineStr">
        <is>
          <t>F-2025-01473</t>
        </is>
      </c>
      <c r="B1474" s="12" t="n">
        <v>46105</v>
      </c>
      <c r="C1474" t="inlineStr">
        <is>
          <t>SC AROMET TRADING SRL</t>
        </is>
      </c>
      <c r="D1474" t="inlineStr">
        <is>
          <t>Alba</t>
        </is>
      </c>
      <c r="E1474" t="inlineStr">
        <is>
          <t>PRD-011</t>
        </is>
      </c>
      <c r="F1474" t="inlineStr">
        <is>
          <t>Server rack 1U</t>
        </is>
      </c>
      <c r="G1474" t="inlineStr">
        <is>
          <t>Hardware IT</t>
        </is>
      </c>
      <c r="H1474" t="n">
        <v>5</v>
      </c>
      <c r="I1474" t="n">
        <v>45.84</v>
      </c>
      <c r="J1474" t="n">
        <v>229.2</v>
      </c>
      <c r="K1474" s="13" t="n">
        <v>0.19</v>
      </c>
      <c r="L1474" t="n">
        <v>43.55</v>
      </c>
      <c r="M1474" t="n">
        <v>272.75</v>
      </c>
      <c r="N1474" t="inlineStr">
        <is>
          <t>RON</t>
        </is>
      </c>
      <c r="O1474" t="inlineStr">
        <is>
          <t>Alba Iulia</t>
        </is>
      </c>
      <c r="P1474" s="12" t="n">
        <v>46150</v>
      </c>
      <c r="Q1474">
        <f>IF(COUNTIF(tbl_Localitati[oras_oficial],[@oras])=0,"ORAS NEALINIAT",IF(XLOOKUP([@oras],tbl_Localitati[oras_oficial],tbl_Localitati[judet],"?")&lt;&gt;[@judet],"JUDET NECORESPUNZATOR",""))</f>
        <v/>
      </c>
      <c r="R1474">
        <f>IF(XLOOKUP([@categorie],tbl_RegulriTVA[categorie],tbl_RegulriTVA[cota_legala],-1)&lt;&gt;[@cota_tva],"TVA GRESIT","")</f>
        <v/>
      </c>
      <c r="S1474">
        <f>IF([@data_scadentei]&lt;[@data_factura],"SCADENTA INAINTEA FACTURII","")</f>
        <v/>
      </c>
      <c r="T1474">
        <f>IF(NETWORKDAYS.INTL([@data_factura],[@data_factura],1,tbl_SarbatoriLegale[data])=0,"ZI NELUCRATOARE","")</f>
        <v/>
      </c>
      <c r="U1474">
        <f>IF([@motiv_anomalie]="","OK","DE INVESTIGAT")</f>
        <v/>
      </c>
      <c r="V1474">
        <f>TEXTJOIN("; ",TRUE,[@flag_oras],[@flag_tva],[@flag_scadenta],[@flag_zi])</f>
        <v/>
      </c>
    </row>
    <row r="1475">
      <c r="A1475" t="inlineStr">
        <is>
          <t>F-2025-01474</t>
        </is>
      </c>
      <c r="B1475" s="12" t="n">
        <v>46322</v>
      </c>
      <c r="C1475" t="inlineStr">
        <is>
          <t>SC DACTECH SOLUTIONS SRL</t>
        </is>
      </c>
      <c r="D1475" t="inlineStr">
        <is>
          <t>Argeș</t>
        </is>
      </c>
      <c r="E1475" t="inlineStr">
        <is>
          <t>PRD-004</t>
        </is>
      </c>
      <c r="F1475" t="inlineStr">
        <is>
          <t>Licenta Office 365 anuala</t>
        </is>
      </c>
      <c r="G1475" t="inlineStr">
        <is>
          <t>Licențe software</t>
        </is>
      </c>
      <c r="H1475" t="n">
        <v>1</v>
      </c>
      <c r="I1475" t="n">
        <v>927.25</v>
      </c>
      <c r="J1475" t="n">
        <v>927.25</v>
      </c>
      <c r="K1475" s="13" t="n">
        <v>0.19</v>
      </c>
      <c r="L1475" t="n">
        <v>176.18</v>
      </c>
      <c r="M1475" t="n">
        <v>1103.43</v>
      </c>
      <c r="N1475" t="inlineStr">
        <is>
          <t>USD</t>
        </is>
      </c>
      <c r="O1475" t="inlineStr">
        <is>
          <t>Pitești</t>
        </is>
      </c>
      <c r="P1475" s="12" t="n">
        <v>46367</v>
      </c>
      <c r="Q1475">
        <f>IF(COUNTIF(tbl_Localitati[oras_oficial],[@oras])=0,"ORAS NEALINIAT",IF(XLOOKUP([@oras],tbl_Localitati[oras_oficial],tbl_Localitati[judet],"?")&lt;&gt;[@judet],"JUDET NECORESPUNZATOR",""))</f>
        <v/>
      </c>
      <c r="R1475">
        <f>IF(XLOOKUP([@categorie],tbl_RegulriTVA[categorie],tbl_RegulriTVA[cota_legala],-1)&lt;&gt;[@cota_tva],"TVA GRESIT","")</f>
        <v/>
      </c>
      <c r="S1475">
        <f>IF([@data_scadentei]&lt;[@data_factura],"SCADENTA INAINTEA FACTURII","")</f>
        <v/>
      </c>
      <c r="T1475">
        <f>IF(NETWORKDAYS.INTL([@data_factura],[@data_factura],1,tbl_SarbatoriLegale[data])=0,"ZI NELUCRATOARE","")</f>
        <v/>
      </c>
      <c r="U1475">
        <f>IF([@motiv_anomalie]="","OK","DE INVESTIGAT")</f>
        <v/>
      </c>
      <c r="V1475">
        <f>TEXTJOIN("; ",TRUE,[@flag_oras],[@flag_tva],[@flag_scadenta],[@flag_zi])</f>
        <v/>
      </c>
    </row>
    <row r="1476">
      <c r="A1476" t="inlineStr">
        <is>
          <t>F-2025-01475</t>
        </is>
      </c>
      <c r="B1476" s="12" t="n">
        <v>46171</v>
      </c>
      <c r="C1476" t="inlineStr">
        <is>
          <t>SC AROMET TRADING SRL</t>
        </is>
      </c>
      <c r="D1476" t="inlineStr">
        <is>
          <t>Alba</t>
        </is>
      </c>
      <c r="E1476" t="inlineStr">
        <is>
          <t>PRD-005</t>
        </is>
      </c>
      <c r="F1476" t="inlineStr">
        <is>
          <t>Laptop business 15"</t>
        </is>
      </c>
      <c r="G1476" t="inlineStr">
        <is>
          <t>Hardware IT</t>
        </is>
      </c>
      <c r="H1476" t="n">
        <v>2</v>
      </c>
      <c r="I1476" t="n">
        <v>252.28</v>
      </c>
      <c r="J1476" t="n">
        <v>504.56</v>
      </c>
      <c r="K1476" s="13" t="n">
        <v>0.19</v>
      </c>
      <c r="L1476" t="n">
        <v>95.87</v>
      </c>
      <c r="M1476" t="n">
        <v>600.4299999999999</v>
      </c>
      <c r="N1476" t="inlineStr">
        <is>
          <t>RON</t>
        </is>
      </c>
      <c r="O1476" t="inlineStr">
        <is>
          <t>Alba Iulia</t>
        </is>
      </c>
      <c r="P1476" s="12" t="n">
        <v>46231</v>
      </c>
      <c r="Q1476">
        <f>IF(COUNTIF(tbl_Localitati[oras_oficial],[@oras])=0,"ORAS NEALINIAT",IF(XLOOKUP([@oras],tbl_Localitati[oras_oficial],tbl_Localitati[judet],"?")&lt;&gt;[@judet],"JUDET NECORESPUNZATOR",""))</f>
        <v/>
      </c>
      <c r="R1476">
        <f>IF(XLOOKUP([@categorie],tbl_RegulriTVA[categorie],tbl_RegulriTVA[cota_legala],-1)&lt;&gt;[@cota_tva],"TVA GRESIT","")</f>
        <v/>
      </c>
      <c r="S1476">
        <f>IF([@data_scadentei]&lt;[@data_factura],"SCADENTA INAINTEA FACTURII","")</f>
        <v/>
      </c>
      <c r="T1476">
        <f>IF(NETWORKDAYS.INTL([@data_factura],[@data_factura],1,tbl_SarbatoriLegale[data])=0,"ZI NELUCRATOARE","")</f>
        <v/>
      </c>
      <c r="U1476">
        <f>IF([@motiv_anomalie]="","OK","DE INVESTIGAT")</f>
        <v/>
      </c>
      <c r="V1476">
        <f>TEXTJOIN("; ",TRUE,[@flag_oras],[@flag_tva],[@flag_scadenta],[@flag_zi])</f>
        <v/>
      </c>
    </row>
    <row r="1477">
      <c r="A1477" t="inlineStr">
        <is>
          <t>F-2025-01476</t>
        </is>
      </c>
      <c r="B1477" s="12" t="n">
        <v>46329</v>
      </c>
      <c r="C1477" t="inlineStr">
        <is>
          <t>SC OMEGA SOFT SRL</t>
        </is>
      </c>
      <c r="D1477" t="inlineStr">
        <is>
          <t>Dolj</t>
        </is>
      </c>
      <c r="E1477" t="inlineStr">
        <is>
          <t>PRD-008</t>
        </is>
      </c>
      <c r="F1477" t="inlineStr">
        <is>
          <t>Server rack 1U</t>
        </is>
      </c>
      <c r="G1477" t="inlineStr">
        <is>
          <t>Hardware IT</t>
        </is>
      </c>
      <c r="H1477" t="n">
        <v>5</v>
      </c>
      <c r="I1477" t="n">
        <v>438.32</v>
      </c>
      <c r="J1477" t="n">
        <v>2191.6</v>
      </c>
      <c r="K1477" s="13" t="n">
        <v>0.19</v>
      </c>
      <c r="L1477" t="n">
        <v>416.4</v>
      </c>
      <c r="M1477" t="n">
        <v>2608</v>
      </c>
      <c r="N1477" t="inlineStr">
        <is>
          <t>RON</t>
        </is>
      </c>
      <c r="O1477" t="inlineStr">
        <is>
          <t>Craiova</t>
        </is>
      </c>
      <c r="P1477" s="12" t="n">
        <v>46359</v>
      </c>
      <c r="Q1477">
        <f>IF(COUNTIF(tbl_Localitati[oras_oficial],[@oras])=0,"ORAS NEALINIAT",IF(XLOOKUP([@oras],tbl_Localitati[oras_oficial],tbl_Localitati[judet],"?")&lt;&gt;[@judet],"JUDET NECORESPUNZATOR",""))</f>
        <v/>
      </c>
      <c r="R1477">
        <f>IF(XLOOKUP([@categorie],tbl_RegulriTVA[categorie],tbl_RegulriTVA[cota_legala],-1)&lt;&gt;[@cota_tva],"TVA GRESIT","")</f>
        <v/>
      </c>
      <c r="S1477">
        <f>IF([@data_scadentei]&lt;[@data_factura],"SCADENTA INAINTEA FACTURII","")</f>
        <v/>
      </c>
      <c r="T1477">
        <f>IF(NETWORKDAYS.INTL([@data_factura],[@data_factura],1,tbl_SarbatoriLegale[data])=0,"ZI NELUCRATOARE","")</f>
        <v/>
      </c>
      <c r="U1477">
        <f>IF([@motiv_anomalie]="","OK","DE INVESTIGAT")</f>
        <v/>
      </c>
      <c r="V1477">
        <f>TEXTJOIN("; ",TRUE,[@flag_oras],[@flag_tva],[@flag_scadenta],[@flag_zi])</f>
        <v/>
      </c>
    </row>
    <row r="1478">
      <c r="A1478" t="inlineStr">
        <is>
          <t>F-2025-01477</t>
        </is>
      </c>
      <c r="B1478" s="12" t="n">
        <v>46190</v>
      </c>
      <c r="C1478" t="inlineStr">
        <is>
          <t>SC NORDIS DISTRIBUTIE SRL</t>
        </is>
      </c>
      <c r="D1478" t="inlineStr">
        <is>
          <t>Constanța</t>
        </is>
      </c>
      <c r="E1478" t="inlineStr">
        <is>
          <t>PRD-011</t>
        </is>
      </c>
      <c r="F1478" t="inlineStr">
        <is>
          <t>Consultanta implementare IT</t>
        </is>
      </c>
      <c r="G1478" t="inlineStr">
        <is>
          <t>Servicii consultanță</t>
        </is>
      </c>
      <c r="H1478" t="n">
        <v>5</v>
      </c>
      <c r="I1478" t="n">
        <v>46.2</v>
      </c>
      <c r="J1478" t="n">
        <v>231</v>
      </c>
      <c r="K1478" s="13" t="n">
        <v>0.19</v>
      </c>
      <c r="L1478" t="n">
        <v>43.89</v>
      </c>
      <c r="M1478" t="n">
        <v>274.89</v>
      </c>
      <c r="N1478" t="inlineStr">
        <is>
          <t>RON</t>
        </is>
      </c>
      <c r="O1478" t="inlineStr">
        <is>
          <t>Mangalia</t>
        </is>
      </c>
      <c r="P1478" s="12" t="n">
        <v>46205</v>
      </c>
      <c r="Q1478">
        <f>IF(COUNTIF(tbl_Localitati[oras_oficial],[@oras])=0,"ORAS NEALINIAT",IF(XLOOKUP([@oras],tbl_Localitati[oras_oficial],tbl_Localitati[judet],"?")&lt;&gt;[@judet],"JUDET NECORESPUNZATOR",""))</f>
        <v/>
      </c>
      <c r="R1478">
        <f>IF(XLOOKUP([@categorie],tbl_RegulriTVA[categorie],tbl_RegulriTVA[cota_legala],-1)&lt;&gt;[@cota_tva],"TVA GRESIT","")</f>
        <v/>
      </c>
      <c r="S1478">
        <f>IF([@data_scadentei]&lt;[@data_factura],"SCADENTA INAINTEA FACTURII","")</f>
        <v/>
      </c>
      <c r="T1478">
        <f>IF(NETWORKDAYS.INTL([@data_factura],[@data_factura],1,tbl_SarbatoriLegale[data])=0,"ZI NELUCRATOARE","")</f>
        <v/>
      </c>
      <c r="U1478">
        <f>IF([@motiv_anomalie]="","OK","DE INVESTIGAT")</f>
        <v/>
      </c>
      <c r="V1478">
        <f>TEXTJOIN("; ",TRUE,[@flag_oras],[@flag_tva],[@flag_scadenta],[@flag_zi])</f>
        <v/>
      </c>
    </row>
    <row r="1479">
      <c r="A1479" t="inlineStr">
        <is>
          <t>F-2025-01478</t>
        </is>
      </c>
      <c r="B1479" s="12" t="n">
        <v>46107</v>
      </c>
      <c r="C1479" t="inlineStr">
        <is>
          <t>SC AROMET TRADING SRL</t>
        </is>
      </c>
      <c r="D1479" t="inlineStr">
        <is>
          <t>Alba</t>
        </is>
      </c>
      <c r="E1479" t="inlineStr">
        <is>
          <t>PRD-004</t>
        </is>
      </c>
      <c r="F1479" t="inlineStr">
        <is>
          <t>Licenta Office 365 anuala</t>
        </is>
      </c>
      <c r="G1479" t="inlineStr">
        <is>
          <t>Licențe software</t>
        </is>
      </c>
      <c r="H1479" t="n">
        <v>1</v>
      </c>
      <c r="I1479" t="n">
        <v>890.05</v>
      </c>
      <c r="J1479" t="n">
        <v>890.05</v>
      </c>
      <c r="K1479" s="13" t="n">
        <v>0.19</v>
      </c>
      <c r="L1479" t="n">
        <v>169.11</v>
      </c>
      <c r="M1479" t="n">
        <v>1059.16</v>
      </c>
      <c r="N1479" t="inlineStr">
        <is>
          <t>RON</t>
        </is>
      </c>
      <c r="O1479" t="inlineStr">
        <is>
          <t>Alba Iulia</t>
        </is>
      </c>
      <c r="P1479" s="12" t="n">
        <v>46137</v>
      </c>
      <c r="Q1479">
        <f>IF(COUNTIF(tbl_Localitati[oras_oficial],[@oras])=0,"ORAS NEALINIAT",IF(XLOOKUP([@oras],tbl_Localitati[oras_oficial],tbl_Localitati[judet],"?")&lt;&gt;[@judet],"JUDET NECORESPUNZATOR",""))</f>
        <v/>
      </c>
      <c r="R1479">
        <f>IF(XLOOKUP([@categorie],tbl_RegulriTVA[categorie],tbl_RegulriTVA[cota_legala],-1)&lt;&gt;[@cota_tva],"TVA GRESIT","")</f>
        <v/>
      </c>
      <c r="S1479">
        <f>IF([@data_scadentei]&lt;[@data_factura],"SCADENTA INAINTEA FACTURII","")</f>
        <v/>
      </c>
      <c r="T1479">
        <f>IF(NETWORKDAYS.INTL([@data_factura],[@data_factura],1,tbl_SarbatoriLegale[data])=0,"ZI NELUCRATOARE","")</f>
        <v/>
      </c>
      <c r="U1479">
        <f>IF([@motiv_anomalie]="","OK","DE INVESTIGAT")</f>
        <v/>
      </c>
      <c r="V1479">
        <f>TEXTJOIN("; ",TRUE,[@flag_oras],[@flag_tva],[@flag_scadenta],[@flag_zi])</f>
        <v/>
      </c>
    </row>
    <row r="1480">
      <c r="A1480" t="inlineStr">
        <is>
          <t>F-2025-01479</t>
        </is>
      </c>
      <c r="B1480" s="12" t="n">
        <v>46042</v>
      </c>
      <c r="C1480" t="inlineStr">
        <is>
          <t>SC RAPID LOGISTIC SA</t>
        </is>
      </c>
      <c r="D1480" t="inlineStr">
        <is>
          <t>Prahova</t>
        </is>
      </c>
      <c r="E1480" t="inlineStr">
        <is>
          <t>PRD-010</t>
        </is>
      </c>
      <c r="F1480" t="inlineStr">
        <is>
          <t>Training utilizatori</t>
        </is>
      </c>
      <c r="G1480" t="inlineStr">
        <is>
          <t>Servicii consultanță</t>
        </is>
      </c>
      <c r="H1480" t="n">
        <v>50</v>
      </c>
      <c r="I1480" t="n">
        <v>352.38</v>
      </c>
      <c r="J1480" t="n">
        <v>17619</v>
      </c>
      <c r="K1480" s="13" t="n">
        <v>0.19</v>
      </c>
      <c r="L1480" t="n">
        <v>3347.61</v>
      </c>
      <c r="M1480" t="n">
        <v>20966.61</v>
      </c>
      <c r="N1480" t="inlineStr">
        <is>
          <t>RON</t>
        </is>
      </c>
      <c r="O1480" t="inlineStr">
        <is>
          <t>Ploiești</t>
        </is>
      </c>
      <c r="P1480" s="12" t="n">
        <v>46102</v>
      </c>
      <c r="Q1480">
        <f>IF(COUNTIF(tbl_Localitati[oras_oficial],[@oras])=0,"ORAS NEALINIAT",IF(XLOOKUP([@oras],tbl_Localitati[oras_oficial],tbl_Localitati[judet],"?")&lt;&gt;[@judet],"JUDET NECORESPUNZATOR",""))</f>
        <v/>
      </c>
      <c r="R1480">
        <f>IF(XLOOKUP([@categorie],tbl_RegulriTVA[categorie],tbl_RegulriTVA[cota_legala],-1)&lt;&gt;[@cota_tva],"TVA GRESIT","")</f>
        <v/>
      </c>
      <c r="S1480">
        <f>IF([@data_scadentei]&lt;[@data_factura],"SCADENTA INAINTEA FACTURII","")</f>
        <v/>
      </c>
      <c r="T1480">
        <f>IF(NETWORKDAYS.INTL([@data_factura],[@data_factura],1,tbl_SarbatoriLegale[data])=0,"ZI NELUCRATOARE","")</f>
        <v/>
      </c>
      <c r="U1480">
        <f>IF([@motiv_anomalie]="","OK","DE INVESTIGAT")</f>
        <v/>
      </c>
      <c r="V1480">
        <f>TEXTJOIN("; ",TRUE,[@flag_oras],[@flag_tva],[@flag_scadenta],[@flag_zi])</f>
        <v/>
      </c>
    </row>
    <row r="1481">
      <c r="A1481" t="inlineStr">
        <is>
          <t>F-2025-01480</t>
        </is>
      </c>
      <c r="B1481" s="12" t="n">
        <v>46254</v>
      </c>
      <c r="C1481" t="inlineStr">
        <is>
          <t>SC SOLARIS ENERGY SRL</t>
        </is>
      </c>
      <c r="D1481" t="inlineStr">
        <is>
          <t>Prahova</t>
        </is>
      </c>
      <c r="E1481" t="inlineStr">
        <is>
          <t>PRD-011</t>
        </is>
      </c>
      <c r="F1481" t="inlineStr">
        <is>
          <t>Videoproiector sala</t>
        </is>
      </c>
      <c r="G1481" t="inlineStr">
        <is>
          <t>Echipamente birou</t>
        </is>
      </c>
      <c r="H1481" t="n">
        <v>50</v>
      </c>
      <c r="I1481" t="n">
        <v>46.38</v>
      </c>
      <c r="J1481" t="n">
        <v>2319</v>
      </c>
      <c r="K1481" s="13" t="n">
        <v>0.19</v>
      </c>
      <c r="L1481" t="n">
        <v>440.61</v>
      </c>
      <c r="M1481" t="n">
        <v>2759.61</v>
      </c>
      <c r="N1481" t="inlineStr">
        <is>
          <t>EUR</t>
        </is>
      </c>
      <c r="O1481" t="inlineStr">
        <is>
          <t>Câmpina</t>
        </is>
      </c>
      <c r="P1481" s="12" t="n">
        <v>46314</v>
      </c>
      <c r="Q1481">
        <f>IF(COUNTIF(tbl_Localitati[oras_oficial],[@oras])=0,"ORAS NEALINIAT",IF(XLOOKUP([@oras],tbl_Localitati[oras_oficial],tbl_Localitati[judet],"?")&lt;&gt;[@judet],"JUDET NECORESPUNZATOR",""))</f>
        <v/>
      </c>
      <c r="R1481">
        <f>IF(XLOOKUP([@categorie],tbl_RegulriTVA[categorie],tbl_RegulriTVA[cota_legala],-1)&lt;&gt;[@cota_tva],"TVA GRESIT","")</f>
        <v/>
      </c>
      <c r="S1481">
        <f>IF([@data_scadentei]&lt;[@data_factura],"SCADENTA INAINTEA FACTURII","")</f>
        <v/>
      </c>
      <c r="T1481">
        <f>IF(NETWORKDAYS.INTL([@data_factura],[@data_factura],1,tbl_SarbatoriLegale[data])=0,"ZI NELUCRATOARE","")</f>
        <v/>
      </c>
      <c r="U1481">
        <f>IF([@motiv_anomalie]="","OK","DE INVESTIGAT")</f>
        <v/>
      </c>
      <c r="V1481">
        <f>TEXTJOIN("; ",TRUE,[@flag_oras],[@flag_tva],[@flag_scadenta],[@flag_zi])</f>
        <v/>
      </c>
    </row>
    <row r="1482">
      <c r="A1482" t="inlineStr">
        <is>
          <t>F-2025-01481</t>
        </is>
      </c>
      <c r="B1482" s="12" t="n">
        <v>46384</v>
      </c>
      <c r="C1482" t="inlineStr">
        <is>
          <t>SC METALPLAST INVEST SA</t>
        </is>
      </c>
      <c r="D1482" t="inlineStr">
        <is>
          <t>Cluj</t>
        </is>
      </c>
      <c r="E1482" t="inlineStr">
        <is>
          <t>PRD-001</t>
        </is>
      </c>
      <c r="F1482" t="inlineStr">
        <is>
          <t>Trusa prim ajutor</t>
        </is>
      </c>
      <c r="G1482" t="inlineStr">
        <is>
          <t>Produse farmaceutice</t>
        </is>
      </c>
      <c r="H1482" t="n">
        <v>5</v>
      </c>
      <c r="I1482" t="n">
        <v>2508.13</v>
      </c>
      <c r="J1482" t="n">
        <v>12540.65</v>
      </c>
      <c r="K1482" s="13" t="n">
        <v>0.09</v>
      </c>
      <c r="L1482" t="n">
        <v>1128.66</v>
      </c>
      <c r="M1482" t="n">
        <v>13669.31</v>
      </c>
      <c r="N1482" t="inlineStr">
        <is>
          <t>RON</t>
        </is>
      </c>
      <c r="O1482" t="inlineStr">
        <is>
          <t>Turda</t>
        </is>
      </c>
      <c r="P1482" s="12" t="n">
        <v>46429</v>
      </c>
      <c r="Q1482">
        <f>IF(COUNTIF(tbl_Localitati[oras_oficial],[@oras])=0,"ORAS NEALINIAT",IF(XLOOKUP([@oras],tbl_Localitati[oras_oficial],tbl_Localitati[judet],"?")&lt;&gt;[@judet],"JUDET NECORESPUNZATOR",""))</f>
        <v/>
      </c>
      <c r="R1482">
        <f>IF(XLOOKUP([@categorie],tbl_RegulriTVA[categorie],tbl_RegulriTVA[cota_legala],-1)&lt;&gt;[@cota_tva],"TVA GRESIT","")</f>
        <v/>
      </c>
      <c r="S1482">
        <f>IF([@data_scadentei]&lt;[@data_factura],"SCADENTA INAINTEA FACTURII","")</f>
        <v/>
      </c>
      <c r="T1482">
        <f>IF(NETWORKDAYS.INTL([@data_factura],[@data_factura],1,tbl_SarbatoriLegale[data])=0,"ZI NELUCRATOARE","")</f>
        <v/>
      </c>
      <c r="U1482">
        <f>IF([@motiv_anomalie]="","OK","DE INVESTIGAT")</f>
        <v/>
      </c>
      <c r="V1482">
        <f>TEXTJOIN("; ",TRUE,[@flag_oras],[@flag_tva],[@flag_scadenta],[@flag_zi])</f>
        <v/>
      </c>
    </row>
    <row r="1483">
      <c r="A1483" t="inlineStr">
        <is>
          <t>F-2025-01482</t>
        </is>
      </c>
      <c r="B1483" s="12" t="n">
        <v>46328</v>
      </c>
      <c r="C1483" t="inlineStr">
        <is>
          <t>SC INTEGROMED SA</t>
        </is>
      </c>
      <c r="D1483" t="inlineStr">
        <is>
          <t>Cluj</t>
        </is>
      </c>
      <c r="E1483" t="inlineStr">
        <is>
          <t>PRD-009</t>
        </is>
      </c>
      <c r="F1483" t="inlineStr">
        <is>
          <t>Set carti formare</t>
        </is>
      </c>
      <c r="G1483" t="inlineStr">
        <is>
          <t>Cărți și manuale</t>
        </is>
      </c>
      <c r="H1483" t="n">
        <v>20</v>
      </c>
      <c r="I1483" t="n">
        <v>28.68</v>
      </c>
      <c r="J1483" t="n">
        <v>573.6</v>
      </c>
      <c r="K1483" s="13" t="n">
        <v>0.05</v>
      </c>
      <c r="L1483" t="n">
        <v>28.68</v>
      </c>
      <c r="M1483" t="n">
        <v>602.28</v>
      </c>
      <c r="N1483" t="inlineStr">
        <is>
          <t>RON</t>
        </is>
      </c>
      <c r="O1483" t="inlineStr">
        <is>
          <t>Cluj-Napoca</t>
        </is>
      </c>
      <c r="P1483" s="12" t="n">
        <v>46358</v>
      </c>
      <c r="Q1483">
        <f>IF(COUNTIF(tbl_Localitati[oras_oficial],[@oras])=0,"ORAS NEALINIAT",IF(XLOOKUP([@oras],tbl_Localitati[oras_oficial],tbl_Localitati[judet],"?")&lt;&gt;[@judet],"JUDET NECORESPUNZATOR",""))</f>
        <v/>
      </c>
      <c r="R1483">
        <f>IF(XLOOKUP([@categorie],tbl_RegulriTVA[categorie],tbl_RegulriTVA[cota_legala],-1)&lt;&gt;[@cota_tva],"TVA GRESIT","")</f>
        <v/>
      </c>
      <c r="S1483">
        <f>IF([@data_scadentei]&lt;[@data_factura],"SCADENTA INAINTEA FACTURII","")</f>
        <v/>
      </c>
      <c r="T1483">
        <f>IF(NETWORKDAYS.INTL([@data_factura],[@data_factura],1,tbl_SarbatoriLegale[data])=0,"ZI NELUCRATOARE","")</f>
        <v/>
      </c>
      <c r="U1483">
        <f>IF([@motiv_anomalie]="","OK","DE INVESTIGAT")</f>
        <v/>
      </c>
      <c r="V1483">
        <f>TEXTJOIN("; ",TRUE,[@flag_oras],[@flag_tva],[@flag_scadenta],[@flag_zi])</f>
        <v/>
      </c>
    </row>
    <row r="1484">
      <c r="A1484" t="inlineStr">
        <is>
          <t>F-2025-01483</t>
        </is>
      </c>
      <c r="B1484" s="12" t="n">
        <v>46031</v>
      </c>
      <c r="C1484" t="inlineStr">
        <is>
          <t>SC SOLARIS ENERGY SRL</t>
        </is>
      </c>
      <c r="D1484" t="inlineStr">
        <is>
          <t>Prahova</t>
        </is>
      </c>
      <c r="E1484" t="inlineStr">
        <is>
          <t>PRD-002</t>
        </is>
      </c>
      <c r="F1484" t="inlineStr">
        <is>
          <t>Videoproiector sala</t>
        </is>
      </c>
      <c r="G1484" t="inlineStr">
        <is>
          <t>Echipamente birou</t>
        </is>
      </c>
      <c r="H1484" t="n">
        <v>1</v>
      </c>
      <c r="I1484" t="n">
        <v>1064.65</v>
      </c>
      <c r="J1484" t="n">
        <v>1064.65</v>
      </c>
      <c r="K1484" s="13" t="n">
        <v>0.19</v>
      </c>
      <c r="L1484" t="n">
        <v>202.28</v>
      </c>
      <c r="M1484" t="n">
        <v>1266.93</v>
      </c>
      <c r="N1484" t="inlineStr">
        <is>
          <t>RON</t>
        </is>
      </c>
      <c r="O1484" t="inlineStr">
        <is>
          <t>Câmpina</t>
        </is>
      </c>
      <c r="P1484" s="12" t="n">
        <v>46061</v>
      </c>
      <c r="Q1484">
        <f>IF(COUNTIF(tbl_Localitati[oras_oficial],[@oras])=0,"ORAS NEALINIAT",IF(XLOOKUP([@oras],tbl_Localitati[oras_oficial],tbl_Localitati[judet],"?")&lt;&gt;[@judet],"JUDET NECORESPUNZATOR",""))</f>
        <v/>
      </c>
      <c r="R1484">
        <f>IF(XLOOKUP([@categorie],tbl_RegulriTVA[categorie],tbl_RegulriTVA[cota_legala],-1)&lt;&gt;[@cota_tva],"TVA GRESIT","")</f>
        <v/>
      </c>
      <c r="S1484">
        <f>IF([@data_scadentei]&lt;[@data_factura],"SCADENTA INAINTEA FACTURII","")</f>
        <v/>
      </c>
      <c r="T1484">
        <f>IF(NETWORKDAYS.INTL([@data_factura],[@data_factura],1,tbl_SarbatoriLegale[data])=0,"ZI NELUCRATOARE","")</f>
        <v/>
      </c>
      <c r="U1484">
        <f>IF([@motiv_anomalie]="","OK","DE INVESTIGAT")</f>
        <v/>
      </c>
      <c r="V1484">
        <f>TEXTJOIN("; ",TRUE,[@flag_oras],[@flag_tva],[@flag_scadenta],[@flag_zi])</f>
        <v/>
      </c>
    </row>
    <row r="1485">
      <c r="A1485" t="inlineStr">
        <is>
          <t>F-2025-01484</t>
        </is>
      </c>
      <c r="B1485" s="12" t="n">
        <v>46041</v>
      </c>
      <c r="C1485" t="inlineStr">
        <is>
          <t>SC DACTECH SOLUTIONS SRL</t>
        </is>
      </c>
      <c r="D1485" t="inlineStr">
        <is>
          <t>Argeș</t>
        </is>
      </c>
      <c r="E1485" t="inlineStr">
        <is>
          <t>PRD-001</t>
        </is>
      </c>
      <c r="F1485" t="inlineStr">
        <is>
          <t>Switch gigabit 24p</t>
        </is>
      </c>
      <c r="G1485" t="inlineStr">
        <is>
          <t>Hardware IT</t>
        </is>
      </c>
      <c r="H1485" t="n">
        <v>3</v>
      </c>
      <c r="I1485" t="n">
        <v>2388.63</v>
      </c>
      <c r="J1485" t="n">
        <v>7165.89</v>
      </c>
      <c r="K1485" s="13" t="n">
        <v>0.19</v>
      </c>
      <c r="L1485" t="n">
        <v>1361.52</v>
      </c>
      <c r="M1485" t="n">
        <v>8527.41</v>
      </c>
      <c r="N1485" t="inlineStr">
        <is>
          <t>RON</t>
        </is>
      </c>
      <c r="O1485" t="inlineStr">
        <is>
          <t>Pitești</t>
        </is>
      </c>
      <c r="P1485" s="12" t="n">
        <v>46086</v>
      </c>
      <c r="Q1485">
        <f>IF(COUNTIF(tbl_Localitati[oras_oficial],[@oras])=0,"ORAS NEALINIAT",IF(XLOOKUP([@oras],tbl_Localitati[oras_oficial],tbl_Localitati[judet],"?")&lt;&gt;[@judet],"JUDET NECORESPUNZATOR",""))</f>
        <v/>
      </c>
      <c r="R1485">
        <f>IF(XLOOKUP([@categorie],tbl_RegulriTVA[categorie],tbl_RegulriTVA[cota_legala],-1)&lt;&gt;[@cota_tva],"TVA GRESIT","")</f>
        <v/>
      </c>
      <c r="S1485">
        <f>IF([@data_scadentei]&lt;[@data_factura],"SCADENTA INAINTEA FACTURII","")</f>
        <v/>
      </c>
      <c r="T1485">
        <f>IF(NETWORKDAYS.INTL([@data_factura],[@data_factura],1,tbl_SarbatoriLegale[data])=0,"ZI NELUCRATOARE","")</f>
        <v/>
      </c>
      <c r="U1485">
        <f>IF([@motiv_anomalie]="","OK","DE INVESTIGAT")</f>
        <v/>
      </c>
      <c r="V1485">
        <f>TEXTJOIN("; ",TRUE,[@flag_oras],[@flag_tva],[@flag_scadenta],[@flag_zi])</f>
        <v/>
      </c>
    </row>
    <row r="1486">
      <c r="A1486" t="inlineStr">
        <is>
          <t>F-2025-01485</t>
        </is>
      </c>
      <c r="B1486" s="12" t="n">
        <v>46283</v>
      </c>
      <c r="C1486" t="inlineStr">
        <is>
          <t>SC METALPLAST INVEST SA</t>
        </is>
      </c>
      <c r="D1486" t="inlineStr">
        <is>
          <t>Cluj</t>
        </is>
      </c>
      <c r="E1486" t="inlineStr">
        <is>
          <t>PRD-009</t>
        </is>
      </c>
      <c r="F1486" t="inlineStr">
        <is>
          <t>Audit infrastructura</t>
        </is>
      </c>
      <c r="G1486" t="inlineStr">
        <is>
          <t>Servicii consultanță</t>
        </is>
      </c>
      <c r="H1486" t="n">
        <v>10</v>
      </c>
      <c r="I1486" t="n">
        <v>26.91</v>
      </c>
      <c r="J1486" t="n">
        <v>269.1</v>
      </c>
      <c r="K1486" s="13" t="n">
        <v>0.19</v>
      </c>
      <c r="L1486" t="n">
        <v>51.13</v>
      </c>
      <c r="M1486" t="n">
        <v>320.23</v>
      </c>
      <c r="N1486" t="inlineStr">
        <is>
          <t>RON</t>
        </is>
      </c>
      <c r="O1486" t="inlineStr">
        <is>
          <t>Turda</t>
        </is>
      </c>
      <c r="P1486" s="12" t="n">
        <v>46313</v>
      </c>
      <c r="Q1486">
        <f>IF(COUNTIF(tbl_Localitati[oras_oficial],[@oras])=0,"ORAS NEALINIAT",IF(XLOOKUP([@oras],tbl_Localitati[oras_oficial],tbl_Localitati[judet],"?")&lt;&gt;[@judet],"JUDET NECORESPUNZATOR",""))</f>
        <v/>
      </c>
      <c r="R1486">
        <f>IF(XLOOKUP([@categorie],tbl_RegulriTVA[categorie],tbl_RegulriTVA[cota_legala],-1)&lt;&gt;[@cota_tva],"TVA GRESIT","")</f>
        <v/>
      </c>
      <c r="S1486">
        <f>IF([@data_scadentei]&lt;[@data_factura],"SCADENTA INAINTEA FACTURII","")</f>
        <v/>
      </c>
      <c r="T1486">
        <f>IF(NETWORKDAYS.INTL([@data_factura],[@data_factura],1,tbl_SarbatoriLegale[data])=0,"ZI NELUCRATOARE","")</f>
        <v/>
      </c>
      <c r="U1486">
        <f>IF([@motiv_anomalie]="","OK","DE INVESTIGAT")</f>
        <v/>
      </c>
      <c r="V1486">
        <f>TEXTJOIN("; ",TRUE,[@flag_oras],[@flag_tva],[@flag_scadenta],[@flag_zi])</f>
        <v/>
      </c>
    </row>
    <row r="1487">
      <c r="A1487" t="inlineStr">
        <is>
          <t>F-2025-01486</t>
        </is>
      </c>
      <c r="B1487" s="12" t="n">
        <v>46042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Apa plata bax</t>
        </is>
      </c>
      <c r="G1487" t="inlineStr">
        <is>
          <t>Alimente</t>
        </is>
      </c>
      <c r="H1487" t="n">
        <v>1</v>
      </c>
      <c r="I1487" t="n">
        <v>2516.68</v>
      </c>
      <c r="J1487" t="n">
        <v>2516.68</v>
      </c>
      <c r="K1487" s="13" t="n">
        <v>0.09</v>
      </c>
      <c r="L1487" t="n">
        <v>226.5</v>
      </c>
      <c r="M1487" t="n">
        <v>2743.18</v>
      </c>
      <c r="N1487" t="inlineStr">
        <is>
          <t>RON</t>
        </is>
      </c>
      <c r="O1487" t="inlineStr">
        <is>
          <t>Sibiu</t>
        </is>
      </c>
      <c r="P1487" s="12" t="n">
        <v>46072</v>
      </c>
      <c r="Q1487">
        <f>IF(COUNTIF(tbl_Localitati[oras_oficial],[@oras])=0,"ORAS NEALINIAT",IF(XLOOKUP([@oras],tbl_Localitati[oras_oficial],tbl_Localitati[judet],"?")&lt;&gt;[@judet],"JUDET NECORESPUNZATOR",""))</f>
        <v/>
      </c>
      <c r="R1487">
        <f>IF(XLOOKUP([@categorie],tbl_RegulriTVA[categorie],tbl_RegulriTVA[cota_legala],-1)&lt;&gt;[@cota_tva],"TVA GRESIT","")</f>
        <v/>
      </c>
      <c r="S1487">
        <f>IF([@data_scadentei]&lt;[@data_factura],"SCADENTA INAINTEA FACTURII","")</f>
        <v/>
      </c>
      <c r="T1487">
        <f>IF(NETWORKDAYS.INTL([@data_factura],[@data_factura],1,tbl_SarbatoriLegale[data])=0,"ZI NELUCRATOARE","")</f>
        <v/>
      </c>
      <c r="U1487">
        <f>IF([@motiv_anomalie]="","OK","DE INVESTIGAT")</f>
        <v/>
      </c>
      <c r="V1487">
        <f>TEXTJOIN("; ",TRUE,[@flag_oras],[@flag_tva],[@flag_scadenta],[@flag_zi])</f>
        <v/>
      </c>
    </row>
    <row r="1488">
      <c r="A1488" t="inlineStr">
        <is>
          <t>F-2025-01487</t>
        </is>
      </c>
      <c r="B1488" s="12" t="n">
        <v>46027</v>
      </c>
      <c r="C1488" t="inlineStr">
        <is>
          <t>SC RAPID LOGISTIC SA</t>
        </is>
      </c>
      <c r="D1488" t="inlineStr">
        <is>
          <t>Prahova</t>
        </is>
      </c>
      <c r="E1488" t="inlineStr">
        <is>
          <t>PRD-009</t>
        </is>
      </c>
      <c r="F1488" t="inlineStr">
        <is>
          <t>Cafea boabe 1kg</t>
        </is>
      </c>
      <c r="G1488" t="inlineStr">
        <is>
          <t>Alimente</t>
        </is>
      </c>
      <c r="H1488" t="n">
        <v>10</v>
      </c>
      <c r="I1488" t="n">
        <v>28.74</v>
      </c>
      <c r="J1488" t="n">
        <v>287.4</v>
      </c>
      <c r="K1488" s="13" t="n">
        <v>0.09</v>
      </c>
      <c r="L1488" t="n">
        <v>25.87</v>
      </c>
      <c r="M1488" t="n">
        <v>313.27</v>
      </c>
      <c r="N1488" t="inlineStr">
        <is>
          <t>RON</t>
        </is>
      </c>
      <c r="O1488" t="inlineStr">
        <is>
          <t>Ploiești</t>
        </is>
      </c>
      <c r="P1488" s="12" t="n">
        <v>46057</v>
      </c>
      <c r="Q1488">
        <f>IF(COUNTIF(tbl_Localitati[oras_oficial],[@oras])=0,"ORAS NEALINIAT",IF(XLOOKUP([@oras],tbl_Localitati[oras_oficial],tbl_Localitati[judet],"?")&lt;&gt;[@judet],"JUDET NECORESPUNZATOR",""))</f>
        <v/>
      </c>
      <c r="R1488">
        <f>IF(XLOOKUP([@categorie],tbl_RegulriTVA[categorie],tbl_RegulriTVA[cota_legala],-1)&lt;&gt;[@cota_tva],"TVA GRESIT","")</f>
        <v/>
      </c>
      <c r="S1488">
        <f>IF([@data_scadentei]&lt;[@data_factura],"SCADENTA INAINTEA FACTURII","")</f>
        <v/>
      </c>
      <c r="T1488">
        <f>IF(NETWORKDAYS.INTL([@data_factura],[@data_factura],1,tbl_SarbatoriLegale[data])=0,"ZI NELUCRATOARE","")</f>
        <v/>
      </c>
      <c r="U1488">
        <f>IF([@motiv_anomalie]="","OK","DE INVESTIGAT")</f>
        <v/>
      </c>
      <c r="V1488">
        <f>TEXTJOIN("; ",TRUE,[@flag_oras],[@flag_tva],[@flag_scadenta],[@flag_zi])</f>
        <v/>
      </c>
    </row>
    <row r="1489">
      <c r="A1489" t="inlineStr">
        <is>
          <t>F-2025-01488</t>
        </is>
      </c>
      <c r="B1489" s="12" t="n">
        <v>46314</v>
      </c>
      <c r="C1489" t="inlineStr">
        <is>
          <t>SC AROMET TRADING SRL</t>
        </is>
      </c>
      <c r="D1489" t="inlineStr">
        <is>
          <t>Alba</t>
        </is>
      </c>
      <c r="E1489" t="inlineStr">
        <is>
          <t>PRD-001</t>
        </is>
      </c>
      <c r="F1489" t="inlineStr">
        <is>
          <t>Licenta ERP contabilitate</t>
        </is>
      </c>
      <c r="G1489" t="inlineStr">
        <is>
          <t>Licențe software</t>
        </is>
      </c>
      <c r="H1489" t="n">
        <v>1</v>
      </c>
      <c r="I1489" t="n">
        <v>2476.44</v>
      </c>
      <c r="J1489" t="n">
        <v>2476.44</v>
      </c>
      <c r="K1489" s="13" t="n">
        <v>0.19</v>
      </c>
      <c r="L1489" t="n">
        <v>470.52</v>
      </c>
      <c r="M1489" t="n">
        <v>2946.96</v>
      </c>
      <c r="N1489" t="inlineStr">
        <is>
          <t>RON</t>
        </is>
      </c>
      <c r="O1489" t="inlineStr">
        <is>
          <t>Alba Iulia</t>
        </is>
      </c>
      <c r="P1489" s="12" t="n">
        <v>46344</v>
      </c>
      <c r="Q1489">
        <f>IF(COUNTIF(tbl_Localitati[oras_oficial],[@oras])=0,"ORAS NEALINIAT",IF(XLOOKUP([@oras],tbl_Localitati[oras_oficial],tbl_Localitati[judet],"?")&lt;&gt;[@judet],"JUDET NECORESPUNZATOR",""))</f>
        <v/>
      </c>
      <c r="R1489">
        <f>IF(XLOOKUP([@categorie],tbl_RegulriTVA[categorie],tbl_RegulriTVA[cota_legala],-1)&lt;&gt;[@cota_tva],"TVA GRESIT","")</f>
        <v/>
      </c>
      <c r="S1489">
        <f>IF([@data_scadentei]&lt;[@data_factura],"SCADENTA INAINTEA FACTURII","")</f>
        <v/>
      </c>
      <c r="T1489">
        <f>IF(NETWORKDAYS.INTL([@data_factura],[@data_factura],1,tbl_SarbatoriLegale[data])=0,"ZI NELUCRATOARE","")</f>
        <v/>
      </c>
      <c r="U1489">
        <f>IF([@motiv_anomalie]="","OK","DE INVESTIGAT")</f>
        <v/>
      </c>
      <c r="V1489">
        <f>TEXTJOIN("; ",TRUE,[@flag_oras],[@flag_tva],[@flag_scadenta],[@flag_zi])</f>
        <v/>
      </c>
    </row>
    <row r="1490">
      <c r="A1490" t="inlineStr">
        <is>
          <t>F-2025-01489</t>
        </is>
      </c>
      <c r="B1490" s="12" t="n">
        <v>46176</v>
      </c>
      <c r="C1490" t="inlineStr">
        <is>
          <t>SC DACTECH SOLUTIONS SRL</t>
        </is>
      </c>
      <c r="D1490" t="inlineStr">
        <is>
          <t>Argeș</t>
        </is>
      </c>
      <c r="E1490" t="inlineStr">
        <is>
          <t>PRD-005</t>
        </is>
      </c>
      <c r="F1490" t="inlineStr">
        <is>
          <t>Apa plata bax</t>
        </is>
      </c>
      <c r="G1490" t="inlineStr">
        <is>
          <t>Alimente</t>
        </is>
      </c>
      <c r="H1490" t="n">
        <v>3</v>
      </c>
      <c r="I1490" t="n">
        <v>237.52</v>
      </c>
      <c r="J1490" t="n">
        <v>712.5599999999999</v>
      </c>
      <c r="K1490" s="13" t="n">
        <v>0.09</v>
      </c>
      <c r="L1490" t="n">
        <v>64.13</v>
      </c>
      <c r="M1490" t="n">
        <v>776.6900000000001</v>
      </c>
      <c r="N1490" t="inlineStr">
        <is>
          <t>RON</t>
        </is>
      </c>
      <c r="O1490" t="inlineStr">
        <is>
          <t>Pitești</t>
        </is>
      </c>
      <c r="P1490" s="12" t="n">
        <v>46206</v>
      </c>
      <c r="Q1490">
        <f>IF(COUNTIF(tbl_Localitati[oras_oficial],[@oras])=0,"ORAS NEALINIAT",IF(XLOOKUP([@oras],tbl_Localitati[oras_oficial],tbl_Localitati[judet],"?")&lt;&gt;[@judet],"JUDET NECORESPUNZATOR",""))</f>
        <v/>
      </c>
      <c r="R1490">
        <f>IF(XLOOKUP([@categorie],tbl_RegulriTVA[categorie],tbl_RegulriTVA[cota_legala],-1)&lt;&gt;[@cota_tva],"TVA GRESIT","")</f>
        <v/>
      </c>
      <c r="S1490">
        <f>IF([@data_scadentei]&lt;[@data_factura],"SCADENTA INAINTEA FACTURII","")</f>
        <v/>
      </c>
      <c r="T1490">
        <f>IF(NETWORKDAYS.INTL([@data_factura],[@data_factura],1,tbl_SarbatoriLegale[data])=0,"ZI NELUCRATOARE","")</f>
        <v/>
      </c>
      <c r="U1490">
        <f>IF([@motiv_anomalie]="","OK","DE INVESTIGAT")</f>
        <v/>
      </c>
      <c r="V1490">
        <f>TEXTJOIN("; ",TRUE,[@flag_oras],[@flag_tva],[@flag_scadenta],[@flag_zi])</f>
        <v/>
      </c>
    </row>
    <row r="1491">
      <c r="A1491" t="inlineStr">
        <is>
          <t>F-2025-01490</t>
        </is>
      </c>
      <c r="B1491" s="12" t="n">
        <v>46034</v>
      </c>
      <c r="C1491" t="inlineStr">
        <is>
          <t>SC FARMAVITAL DISTRIBUTIE SA</t>
        </is>
      </c>
      <c r="D1491" t="inlineStr">
        <is>
          <t>Bihor</t>
        </is>
      </c>
      <c r="E1491" t="inlineStr">
        <is>
          <t>PRD-009</t>
        </is>
      </c>
      <c r="F1491" t="inlineStr">
        <is>
          <t>Consultanta implementare IT</t>
        </is>
      </c>
      <c r="G1491" t="inlineStr">
        <is>
          <t>Servicii consultanță</t>
        </is>
      </c>
      <c r="H1491" t="n">
        <v>50</v>
      </c>
      <c r="I1491" t="n">
        <v>28.13</v>
      </c>
      <c r="J1491" t="n">
        <v>1406.5</v>
      </c>
      <c r="K1491" s="13" t="n">
        <v>0.19</v>
      </c>
      <c r="L1491" t="n">
        <v>267.24</v>
      </c>
      <c r="M1491" t="n">
        <v>1673.74</v>
      </c>
      <c r="N1491" t="inlineStr">
        <is>
          <t>RON</t>
        </is>
      </c>
      <c r="O1491" t="inlineStr">
        <is>
          <t>Oradea</t>
        </is>
      </c>
      <c r="P1491" s="12" t="n">
        <v>46094</v>
      </c>
      <c r="Q1491">
        <f>IF(COUNTIF(tbl_Localitati[oras_oficial],[@oras])=0,"ORAS NEALINIAT",IF(XLOOKUP([@oras],tbl_Localitati[oras_oficial],tbl_Localitati[judet],"?")&lt;&gt;[@judet],"JUDET NECORESPUNZATOR",""))</f>
        <v/>
      </c>
      <c r="R1491">
        <f>IF(XLOOKUP([@categorie],tbl_RegulriTVA[categorie],tbl_RegulriTVA[cota_legala],-1)&lt;&gt;[@cota_tva],"TVA GRESIT","")</f>
        <v/>
      </c>
      <c r="S1491">
        <f>IF([@data_scadentei]&lt;[@data_factura],"SCADENTA INAINTEA FACTURII","")</f>
        <v/>
      </c>
      <c r="T1491">
        <f>IF(NETWORKDAYS.INTL([@data_factura],[@data_factura],1,tbl_SarbatoriLegale[data])=0,"ZI NELUCRATOARE","")</f>
        <v/>
      </c>
      <c r="U1491">
        <f>IF([@motiv_anomalie]="","OK","DE INVESTIGAT")</f>
        <v/>
      </c>
      <c r="V1491">
        <f>TEXTJOIN("; ",TRUE,[@flag_oras],[@flag_tva],[@flag_scadenta],[@flag_zi])</f>
        <v/>
      </c>
    </row>
    <row r="1492">
      <c r="A1492" t="inlineStr">
        <is>
          <t>F-2025-01491</t>
        </is>
      </c>
      <c r="B1492" s="12" t="n">
        <v>46231</v>
      </c>
      <c r="C1492" t="inlineStr">
        <is>
          <t>SC NORDIS DISTRIBUTIE SRL</t>
        </is>
      </c>
      <c r="D1492" t="inlineStr">
        <is>
          <t>Constanța</t>
        </is>
      </c>
      <c r="E1492" t="inlineStr">
        <is>
          <t>PRD-004</t>
        </is>
      </c>
      <c r="F1492" t="inlineStr">
        <is>
          <t>Switch gigabit 24p</t>
        </is>
      </c>
      <c r="G1492" t="inlineStr">
        <is>
          <t>Hardware IT</t>
        </is>
      </c>
      <c r="H1492" t="n">
        <v>1</v>
      </c>
      <c r="I1492" t="n">
        <v>869.59</v>
      </c>
      <c r="J1492" t="n">
        <v>869.59</v>
      </c>
      <c r="K1492" s="13" t="n">
        <v>0.19</v>
      </c>
      <c r="L1492" t="n">
        <v>165.22</v>
      </c>
      <c r="M1492" t="n">
        <v>1034.81</v>
      </c>
      <c r="N1492" t="inlineStr">
        <is>
          <t>RON</t>
        </is>
      </c>
      <c r="O1492" t="inlineStr">
        <is>
          <t>Mangalia</t>
        </is>
      </c>
      <c r="P1492" s="12" t="n">
        <v>46261</v>
      </c>
      <c r="Q1492">
        <f>IF(COUNTIF(tbl_Localitati[oras_oficial],[@oras])=0,"ORAS NEALINIAT",IF(XLOOKUP([@oras],tbl_Localitati[oras_oficial],tbl_Localitati[judet],"?")&lt;&gt;[@judet],"JUDET NECORESPUNZATOR",""))</f>
        <v/>
      </c>
      <c r="R1492">
        <f>IF(XLOOKUP([@categorie],tbl_RegulriTVA[categorie],tbl_RegulriTVA[cota_legala],-1)&lt;&gt;[@cota_tva],"TVA GRESIT","")</f>
        <v/>
      </c>
      <c r="S1492">
        <f>IF([@data_scadentei]&lt;[@data_factura],"SCADENTA INAINTEA FACTURII","")</f>
        <v/>
      </c>
      <c r="T1492">
        <f>IF(NETWORKDAYS.INTL([@data_factura],[@data_factura],1,tbl_SarbatoriLegale[data])=0,"ZI NELUCRATOARE","")</f>
        <v/>
      </c>
      <c r="U1492">
        <f>IF([@motiv_anomalie]="","OK","DE INVESTIGAT")</f>
        <v/>
      </c>
      <c r="V1492">
        <f>TEXTJOIN("; ",TRUE,[@flag_oras],[@flag_tva],[@flag_scadenta],[@flag_zi])</f>
        <v/>
      </c>
    </row>
    <row r="1493">
      <c r="A1493" t="inlineStr">
        <is>
          <t>F-2025-01492</t>
        </is>
      </c>
      <c r="B1493" s="12" t="n">
        <v>46157</v>
      </c>
      <c r="C1493" t="inlineStr">
        <is>
          <t>SC RAPID LOGISTIC SA</t>
        </is>
      </c>
      <c r="D1493" t="inlineStr">
        <is>
          <t>Prahova</t>
        </is>
      </c>
      <c r="E1493" t="inlineStr">
        <is>
          <t>PRD-011</t>
        </is>
      </c>
      <c r="F1493" t="inlineStr">
        <is>
          <t>Suport tehnic anual</t>
        </is>
      </c>
      <c r="G1493" t="inlineStr">
        <is>
          <t>Servicii consultanță</t>
        </is>
      </c>
      <c r="H1493" t="n">
        <v>5</v>
      </c>
      <c r="I1493" t="n">
        <v>42.88</v>
      </c>
      <c r="J1493" t="n">
        <v>214.4</v>
      </c>
      <c r="K1493" s="13" t="n">
        <v>0.19</v>
      </c>
      <c r="L1493" t="n">
        <v>40.74</v>
      </c>
      <c r="M1493" t="n">
        <v>255.14</v>
      </c>
      <c r="N1493" t="inlineStr">
        <is>
          <t>RON</t>
        </is>
      </c>
      <c r="O1493" t="inlineStr">
        <is>
          <t>Ploiești</t>
        </is>
      </c>
      <c r="P1493" s="12" t="n">
        <v>46187</v>
      </c>
      <c r="Q1493">
        <f>IF(COUNTIF(tbl_Localitati[oras_oficial],[@oras])=0,"ORAS NEALINIAT",IF(XLOOKUP([@oras],tbl_Localitati[oras_oficial],tbl_Localitati[judet],"?")&lt;&gt;[@judet],"JUDET NECORESPUNZATOR",""))</f>
        <v/>
      </c>
      <c r="R1493">
        <f>IF(XLOOKUP([@categorie],tbl_RegulriTVA[categorie],tbl_RegulriTVA[cota_legala],-1)&lt;&gt;[@cota_tva],"TVA GRESIT","")</f>
        <v/>
      </c>
      <c r="S1493">
        <f>IF([@data_scadentei]&lt;[@data_factura],"SCADENTA INAINTEA FACTURII","")</f>
        <v/>
      </c>
      <c r="T1493">
        <f>IF(NETWORKDAYS.INTL([@data_factura],[@data_factura],1,tbl_SarbatoriLegale[data])=0,"ZI NELUCRATOARE","")</f>
        <v/>
      </c>
      <c r="U1493">
        <f>IF([@motiv_anomalie]="","OK","DE INVESTIGAT")</f>
        <v/>
      </c>
      <c r="V1493">
        <f>TEXTJOIN("; ",TRUE,[@flag_oras],[@flag_tva],[@flag_scadenta],[@flag_zi])</f>
        <v/>
      </c>
    </row>
    <row r="1494">
      <c r="A1494" t="inlineStr">
        <is>
          <t>F-2025-01493</t>
        </is>
      </c>
      <c r="B1494" s="12" t="n">
        <v>46252</v>
      </c>
      <c r="C1494" t="inlineStr">
        <is>
          <t>SC SOLARIS ENERGY SRL</t>
        </is>
      </c>
      <c r="D1494" t="inlineStr">
        <is>
          <t>Prahova</t>
        </is>
      </c>
      <c r="E1494" t="inlineStr">
        <is>
          <t>PRD-010</t>
        </is>
      </c>
      <c r="F1494" t="inlineStr">
        <is>
          <t>Server rack 1U</t>
        </is>
      </c>
      <c r="G1494" t="inlineStr">
        <is>
          <t>Hardware IT</t>
        </is>
      </c>
      <c r="H1494" t="n">
        <v>50</v>
      </c>
      <c r="I1494" t="n">
        <v>353.35</v>
      </c>
      <c r="J1494" t="n">
        <v>17667.5</v>
      </c>
      <c r="K1494" s="13" t="n">
        <v>0.19</v>
      </c>
      <c r="L1494" t="n">
        <v>3356.82</v>
      </c>
      <c r="M1494" t="n">
        <v>21024.32</v>
      </c>
      <c r="N1494" t="inlineStr">
        <is>
          <t>RON</t>
        </is>
      </c>
      <c r="O1494" t="inlineStr">
        <is>
          <t>Câmpina</t>
        </is>
      </c>
      <c r="P1494" s="12" t="n">
        <v>46282</v>
      </c>
      <c r="Q1494">
        <f>IF(COUNTIF(tbl_Localitati[oras_oficial],[@oras])=0,"ORAS NEALINIAT",IF(XLOOKUP([@oras],tbl_Localitati[oras_oficial],tbl_Localitati[judet],"?")&lt;&gt;[@judet],"JUDET NECORESPUNZATOR",""))</f>
        <v/>
      </c>
      <c r="R1494">
        <f>IF(XLOOKUP([@categorie],tbl_RegulriTVA[categorie],tbl_RegulriTVA[cota_legala],-1)&lt;&gt;[@cota_tva],"TVA GRESIT","")</f>
        <v/>
      </c>
      <c r="S1494">
        <f>IF([@data_scadentei]&lt;[@data_factura],"SCADENTA INAINTEA FACTURII","")</f>
        <v/>
      </c>
      <c r="T1494">
        <f>IF(NETWORKDAYS.INTL([@data_factura],[@data_factura],1,tbl_SarbatoriLegale[data])=0,"ZI NELUCRATOARE","")</f>
        <v/>
      </c>
      <c r="U1494">
        <f>IF([@motiv_anomalie]="","OK","DE INVESTIGAT")</f>
        <v/>
      </c>
      <c r="V1494">
        <f>TEXTJOIN("; ",TRUE,[@flag_oras],[@flag_tva],[@flag_scadenta],[@flag_zi])</f>
        <v/>
      </c>
    </row>
    <row r="1495">
      <c r="A1495" t="inlineStr">
        <is>
          <t>F-2025-01494</t>
        </is>
      </c>
      <c r="B1495" s="12" t="n">
        <v>46240</v>
      </c>
      <c r="C1495" t="inlineStr">
        <is>
          <t>SC AROMET TRADING SRL</t>
        </is>
      </c>
      <c r="D1495" t="inlineStr">
        <is>
          <t>Alba</t>
        </is>
      </c>
      <c r="E1495" t="inlineStr">
        <is>
          <t>PRD-011</t>
        </is>
      </c>
      <c r="F1495" t="inlineStr">
        <is>
          <t>Videoproiector sala</t>
        </is>
      </c>
      <c r="G1495" t="inlineStr">
        <is>
          <t>Echipamente birou</t>
        </is>
      </c>
      <c r="H1495" t="n">
        <v>10</v>
      </c>
      <c r="I1495" t="n">
        <v>44.24</v>
      </c>
      <c r="J1495" t="n">
        <v>442.4</v>
      </c>
      <c r="K1495" s="13" t="n">
        <v>0.19</v>
      </c>
      <c r="L1495" t="n">
        <v>84.06</v>
      </c>
      <c r="M1495" t="n">
        <v>526.46</v>
      </c>
      <c r="N1495" t="inlineStr">
        <is>
          <t>RON</t>
        </is>
      </c>
      <c r="O1495" t="inlineStr">
        <is>
          <t>Alba Iulia</t>
        </is>
      </c>
      <c r="P1495" s="12" t="n">
        <v>46255</v>
      </c>
      <c r="Q1495">
        <f>IF(COUNTIF(tbl_Localitati[oras_oficial],[@oras])=0,"ORAS NEALINIAT",IF(XLOOKUP([@oras],tbl_Localitati[oras_oficial],tbl_Localitati[judet],"?")&lt;&gt;[@judet],"JUDET NECORESPUNZATOR",""))</f>
        <v/>
      </c>
      <c r="R1495">
        <f>IF(XLOOKUP([@categorie],tbl_RegulriTVA[categorie],tbl_RegulriTVA[cota_legala],-1)&lt;&gt;[@cota_tva],"TVA GRESIT","")</f>
        <v/>
      </c>
      <c r="S1495">
        <f>IF([@data_scadentei]&lt;[@data_factura],"SCADENTA INAINTEA FACTURII","")</f>
        <v/>
      </c>
      <c r="T1495">
        <f>IF(NETWORKDAYS.INTL([@data_factura],[@data_factura],1,tbl_SarbatoriLegale[data])=0,"ZI NELUCRATOARE","")</f>
        <v/>
      </c>
      <c r="U1495">
        <f>IF([@motiv_anomalie]="","OK","DE INVESTIGAT")</f>
        <v/>
      </c>
      <c r="V1495">
        <f>TEXTJOIN("; ",TRUE,[@flag_oras],[@flag_tva],[@flag_scadenta],[@flag_zi])</f>
        <v/>
      </c>
    </row>
    <row r="1496">
      <c r="A1496" t="inlineStr">
        <is>
          <t>F-2025-01495</t>
        </is>
      </c>
      <c r="B1496" s="12" t="n">
        <v>46181</v>
      </c>
      <c r="C1496" t="inlineStr">
        <is>
          <t>SC DACTECH SOLUTIONS SRL</t>
        </is>
      </c>
      <c r="D1496" t="inlineStr">
        <is>
          <t>Argeș</t>
        </is>
      </c>
      <c r="E1496" t="inlineStr">
        <is>
          <t>PRD-007</t>
        </is>
      </c>
      <c r="F1496" t="inlineStr">
        <is>
          <t>Laptop business 15"</t>
        </is>
      </c>
      <c r="G1496" t="inlineStr">
        <is>
          <t>Hardware IT</t>
        </is>
      </c>
      <c r="H1496" t="n">
        <v>5</v>
      </c>
      <c r="I1496" t="n">
        <v>187.05</v>
      </c>
      <c r="J1496" t="n">
        <v>935.25</v>
      </c>
      <c r="K1496" s="13" t="n">
        <v>0.19</v>
      </c>
      <c r="L1496" t="n">
        <v>177.7</v>
      </c>
      <c r="M1496" t="n">
        <v>1112.95</v>
      </c>
      <c r="N1496" t="inlineStr">
        <is>
          <t>RON</t>
        </is>
      </c>
      <c r="O1496" t="inlineStr">
        <is>
          <t>Pitești</t>
        </is>
      </c>
      <c r="P1496" s="12" t="n">
        <v>46226</v>
      </c>
      <c r="Q1496">
        <f>IF(COUNTIF(tbl_Localitati[oras_oficial],[@oras])=0,"ORAS NEALINIAT",IF(XLOOKUP([@oras],tbl_Localitati[oras_oficial],tbl_Localitati[judet],"?")&lt;&gt;[@judet],"JUDET NECORESPUNZATOR",""))</f>
        <v/>
      </c>
      <c r="R1496">
        <f>IF(XLOOKUP([@categorie],tbl_RegulriTVA[categorie],tbl_RegulriTVA[cota_legala],-1)&lt;&gt;[@cota_tva],"TVA GRESIT","")</f>
        <v/>
      </c>
      <c r="S1496">
        <f>IF([@data_scadentei]&lt;[@data_factura],"SCADENTA INAINTEA FACTURII","")</f>
        <v/>
      </c>
      <c r="T1496">
        <f>IF(NETWORKDAYS.INTL([@data_factura],[@data_factura],1,tbl_SarbatoriLegale[data])=0,"ZI NELUCRATOARE","")</f>
        <v/>
      </c>
      <c r="U1496">
        <f>IF([@motiv_anomalie]="","OK","DE INVESTIGAT")</f>
        <v/>
      </c>
      <c r="V1496">
        <f>TEXTJOIN("; ",TRUE,[@flag_oras],[@flag_tva],[@flag_scadenta],[@flag_zi])</f>
        <v/>
      </c>
    </row>
    <row r="1497">
      <c r="A1497" t="inlineStr">
        <is>
          <t>F-2025-01496</t>
        </is>
      </c>
      <c r="B1497" s="12" t="n">
        <v>46055</v>
      </c>
      <c r="C1497" t="inlineStr">
        <is>
          <t>SC VECTOR CONSULT SRL</t>
        </is>
      </c>
      <c r="D1497" t="inlineStr">
        <is>
          <t>Timiș</t>
        </is>
      </c>
      <c r="E1497" t="inlineStr">
        <is>
          <t>PRD-004</t>
        </is>
      </c>
      <c r="F1497" t="inlineStr">
        <is>
          <t>Suport tehnic anual</t>
        </is>
      </c>
      <c r="G1497" t="inlineStr">
        <is>
          <t>Servicii consultanță</t>
        </is>
      </c>
      <c r="H1497" t="n">
        <v>2</v>
      </c>
      <c r="I1497" t="n">
        <v>864.39</v>
      </c>
      <c r="J1497" t="n">
        <v>1728.78</v>
      </c>
      <c r="K1497" s="13" t="n">
        <v>0.19</v>
      </c>
      <c r="L1497" t="n">
        <v>328.47</v>
      </c>
      <c r="M1497" t="n">
        <v>2057.25</v>
      </c>
      <c r="N1497" t="inlineStr">
        <is>
          <t>RON</t>
        </is>
      </c>
      <c r="O1497" t="inlineStr">
        <is>
          <t>Timișoara</t>
        </is>
      </c>
      <c r="P1497" s="12" t="n">
        <v>46100</v>
      </c>
      <c r="Q1497">
        <f>IF(COUNTIF(tbl_Localitati[oras_oficial],[@oras])=0,"ORAS NEALINIAT",IF(XLOOKUP([@oras],tbl_Localitati[oras_oficial],tbl_Localitati[judet],"?")&lt;&gt;[@judet],"JUDET NECORESPUNZATOR",""))</f>
        <v/>
      </c>
      <c r="R1497">
        <f>IF(XLOOKUP([@categorie],tbl_RegulriTVA[categorie],tbl_RegulriTVA[cota_legala],-1)&lt;&gt;[@cota_tva],"TVA GRESIT","")</f>
        <v/>
      </c>
      <c r="S1497">
        <f>IF([@data_scadentei]&lt;[@data_factura],"SCADENTA INAINTEA FACTURII","")</f>
        <v/>
      </c>
      <c r="T1497">
        <f>IF(NETWORKDAYS.INTL([@data_factura],[@data_factura],1,tbl_SarbatoriLegale[data])=0,"ZI NELUCRATOARE","")</f>
        <v/>
      </c>
      <c r="U1497">
        <f>IF([@motiv_anomalie]="","OK","DE INVESTIGAT")</f>
        <v/>
      </c>
      <c r="V1497">
        <f>TEXTJOIN("; ",TRUE,[@flag_oras],[@flag_tva],[@flag_scadenta],[@flag_zi])</f>
        <v/>
      </c>
    </row>
    <row r="1498">
      <c r="A1498" t="inlineStr">
        <is>
          <t>F-2025-01497</t>
        </is>
      </c>
      <c r="B1498" s="12" t="n">
        <v>46377</v>
      </c>
      <c r="C1498" t="inlineStr">
        <is>
          <t>SC ELECTROBUILD SRL</t>
        </is>
      </c>
      <c r="D1498" t="inlineStr">
        <is>
          <t>Bacău</t>
        </is>
      </c>
      <c r="E1498" t="inlineStr">
        <is>
          <t>PRD-002</t>
        </is>
      </c>
      <c r="F1498" t="inlineStr">
        <is>
          <t>Licenta ERP contabilitate</t>
        </is>
      </c>
      <c r="G1498" t="inlineStr">
        <is>
          <t>Licențe software</t>
        </is>
      </c>
      <c r="H1498" t="n">
        <v>2</v>
      </c>
      <c r="I1498" t="n">
        <v>1136.14</v>
      </c>
      <c r="J1498" t="n">
        <v>2272.28</v>
      </c>
      <c r="K1498" s="13" t="n">
        <v>0.19</v>
      </c>
      <c r="L1498" t="n">
        <v>431.73</v>
      </c>
      <c r="M1498" t="n">
        <v>2704.01</v>
      </c>
      <c r="N1498" t="inlineStr">
        <is>
          <t>RON</t>
        </is>
      </c>
      <c r="O1498" t="inlineStr">
        <is>
          <t>Bacău</t>
        </is>
      </c>
      <c r="P1498" s="12" t="n">
        <v>46392</v>
      </c>
      <c r="Q1498">
        <f>IF(COUNTIF(tbl_Localitati[oras_oficial],[@oras])=0,"ORAS NEALINIAT",IF(XLOOKUP([@oras],tbl_Localitati[oras_oficial],tbl_Localitati[judet],"?")&lt;&gt;[@judet],"JUDET NECORESPUNZATOR",""))</f>
        <v/>
      </c>
      <c r="R1498">
        <f>IF(XLOOKUP([@categorie],tbl_RegulriTVA[categorie],tbl_RegulriTVA[cota_legala],-1)&lt;&gt;[@cota_tva],"TVA GRESIT","")</f>
        <v/>
      </c>
      <c r="S1498">
        <f>IF([@data_scadentei]&lt;[@data_factura],"SCADENTA INAINTEA FACTURII","")</f>
        <v/>
      </c>
      <c r="T1498">
        <f>IF(NETWORKDAYS.INTL([@data_factura],[@data_factura],1,tbl_SarbatoriLegale[data])=0,"ZI NELUCRATOARE","")</f>
        <v/>
      </c>
      <c r="U1498">
        <f>IF([@motiv_anomalie]="","OK","DE INVESTIGAT")</f>
        <v/>
      </c>
      <c r="V1498">
        <f>TEXTJOIN("; ",TRUE,[@flag_oras],[@flag_tva],[@flag_scadenta],[@flag_zi])</f>
        <v/>
      </c>
    </row>
    <row r="1499">
      <c r="A1499" t="inlineStr">
        <is>
          <t>F-2025-01498</t>
        </is>
      </c>
      <c r="B1499" s="12" t="n">
        <v>46325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Suport tehnic anual</t>
        </is>
      </c>
      <c r="G1499" t="inlineStr">
        <is>
          <t>Servicii consultanță</t>
        </is>
      </c>
      <c r="H1499" t="n">
        <v>2</v>
      </c>
      <c r="I1499" t="n">
        <v>4349.46</v>
      </c>
      <c r="J1499" t="n">
        <v>8698.92</v>
      </c>
      <c r="K1499" s="13" t="n">
        <v>0.19</v>
      </c>
      <c r="L1499" t="n">
        <v>1652.79</v>
      </c>
      <c r="M1499" t="n">
        <v>10351.71</v>
      </c>
      <c r="N1499" t="inlineStr">
        <is>
          <t>RON</t>
        </is>
      </c>
      <c r="O1499" t="inlineStr">
        <is>
          <t>Sibiu</t>
        </is>
      </c>
      <c r="P1499" s="12" t="n">
        <v>46370</v>
      </c>
      <c r="Q1499">
        <f>IF(COUNTIF(tbl_Localitati[oras_oficial],[@oras])=0,"ORAS NEALINIAT",IF(XLOOKUP([@oras],tbl_Localitati[oras_oficial],tbl_Localitati[judet],"?")&lt;&gt;[@judet],"JUDET NECORESPUNZATOR",""))</f>
        <v/>
      </c>
      <c r="R1499">
        <f>IF(XLOOKUP([@categorie],tbl_RegulriTVA[categorie],tbl_RegulriTVA[cota_legala],-1)&lt;&gt;[@cota_tva],"TVA GRESIT","")</f>
        <v/>
      </c>
      <c r="S1499">
        <f>IF([@data_scadentei]&lt;[@data_factura],"SCADENTA INAINTEA FACTURII","")</f>
        <v/>
      </c>
      <c r="T1499">
        <f>IF(NETWORKDAYS.INTL([@data_factura],[@data_factura],1,tbl_SarbatoriLegale[data])=0,"ZI NELUCRATOARE","")</f>
        <v/>
      </c>
      <c r="U1499">
        <f>IF([@motiv_anomalie]="","OK","DE INVESTIGAT")</f>
        <v/>
      </c>
      <c r="V1499">
        <f>TEXTJOIN("; ",TRUE,[@flag_oras],[@flag_tva],[@flag_scadenta],[@flag_zi])</f>
        <v/>
      </c>
    </row>
    <row r="1500">
      <c r="A1500" t="inlineStr">
        <is>
          <t>F-2025-01499</t>
        </is>
      </c>
      <c r="B1500" s="12" t="n">
        <v>46192</v>
      </c>
      <c r="C1500" t="inlineStr">
        <is>
          <t>SC DACTECH SOLUTIONS SRL</t>
        </is>
      </c>
      <c r="D1500" t="inlineStr">
        <is>
          <t>Argeș</t>
        </is>
      </c>
      <c r="E1500" t="inlineStr">
        <is>
          <t>PRD-006</t>
        </is>
      </c>
      <c r="F1500" t="inlineStr">
        <is>
          <t>Termometru digital</t>
        </is>
      </c>
      <c r="G1500" t="inlineStr">
        <is>
          <t>Produse farmaceutice</t>
        </is>
      </c>
      <c r="H1500" t="n">
        <v>5</v>
      </c>
      <c r="I1500" t="n">
        <v>713.52</v>
      </c>
      <c r="J1500" t="n">
        <v>3567.6</v>
      </c>
      <c r="K1500" s="13" t="n">
        <v>0.09</v>
      </c>
      <c r="L1500" t="n">
        <v>321.08</v>
      </c>
      <c r="M1500" t="n">
        <v>3888.68</v>
      </c>
      <c r="N1500" t="inlineStr">
        <is>
          <t>RON</t>
        </is>
      </c>
      <c r="O1500" t="inlineStr">
        <is>
          <t>Pitești</t>
        </is>
      </c>
      <c r="P1500" s="12" t="n">
        <v>46222</v>
      </c>
      <c r="Q1500">
        <f>IF(COUNTIF(tbl_Localitati[oras_oficial],[@oras])=0,"ORAS NEALINIAT",IF(XLOOKUP([@oras],tbl_Localitati[oras_oficial],tbl_Localitati[judet],"?")&lt;&gt;[@judet],"JUDET NECORESPUNZATOR",""))</f>
        <v/>
      </c>
      <c r="R1500">
        <f>IF(XLOOKUP([@categorie],tbl_RegulriTVA[categorie],tbl_RegulriTVA[cota_legala],-1)&lt;&gt;[@cota_tva],"TVA GRESIT","")</f>
        <v/>
      </c>
      <c r="S1500">
        <f>IF([@data_scadentei]&lt;[@data_factura],"SCADENTA INAINTEA FACTURII","")</f>
        <v/>
      </c>
      <c r="T1500">
        <f>IF(NETWORKDAYS.INTL([@data_factura],[@data_factura],1,tbl_SarbatoriLegale[data])=0,"ZI NELUCRATOARE","")</f>
        <v/>
      </c>
      <c r="U1500">
        <f>IF([@motiv_anomalie]="","OK","DE INVESTIGAT")</f>
        <v/>
      </c>
      <c r="V1500">
        <f>TEXTJOIN("; ",TRUE,[@flag_oras],[@flag_tva],[@flag_scadenta],[@flag_zi])</f>
        <v/>
      </c>
    </row>
    <row r="1501">
      <c r="A1501" t="inlineStr">
        <is>
          <t>F-2025-01500</t>
        </is>
      </c>
      <c r="B1501" s="12" t="n">
        <v>46115</v>
      </c>
      <c r="C1501" t="inlineStr">
        <is>
          <t>SC DACTECH SOLUTIONS SRL</t>
        </is>
      </c>
      <c r="D1501" t="inlineStr">
        <is>
          <t>Argeș</t>
        </is>
      </c>
      <c r="E1501" t="inlineStr">
        <is>
          <t>PRD-005</t>
        </is>
      </c>
      <c r="F1501" t="inlineStr">
        <is>
          <t>Set carti formare</t>
        </is>
      </c>
      <c r="G1501" t="inlineStr">
        <is>
          <t>Cărți și manuale</t>
        </is>
      </c>
      <c r="H1501" t="n">
        <v>5</v>
      </c>
      <c r="I1501" t="n">
        <v>241.05</v>
      </c>
      <c r="J1501" t="n">
        <v>1205.25</v>
      </c>
      <c r="K1501" s="13" t="n">
        <v>0.05</v>
      </c>
      <c r="L1501" t="n">
        <v>60.26</v>
      </c>
      <c r="M1501" t="n">
        <v>1265.51</v>
      </c>
      <c r="N1501" t="inlineStr">
        <is>
          <t>RON</t>
        </is>
      </c>
      <c r="O1501" t="inlineStr">
        <is>
          <t>Pitești</t>
        </is>
      </c>
      <c r="P1501" s="12" t="n">
        <v>46145</v>
      </c>
      <c r="Q1501">
        <f>IF(COUNTIF(tbl_Localitati[oras_oficial],[@oras])=0,"ORAS NEALINIAT",IF(XLOOKUP([@oras],tbl_Localitati[oras_oficial],tbl_Localitati[judet],"?")&lt;&gt;[@judet],"JUDET NECORESPUNZATOR",""))</f>
        <v/>
      </c>
      <c r="R1501">
        <f>IF(XLOOKUP([@categorie],tbl_RegulriTVA[categorie],tbl_RegulriTVA[cota_legala],-1)&lt;&gt;[@cota_tva],"TVA GRESIT","")</f>
        <v/>
      </c>
      <c r="S1501">
        <f>IF([@data_scadentei]&lt;[@data_factura],"SCADENTA INAINTEA FACTURII","")</f>
        <v/>
      </c>
      <c r="T1501">
        <f>IF(NETWORKDAYS.INTL([@data_factura],[@data_factura],1,tbl_SarbatoriLegale[data])=0,"ZI NELUCRATOARE","")</f>
        <v/>
      </c>
      <c r="U1501">
        <f>IF([@motiv_anomalie]="","OK","DE INVESTIGAT")</f>
        <v/>
      </c>
      <c r="V1501">
        <f>TEXTJOIN("; ",TRUE,[@flag_oras],[@flag_tva],[@flag_scadenta],[@flag_zi])</f>
        <v/>
      </c>
    </row>
    <row r="1502">
      <c r="A1502" t="inlineStr">
        <is>
          <t>F-2025-01501</t>
        </is>
      </c>
      <c r="B1502" s="12" t="n">
        <v>46198</v>
      </c>
      <c r="C1502" t="inlineStr">
        <is>
          <t>SC NORDIS DISTRIBUTIE SRL</t>
        </is>
      </c>
      <c r="D1502" t="inlineStr">
        <is>
          <t>Constanța</t>
        </is>
      </c>
      <c r="E1502" t="inlineStr">
        <is>
          <t>PRD-008</t>
        </is>
      </c>
      <c r="F1502" t="inlineStr">
        <is>
          <t>Trusa prim ajutor</t>
        </is>
      </c>
      <c r="G1502" t="inlineStr">
        <is>
          <t>Produse farmaceutice</t>
        </is>
      </c>
      <c r="H1502" t="n">
        <v>5</v>
      </c>
      <c r="I1502" t="n">
        <v>458.89</v>
      </c>
      <c r="J1502" t="n">
        <v>2294.45</v>
      </c>
      <c r="K1502" s="13" t="n">
        <v>0.09</v>
      </c>
      <c r="L1502" t="n">
        <v>206.5</v>
      </c>
      <c r="M1502" t="n">
        <v>2500.95</v>
      </c>
      <c r="N1502" t="inlineStr">
        <is>
          <t>RON</t>
        </is>
      </c>
      <c r="O1502" t="inlineStr">
        <is>
          <t>Mangalia</t>
        </is>
      </c>
      <c r="P1502" s="12" t="n">
        <v>46243</v>
      </c>
      <c r="Q1502">
        <f>IF(COUNTIF(tbl_Localitati[oras_oficial],[@oras])=0,"ORAS NEALINIAT",IF(XLOOKUP([@oras],tbl_Localitati[oras_oficial],tbl_Localitati[judet],"?")&lt;&gt;[@judet],"JUDET NECORESPUNZATOR",""))</f>
        <v/>
      </c>
      <c r="R1502">
        <f>IF(XLOOKUP([@categorie],tbl_RegulriTVA[categorie],tbl_RegulriTVA[cota_legala],-1)&lt;&gt;[@cota_tva],"TVA GRESIT","")</f>
        <v/>
      </c>
      <c r="S1502">
        <f>IF([@data_scadentei]&lt;[@data_factura],"SCADENTA INAINTEA FACTURII","")</f>
        <v/>
      </c>
      <c r="T1502">
        <f>IF(NETWORKDAYS.INTL([@data_factura],[@data_factura],1,tbl_SarbatoriLegale[data])=0,"ZI NELUCRATOARE","")</f>
        <v/>
      </c>
      <c r="U1502">
        <f>IF([@motiv_anomalie]="","OK","DE INVESTIGAT")</f>
        <v/>
      </c>
      <c r="V1502">
        <f>TEXTJOIN("; ",TRUE,[@flag_oras],[@flag_tva],[@flag_scadenta],[@flag_zi])</f>
        <v/>
      </c>
    </row>
    <row r="1503">
      <c r="A1503" t="inlineStr">
        <is>
          <t>F-2025-01502</t>
        </is>
      </c>
      <c r="B1503" s="12" t="n">
        <v>46070</v>
      </c>
      <c r="C1503" t="inlineStr">
        <is>
          <t>SC AROMET TRADING SRL</t>
        </is>
      </c>
      <c r="D1503" t="inlineStr">
        <is>
          <t>Alba</t>
        </is>
      </c>
      <c r="E1503" t="inlineStr">
        <is>
          <t>PRD-009</t>
        </is>
      </c>
      <c r="F1503" t="inlineStr">
        <is>
          <t>Multifunctionala laser</t>
        </is>
      </c>
      <c r="G1503" t="inlineStr">
        <is>
          <t>Echipamente birou</t>
        </is>
      </c>
      <c r="I1503" t="n">
        <v>26.93</v>
      </c>
      <c r="J1503" t="n">
        <v>269.3</v>
      </c>
      <c r="K1503" s="13" t="n">
        <v>0.19</v>
      </c>
      <c r="L1503" t="n">
        <v>51.17</v>
      </c>
      <c r="M1503" t="n">
        <v>320.47</v>
      </c>
      <c r="N1503" t="inlineStr">
        <is>
          <t>RON</t>
        </is>
      </c>
      <c r="O1503" t="inlineStr">
        <is>
          <t>Alba Iulia</t>
        </is>
      </c>
      <c r="P1503" s="12" t="n">
        <v>46100</v>
      </c>
      <c r="Q1503">
        <f>IF(COUNTIF(tbl_Localitati[oras_oficial],[@oras])=0,"ORAS NEALINIAT",IF(XLOOKUP([@oras],tbl_Localitati[oras_oficial],tbl_Localitati[judet],"?")&lt;&gt;[@judet],"JUDET NECORESPUNZATOR",""))</f>
        <v/>
      </c>
      <c r="R1503">
        <f>IF(XLOOKUP([@categorie],tbl_RegulriTVA[categorie],tbl_RegulriTVA[cota_legala],-1)&lt;&gt;[@cota_tva],"TVA GRESIT","")</f>
        <v/>
      </c>
      <c r="S1503">
        <f>IF([@data_scadentei]&lt;[@data_factura],"SCADENTA INAINTEA FACTURII","")</f>
        <v/>
      </c>
      <c r="T1503">
        <f>IF(NETWORKDAYS.INTL([@data_factura],[@data_factura],1,tbl_SarbatoriLegale[data])=0,"ZI NELUCRATOARE","")</f>
        <v/>
      </c>
      <c r="U1503">
        <f>IF([@motiv_anomalie]="","OK","DE INVESTIGAT")</f>
        <v/>
      </c>
      <c r="V1503">
        <f>TEXTJOIN("; ",TRUE,[@flag_oras],[@flag_tva],[@flag_scadenta],[@flag_zi])</f>
        <v/>
      </c>
    </row>
    <row r="1504">
      <c r="A1504" t="inlineStr">
        <is>
          <t>F-2025-01503</t>
        </is>
      </c>
      <c r="B1504" s="12" t="n">
        <v>46261</v>
      </c>
      <c r="C1504" t="inlineStr">
        <is>
          <t>SC AROMET TRADING SRL</t>
        </is>
      </c>
      <c r="D1504" t="inlineStr">
        <is>
          <t>Alba</t>
        </is>
      </c>
      <c r="E1504" t="inlineStr">
        <is>
          <t>PRD-005</t>
        </is>
      </c>
      <c r="F1504" t="inlineStr">
        <is>
          <t>Tocator documente</t>
        </is>
      </c>
      <c r="G1504" t="inlineStr">
        <is>
          <t>Echipamente birou</t>
        </is>
      </c>
      <c r="H1504" t="n">
        <v>1</v>
      </c>
      <c r="I1504" t="n">
        <v>253.99</v>
      </c>
      <c r="J1504" t="n">
        <v>253.99</v>
      </c>
      <c r="K1504" s="13" t="n">
        <v>0.19</v>
      </c>
      <c r="L1504" t="n">
        <v>48.26</v>
      </c>
      <c r="M1504" t="n">
        <v>302.25</v>
      </c>
      <c r="N1504" t="inlineStr">
        <is>
          <t>RON</t>
        </is>
      </c>
      <c r="O1504" t="inlineStr">
        <is>
          <t>Alba Iulia</t>
        </is>
      </c>
      <c r="P1504" s="12" t="n">
        <v>46291</v>
      </c>
      <c r="Q1504">
        <f>IF(COUNTIF(tbl_Localitati[oras_oficial],[@oras])=0,"ORAS NEALINIAT",IF(XLOOKUP([@oras],tbl_Localitati[oras_oficial],tbl_Localitati[judet],"?")&lt;&gt;[@judet],"JUDET NECORESPUNZATOR",""))</f>
        <v/>
      </c>
      <c r="R1504">
        <f>IF(XLOOKUP([@categorie],tbl_RegulriTVA[categorie],tbl_RegulriTVA[cota_legala],-1)&lt;&gt;[@cota_tva],"TVA GRESIT","")</f>
        <v/>
      </c>
      <c r="S1504">
        <f>IF([@data_scadentei]&lt;[@data_factura],"SCADENTA INAINTEA FACTURII","")</f>
        <v/>
      </c>
      <c r="T1504">
        <f>IF(NETWORKDAYS.INTL([@data_factura],[@data_factura],1,tbl_SarbatoriLegale[data])=0,"ZI NELUCRATOARE","")</f>
        <v/>
      </c>
      <c r="U1504">
        <f>IF([@motiv_anomalie]="","OK","DE INVESTIGAT")</f>
        <v/>
      </c>
      <c r="V1504">
        <f>TEXTJOIN("; ",TRUE,[@flag_oras],[@flag_tva],[@flag_scadenta],[@flag_zi])</f>
        <v/>
      </c>
    </row>
    <row r="1505">
      <c r="A1505" t="inlineStr">
        <is>
          <t>F-2025-01504</t>
        </is>
      </c>
      <c r="B1505" s="12" t="n">
        <v>46182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Licenta Office 365 anuala</t>
        </is>
      </c>
      <c r="G1505" t="inlineStr">
        <is>
          <t>Licențe software</t>
        </is>
      </c>
      <c r="H1505" t="n">
        <v>50</v>
      </c>
      <c r="I1505" t="n">
        <v>443.35</v>
      </c>
      <c r="J1505" t="n">
        <v>22167.5</v>
      </c>
      <c r="K1505" s="13" t="n">
        <v>0.19</v>
      </c>
      <c r="L1505" t="n">
        <v>4211.82</v>
      </c>
      <c r="M1505" t="n">
        <v>26379.32</v>
      </c>
      <c r="N1505" t="inlineStr">
        <is>
          <t>RON</t>
        </is>
      </c>
      <c r="O1505" t="inlineStr">
        <is>
          <t>Sibiu</t>
        </is>
      </c>
      <c r="P1505" s="12" t="n">
        <v>46212</v>
      </c>
      <c r="Q1505">
        <f>IF(COUNTIF(tbl_Localitati[oras_oficial],[@oras])=0,"ORAS NEALINIAT",IF(XLOOKUP([@oras],tbl_Localitati[oras_oficial],tbl_Localitati[judet],"?")&lt;&gt;[@judet],"JUDET NECORESPUNZATOR",""))</f>
        <v/>
      </c>
      <c r="R1505">
        <f>IF(XLOOKUP([@categorie],tbl_RegulriTVA[categorie],tbl_RegulriTVA[cota_legala],-1)&lt;&gt;[@cota_tva],"TVA GRESIT","")</f>
        <v/>
      </c>
      <c r="S1505">
        <f>IF([@data_scadentei]&lt;[@data_factura],"SCADENTA INAINTEA FACTURII","")</f>
        <v/>
      </c>
      <c r="T1505">
        <f>IF(NETWORKDAYS.INTL([@data_factura],[@data_factura],1,tbl_SarbatoriLegale[data])=0,"ZI NELUCRATOARE","")</f>
        <v/>
      </c>
      <c r="U1505">
        <f>IF([@motiv_anomalie]="","OK","DE INVESTIGAT")</f>
        <v/>
      </c>
      <c r="V1505">
        <f>TEXTJOIN("; ",TRUE,[@flag_oras],[@flag_tva],[@flag_scadenta],[@flag_zi])</f>
        <v/>
      </c>
    </row>
    <row r="1506">
      <c r="A1506" t="inlineStr">
        <is>
          <t>F-2025-01505</t>
        </is>
      </c>
      <c r="B1506" s="12" t="n">
        <v>46332</v>
      </c>
      <c r="C1506" t="inlineStr">
        <is>
          <t>SC ZENITH AUTO SRL</t>
        </is>
      </c>
      <c r="D1506" t="inlineStr">
        <is>
          <t>București</t>
        </is>
      </c>
      <c r="E1506" t="inlineStr">
        <is>
          <t>PRD-009</t>
        </is>
      </c>
      <c r="F1506" t="inlineStr">
        <is>
          <t>Dezinfectant maini 5L</t>
        </is>
      </c>
      <c r="G1506" t="inlineStr">
        <is>
          <t>Produse farmaceutice</t>
        </is>
      </c>
      <c r="H1506" t="n">
        <v>20</v>
      </c>
      <c r="I1506" t="n">
        <v>28.21</v>
      </c>
      <c r="J1506" t="n">
        <v>564.2</v>
      </c>
      <c r="K1506" s="13" t="n">
        <v>0.09</v>
      </c>
      <c r="L1506" t="n">
        <v>50.78</v>
      </c>
      <c r="M1506" t="n">
        <v>614.98</v>
      </c>
      <c r="N1506" t="inlineStr">
        <is>
          <t>RON</t>
        </is>
      </c>
      <c r="O1506" t="inlineStr">
        <is>
          <t>București</t>
        </is>
      </c>
      <c r="P1506" s="12" t="n">
        <v>46362</v>
      </c>
      <c r="Q1506">
        <f>IF(COUNTIF(tbl_Localitati[oras_oficial],[@oras])=0,"ORAS NEALINIAT",IF(XLOOKUP([@oras],tbl_Localitati[oras_oficial],tbl_Localitati[judet],"?")&lt;&gt;[@judet],"JUDET NECORESPUNZATOR",""))</f>
        <v/>
      </c>
      <c r="R1506">
        <f>IF(XLOOKUP([@categorie],tbl_RegulriTVA[categorie],tbl_RegulriTVA[cota_legala],-1)&lt;&gt;[@cota_tva],"TVA GRESIT","")</f>
        <v/>
      </c>
      <c r="S1506">
        <f>IF([@data_scadentei]&lt;[@data_factura],"SCADENTA INAINTEA FACTURII","")</f>
        <v/>
      </c>
      <c r="T1506">
        <f>IF(NETWORKDAYS.INTL([@data_factura],[@data_factura],1,tbl_SarbatoriLegale[data])=0,"ZI NELUCRATOARE","")</f>
        <v/>
      </c>
      <c r="U1506">
        <f>IF([@motiv_anomalie]="","OK","DE INVESTIGAT")</f>
        <v/>
      </c>
      <c r="V1506">
        <f>TEXTJOIN("; ",TRUE,[@flag_oras],[@flag_tva],[@flag_scadenta],[@flag_zi])</f>
        <v/>
      </c>
    </row>
    <row r="1507">
      <c r="A1507" t="inlineStr">
        <is>
          <t>F-2025-01506</t>
        </is>
      </c>
      <c r="B1507" s="12" t="n">
        <v>46062</v>
      </c>
      <c r="C1507" t="inlineStr">
        <is>
          <t>SC DACTECH SOLUTIONS SRL</t>
        </is>
      </c>
      <c r="D1507" t="inlineStr">
        <is>
          <t>Argeș</t>
        </is>
      </c>
      <c r="E1507" t="inlineStr">
        <is>
          <t>PRD-007</t>
        </is>
      </c>
      <c r="F1507" t="inlineStr">
        <is>
          <t>Licenta ERP contabilitate</t>
        </is>
      </c>
      <c r="G1507" t="inlineStr">
        <is>
          <t>Licențe software</t>
        </is>
      </c>
      <c r="H1507" t="n">
        <v>5</v>
      </c>
      <c r="I1507" t="n">
        <v>172.97</v>
      </c>
      <c r="J1507" t="n">
        <v>864.85</v>
      </c>
      <c r="K1507" s="13" t="n">
        <v>0.19</v>
      </c>
      <c r="L1507" t="n">
        <v>164.32</v>
      </c>
      <c r="M1507" t="n">
        <v>1029.17</v>
      </c>
      <c r="N1507" t="inlineStr">
        <is>
          <t>RON</t>
        </is>
      </c>
      <c r="O1507" t="inlineStr">
        <is>
          <t>Pitești</t>
        </is>
      </c>
      <c r="P1507" s="12" t="n">
        <v>46092</v>
      </c>
      <c r="Q1507">
        <f>IF(COUNTIF(tbl_Localitati[oras_oficial],[@oras])=0,"ORAS NEALINIAT",IF(XLOOKUP([@oras],tbl_Localitati[oras_oficial],tbl_Localitati[judet],"?")&lt;&gt;[@judet],"JUDET NECORESPUNZATOR",""))</f>
        <v/>
      </c>
      <c r="R1507">
        <f>IF(XLOOKUP([@categorie],tbl_RegulriTVA[categorie],tbl_RegulriTVA[cota_legala],-1)&lt;&gt;[@cota_tva],"TVA GRESIT","")</f>
        <v/>
      </c>
      <c r="S1507">
        <f>IF([@data_scadentei]&lt;[@data_factura],"SCADENTA INAINTEA FACTURII","")</f>
        <v/>
      </c>
      <c r="T1507">
        <f>IF(NETWORKDAYS.INTL([@data_factura],[@data_factura],1,tbl_SarbatoriLegale[data])=0,"ZI NELUCRATOARE","")</f>
        <v/>
      </c>
      <c r="U1507">
        <f>IF([@motiv_anomalie]="","OK","DE INVESTIGAT")</f>
        <v/>
      </c>
      <c r="V1507">
        <f>TEXTJOIN("; ",TRUE,[@flag_oras],[@flag_tva],[@flag_scadenta],[@flag_zi])</f>
        <v/>
      </c>
    </row>
    <row r="1508">
      <c r="A1508" t="inlineStr">
        <is>
          <t>F-2025-01507</t>
        </is>
      </c>
      <c r="B1508" s="12" t="n">
        <v>46232</v>
      </c>
      <c r="C1508" t="inlineStr">
        <is>
          <t>SC PROVITA MEDICAL SRL</t>
        </is>
      </c>
      <c r="D1508" t="inlineStr">
        <is>
          <t>Mureș</t>
        </is>
      </c>
      <c r="E1508" t="inlineStr">
        <is>
          <t>PRD-001</t>
        </is>
      </c>
      <c r="F1508" t="inlineStr">
        <is>
          <t>Server rack 1U</t>
        </is>
      </c>
      <c r="G1508" t="inlineStr">
        <is>
          <t>Hardware IT</t>
        </is>
      </c>
      <c r="H1508" t="n">
        <v>1</v>
      </c>
      <c r="I1508" t="n">
        <v>2424.91</v>
      </c>
      <c r="J1508" t="n">
        <v>2424.91</v>
      </c>
      <c r="K1508" s="13" t="n">
        <v>0.19</v>
      </c>
      <c r="L1508" t="n">
        <v>460.73</v>
      </c>
      <c r="M1508" t="n">
        <v>2885.64</v>
      </c>
      <c r="N1508" t="inlineStr">
        <is>
          <t>RON</t>
        </is>
      </c>
      <c r="O1508" t="inlineStr">
        <is>
          <t>Târgu Mureș</t>
        </is>
      </c>
      <c r="P1508" s="12" t="n">
        <v>46262</v>
      </c>
      <c r="Q1508">
        <f>IF(COUNTIF(tbl_Localitati[oras_oficial],[@oras])=0,"ORAS NEALINIAT",IF(XLOOKUP([@oras],tbl_Localitati[oras_oficial],tbl_Localitati[judet],"?")&lt;&gt;[@judet],"JUDET NECORESPUNZATOR",""))</f>
        <v/>
      </c>
      <c r="R1508">
        <f>IF(XLOOKUP([@categorie],tbl_RegulriTVA[categorie],tbl_RegulriTVA[cota_legala],-1)&lt;&gt;[@cota_tva],"TVA GRESIT","")</f>
        <v/>
      </c>
      <c r="S1508">
        <f>IF([@data_scadentei]&lt;[@data_factura],"SCADENTA INAINTEA FACTURII","")</f>
        <v/>
      </c>
      <c r="T1508">
        <f>IF(NETWORKDAYS.INTL([@data_factura],[@data_factura],1,tbl_SarbatoriLegale[data])=0,"ZI NELUCRATOARE","")</f>
        <v/>
      </c>
      <c r="U1508">
        <f>IF([@motiv_anomalie]="","OK","DE INVESTIGAT")</f>
        <v/>
      </c>
      <c r="V1508">
        <f>TEXTJOIN("; ",TRUE,[@flag_oras],[@flag_tva],[@flag_scadenta],[@flag_zi])</f>
        <v/>
      </c>
    </row>
    <row r="1509">
      <c r="A1509" t="inlineStr">
        <is>
          <t>F-2025-01508</t>
        </is>
      </c>
      <c r="B1509" s="12" t="n">
        <v>46160</v>
      </c>
      <c r="C1509" t="inlineStr">
        <is>
          <t>SC VECTOR CONSULT SRL</t>
        </is>
      </c>
      <c r="D1509" t="inlineStr">
        <is>
          <t>Timiș</t>
        </is>
      </c>
      <c r="E1509" t="inlineStr">
        <is>
          <t>PRD-010</t>
        </is>
      </c>
      <c r="F1509" t="inlineStr">
        <is>
          <t>Licenta ERP contabilitate</t>
        </is>
      </c>
      <c r="G1509" t="inlineStr">
        <is>
          <t>Licențe software</t>
        </is>
      </c>
      <c r="H1509" t="n">
        <v>50</v>
      </c>
      <c r="I1509" t="n">
        <v>347.86</v>
      </c>
      <c r="J1509" t="n">
        <v>17393</v>
      </c>
      <c r="K1509" s="13" t="n">
        <v>0.19</v>
      </c>
      <c r="L1509" t="n">
        <v>3304.67</v>
      </c>
      <c r="M1509" t="n">
        <v>20697.67</v>
      </c>
      <c r="N1509" t="inlineStr">
        <is>
          <t>RON</t>
        </is>
      </c>
      <c r="O1509" t="inlineStr">
        <is>
          <t>Timișoara</t>
        </is>
      </c>
      <c r="P1509" s="12" t="n">
        <v>46190</v>
      </c>
      <c r="Q1509">
        <f>IF(COUNTIF(tbl_Localitati[oras_oficial],[@oras])=0,"ORAS NEALINIAT",IF(XLOOKUP([@oras],tbl_Localitati[oras_oficial],tbl_Localitati[judet],"?")&lt;&gt;[@judet],"JUDET NECORESPUNZATOR",""))</f>
        <v/>
      </c>
      <c r="R1509">
        <f>IF(XLOOKUP([@categorie],tbl_RegulriTVA[categorie],tbl_RegulriTVA[cota_legala],-1)&lt;&gt;[@cota_tva],"TVA GRESIT","")</f>
        <v/>
      </c>
      <c r="S1509">
        <f>IF([@data_scadentei]&lt;[@data_factura],"SCADENTA INAINTEA FACTURII","")</f>
        <v/>
      </c>
      <c r="T1509">
        <f>IF(NETWORKDAYS.INTL([@data_factura],[@data_factura],1,tbl_SarbatoriLegale[data])=0,"ZI NELUCRATOARE","")</f>
        <v/>
      </c>
      <c r="U1509">
        <f>IF([@motiv_anomalie]="","OK","DE INVESTIGAT")</f>
        <v/>
      </c>
      <c r="V1509">
        <f>TEXTJOIN("; ",TRUE,[@flag_oras],[@flag_tva],[@flag_scadenta],[@flag_zi])</f>
        <v/>
      </c>
    </row>
    <row r="1510">
      <c r="A1510" t="inlineStr">
        <is>
          <t>F-2025-01509</t>
        </is>
      </c>
      <c r="B1510" s="12" t="n">
        <v>46377</v>
      </c>
      <c r="C1510" t="inlineStr">
        <is>
          <t>SC PROVITA MEDICAL SRL</t>
        </is>
      </c>
      <c r="D1510" t="inlineStr">
        <is>
          <t>Mureș</t>
        </is>
      </c>
      <c r="E1510" t="inlineStr">
        <is>
          <t>PRD-003</t>
        </is>
      </c>
      <c r="F1510" t="inlineStr">
        <is>
          <t>Statie de lucru desktop</t>
        </is>
      </c>
      <c r="G1510" t="inlineStr">
        <is>
          <t>Hardware IT</t>
        </is>
      </c>
      <c r="H1510" t="n">
        <v>1</v>
      </c>
      <c r="I1510" t="n">
        <v>4244.57</v>
      </c>
      <c r="J1510" t="n">
        <v>4244.57</v>
      </c>
      <c r="K1510" s="13" t="n">
        <v>0.19</v>
      </c>
      <c r="L1510" t="n">
        <v>806.47</v>
      </c>
      <c r="M1510" t="n">
        <v>5051.04</v>
      </c>
      <c r="N1510" t="inlineStr">
        <is>
          <t>RON</t>
        </is>
      </c>
      <c r="O1510" t="inlineStr">
        <is>
          <t>Târgu Mureș</t>
        </is>
      </c>
      <c r="P1510" s="12" t="n">
        <v>46437</v>
      </c>
      <c r="Q1510">
        <f>IF(COUNTIF(tbl_Localitati[oras_oficial],[@oras])=0,"ORAS NEALINIAT",IF(XLOOKUP([@oras],tbl_Localitati[oras_oficial],tbl_Localitati[judet],"?")&lt;&gt;[@judet],"JUDET NECORESPUNZATOR",""))</f>
        <v/>
      </c>
      <c r="R1510">
        <f>IF(XLOOKUP([@categorie],tbl_RegulriTVA[categorie],tbl_RegulriTVA[cota_legala],-1)&lt;&gt;[@cota_tva],"TVA GRESIT","")</f>
        <v/>
      </c>
      <c r="S1510">
        <f>IF([@data_scadentei]&lt;[@data_factura],"SCADENTA INAINTEA FACTURII","")</f>
        <v/>
      </c>
      <c r="T1510">
        <f>IF(NETWORKDAYS.INTL([@data_factura],[@data_factura],1,tbl_SarbatoriLegale[data])=0,"ZI NELUCRATOARE","")</f>
        <v/>
      </c>
      <c r="U1510">
        <f>IF([@motiv_anomalie]="","OK","DE INVESTIGAT")</f>
        <v/>
      </c>
      <c r="V1510">
        <f>TEXTJOIN("; ",TRUE,[@flag_oras],[@flag_tva],[@flag_scadenta],[@flag_zi])</f>
        <v/>
      </c>
    </row>
    <row r="1511">
      <c r="A1511" t="inlineStr">
        <is>
          <t>F-2025-01510</t>
        </is>
      </c>
      <c r="B1511" s="12" t="n">
        <v>46297</v>
      </c>
      <c r="C1511" t="inlineStr">
        <is>
          <t>SC NORDIS DISTRIBUTIE SRL</t>
        </is>
      </c>
      <c r="D1511" t="inlineStr">
        <is>
          <t>Constanța</t>
        </is>
      </c>
      <c r="E1511" t="inlineStr">
        <is>
          <t>PRD-001</t>
        </is>
      </c>
      <c r="F1511" t="inlineStr">
        <is>
          <t>Tocator documente</t>
        </is>
      </c>
      <c r="G1511" t="inlineStr">
        <is>
          <t>Echipamente birou</t>
        </is>
      </c>
      <c r="H1511" t="n">
        <v>5</v>
      </c>
      <c r="I1511" t="n">
        <v>2481.94</v>
      </c>
      <c r="J1511" t="n">
        <v>12409.7</v>
      </c>
      <c r="K1511" s="13" t="n">
        <v>0.19</v>
      </c>
      <c r="L1511" t="n">
        <v>2357.84</v>
      </c>
      <c r="M1511" t="n">
        <v>14767.54</v>
      </c>
      <c r="N1511" t="inlineStr">
        <is>
          <t>RON</t>
        </is>
      </c>
      <c r="O1511" t="inlineStr">
        <is>
          <t>Mangalia</t>
        </is>
      </c>
      <c r="P1511" s="12" t="n">
        <v>46327</v>
      </c>
      <c r="Q1511">
        <f>IF(COUNTIF(tbl_Localitati[oras_oficial],[@oras])=0,"ORAS NEALINIAT",IF(XLOOKUP([@oras],tbl_Localitati[oras_oficial],tbl_Localitati[judet],"?")&lt;&gt;[@judet],"JUDET NECORESPUNZATOR",""))</f>
        <v/>
      </c>
      <c r="R1511">
        <f>IF(XLOOKUP([@categorie],tbl_RegulriTVA[categorie],tbl_RegulriTVA[cota_legala],-1)&lt;&gt;[@cota_tva],"TVA GRESIT","")</f>
        <v/>
      </c>
      <c r="S1511">
        <f>IF([@data_scadentei]&lt;[@data_factura],"SCADENTA INAINTEA FACTURII","")</f>
        <v/>
      </c>
      <c r="T1511">
        <f>IF(NETWORKDAYS.INTL([@data_factura],[@data_factura],1,tbl_SarbatoriLegale[data])=0,"ZI NELUCRATOARE","")</f>
        <v/>
      </c>
      <c r="U1511">
        <f>IF([@motiv_anomalie]="","OK","DE INVESTIGAT")</f>
        <v/>
      </c>
      <c r="V1511">
        <f>TEXTJOIN("; ",TRUE,[@flag_oras],[@flag_tva],[@flag_scadenta],[@flag_zi])</f>
        <v/>
      </c>
    </row>
    <row r="1512">
      <c r="A1512" t="inlineStr">
        <is>
          <t>F-2025-01511</t>
        </is>
      </c>
      <c r="B1512" s="12" t="n">
        <v>46114</v>
      </c>
      <c r="C1512" t="inlineStr">
        <is>
          <t>SC AROMET TRADING SRL</t>
        </is>
      </c>
      <c r="D1512" t="inlineStr">
        <is>
          <t>Alba</t>
        </is>
      </c>
      <c r="E1512" t="inlineStr">
        <is>
          <t>PRD-011</t>
        </is>
      </c>
      <c r="F1512" t="inlineStr">
        <is>
          <t>Dezinfectant maini 5L</t>
        </is>
      </c>
      <c r="G1512" t="inlineStr">
        <is>
          <t>Produse farmaceutice</t>
        </is>
      </c>
      <c r="H1512" t="n">
        <v>5</v>
      </c>
      <c r="I1512" t="n">
        <v>46.12</v>
      </c>
      <c r="J1512" t="n">
        <v>230.6</v>
      </c>
      <c r="K1512" s="13" t="n">
        <v>0.09</v>
      </c>
      <c r="L1512" t="n">
        <v>20.75</v>
      </c>
      <c r="M1512" t="n">
        <v>251.35</v>
      </c>
      <c r="N1512" t="inlineStr">
        <is>
          <t>RON</t>
        </is>
      </c>
      <c r="O1512" t="inlineStr">
        <is>
          <t>Alba Iulia</t>
        </is>
      </c>
      <c r="P1512" s="12" t="n">
        <v>46144</v>
      </c>
      <c r="Q1512">
        <f>IF(COUNTIF(tbl_Localitati[oras_oficial],[@oras])=0,"ORAS NEALINIAT",IF(XLOOKUP([@oras],tbl_Localitati[oras_oficial],tbl_Localitati[judet],"?")&lt;&gt;[@judet],"JUDET NECORESPUNZATOR",""))</f>
        <v/>
      </c>
      <c r="R1512">
        <f>IF(XLOOKUP([@categorie],tbl_RegulriTVA[categorie],tbl_RegulriTVA[cota_legala],-1)&lt;&gt;[@cota_tva],"TVA GRESIT","")</f>
        <v/>
      </c>
      <c r="S1512">
        <f>IF([@data_scadentei]&lt;[@data_factura],"SCADENTA INAINTEA FACTURII","")</f>
        <v/>
      </c>
      <c r="T1512">
        <f>IF(NETWORKDAYS.INTL([@data_factura],[@data_factura],1,tbl_SarbatoriLegale[data])=0,"ZI NELUCRATOARE","")</f>
        <v/>
      </c>
      <c r="U1512">
        <f>IF([@motiv_anomalie]="","OK","DE INVESTIGAT")</f>
        <v/>
      </c>
      <c r="V1512">
        <f>TEXTJOIN("; ",TRUE,[@flag_oras],[@flag_tva],[@flag_scadenta],[@flag_zi])</f>
        <v/>
      </c>
    </row>
    <row r="1513">
      <c r="A1513" t="inlineStr">
        <is>
          <t>F-2025-01512</t>
        </is>
      </c>
      <c r="B1513" s="12" t="n">
        <v>46100</v>
      </c>
      <c r="C1513" t="inlineStr">
        <is>
          <t>SC NORDIS DISTRIBUTIE SRL</t>
        </is>
      </c>
      <c r="D1513" t="inlineStr">
        <is>
          <t>Constanța</t>
        </is>
      </c>
      <c r="E1513" t="inlineStr">
        <is>
          <t>PRD-007</t>
        </is>
      </c>
      <c r="F1513" t="inlineStr">
        <is>
          <t>Switch gigabit 24p</t>
        </is>
      </c>
      <c r="G1513" t="inlineStr">
        <is>
          <t>Hardware IT</t>
        </is>
      </c>
      <c r="H1513" t="n">
        <v>1</v>
      </c>
      <c r="I1513" t="n">
        <v>176.22</v>
      </c>
      <c r="J1513" t="n">
        <v>176.22</v>
      </c>
      <c r="K1513" s="13" t="n">
        <v>0.19</v>
      </c>
      <c r="L1513" t="n">
        <v>33.48</v>
      </c>
      <c r="M1513" t="n">
        <v>209.7</v>
      </c>
      <c r="N1513" t="inlineStr">
        <is>
          <t>RON</t>
        </is>
      </c>
      <c r="O1513" t="inlineStr">
        <is>
          <t>Mangalia</t>
        </is>
      </c>
      <c r="P1513" s="12" t="n">
        <v>46130</v>
      </c>
      <c r="Q1513">
        <f>IF(COUNTIF(tbl_Localitati[oras_oficial],[@oras])=0,"ORAS NEALINIAT",IF(XLOOKUP([@oras],tbl_Localitati[oras_oficial],tbl_Localitati[judet],"?")&lt;&gt;[@judet],"JUDET NECORESPUNZATOR",""))</f>
        <v/>
      </c>
      <c r="R1513">
        <f>IF(XLOOKUP([@categorie],tbl_RegulriTVA[categorie],tbl_RegulriTVA[cota_legala],-1)&lt;&gt;[@cota_tva],"TVA GRESIT","")</f>
        <v/>
      </c>
      <c r="S1513">
        <f>IF([@data_scadentei]&lt;[@data_factura],"SCADENTA INAINTEA FACTURII","")</f>
        <v/>
      </c>
      <c r="T1513">
        <f>IF(NETWORKDAYS.INTL([@data_factura],[@data_factura],1,tbl_SarbatoriLegale[data])=0,"ZI NELUCRATOARE","")</f>
        <v/>
      </c>
      <c r="U1513">
        <f>IF([@motiv_anomalie]="","OK","DE INVESTIGAT")</f>
        <v/>
      </c>
      <c r="V1513">
        <f>TEXTJOIN("; ",TRUE,[@flag_oras],[@flag_tva],[@flag_scadenta],[@flag_zi])</f>
        <v/>
      </c>
    </row>
    <row r="1514">
      <c r="A1514" t="inlineStr">
        <is>
          <t>F-2025-01513</t>
        </is>
      </c>
      <c r="B1514" s="12" t="n">
        <v>46084</v>
      </c>
      <c r="C1514" t="inlineStr">
        <is>
          <t>SC VECTOR CONSULT SRL</t>
        </is>
      </c>
      <c r="D1514" t="inlineStr">
        <is>
          <t>Timiș</t>
        </is>
      </c>
      <c r="E1514" t="inlineStr">
        <is>
          <t>PRD-010</t>
        </is>
      </c>
      <c r="F1514" t="inlineStr">
        <is>
          <t>Licenta Office 365 anuala</t>
        </is>
      </c>
      <c r="G1514" t="inlineStr">
        <is>
          <t>Licențe software</t>
        </is>
      </c>
      <c r="H1514" t="n">
        <v>5</v>
      </c>
      <c r="I1514" t="n">
        <v>343.78</v>
      </c>
      <c r="J1514" t="n">
        <v>1718.9</v>
      </c>
      <c r="K1514" s="13" t="n">
        <v>0.19</v>
      </c>
      <c r="L1514" t="n">
        <v>326.59</v>
      </c>
      <c r="M1514" t="n">
        <v>2045.49</v>
      </c>
      <c r="N1514" t="inlineStr">
        <is>
          <t>RON</t>
        </is>
      </c>
      <c r="O1514" t="inlineStr">
        <is>
          <t>Timișoara</t>
        </is>
      </c>
      <c r="P1514" s="12" t="n">
        <v>46099</v>
      </c>
      <c r="Q1514">
        <f>IF(COUNTIF(tbl_Localitati[oras_oficial],[@oras])=0,"ORAS NEALINIAT",IF(XLOOKUP([@oras],tbl_Localitati[oras_oficial],tbl_Localitati[judet],"?")&lt;&gt;[@judet],"JUDET NECORESPUNZATOR",""))</f>
        <v/>
      </c>
      <c r="R1514">
        <f>IF(XLOOKUP([@categorie],tbl_RegulriTVA[categorie],tbl_RegulriTVA[cota_legala],-1)&lt;&gt;[@cota_tva],"TVA GRESIT","")</f>
        <v/>
      </c>
      <c r="S1514">
        <f>IF([@data_scadentei]&lt;[@data_factura],"SCADENTA INAINTEA FACTURII","")</f>
        <v/>
      </c>
      <c r="T1514">
        <f>IF(NETWORKDAYS.INTL([@data_factura],[@data_factura],1,tbl_SarbatoriLegale[data])=0,"ZI NELUCRATOARE","")</f>
        <v/>
      </c>
      <c r="U1514">
        <f>IF([@motiv_anomalie]="","OK","DE INVESTIGAT")</f>
        <v/>
      </c>
      <c r="V1514">
        <f>TEXTJOIN("; ",TRUE,[@flag_oras],[@flag_tva],[@flag_scadenta],[@flag_zi])</f>
        <v/>
      </c>
    </row>
    <row r="1515">
      <c r="A1515" t="inlineStr">
        <is>
          <t>F-2025-01514</t>
        </is>
      </c>
      <c r="B1515" s="12" t="n">
        <v>46276</v>
      </c>
      <c r="C1515" t="inlineStr">
        <is>
          <t>SC VECTOR CONSULT SRL</t>
        </is>
      </c>
      <c r="D1515" t="inlineStr">
        <is>
          <t>Timiș</t>
        </is>
      </c>
      <c r="E1515" t="inlineStr">
        <is>
          <t>PRD-004</t>
        </is>
      </c>
      <c r="F1515" t="inlineStr">
        <is>
          <t>Server rack 1U</t>
        </is>
      </c>
      <c r="G1515" t="inlineStr">
        <is>
          <t>Hardware IT</t>
        </is>
      </c>
      <c r="H1515" t="n">
        <v>2</v>
      </c>
      <c r="I1515" t="n">
        <v>877.0700000000001</v>
      </c>
      <c r="J1515" t="n">
        <v>1754.14</v>
      </c>
      <c r="K1515" s="13" t="n">
        <v>0.19</v>
      </c>
      <c r="L1515" t="n">
        <v>333.29</v>
      </c>
      <c r="M1515" t="n">
        <v>2087.43</v>
      </c>
      <c r="N1515" t="inlineStr">
        <is>
          <t>RON</t>
        </is>
      </c>
      <c r="O1515" t="inlineStr">
        <is>
          <t>Timișoara</t>
        </is>
      </c>
      <c r="P1515" s="12" t="n">
        <v>46336</v>
      </c>
      <c r="Q1515">
        <f>IF(COUNTIF(tbl_Localitati[oras_oficial],[@oras])=0,"ORAS NEALINIAT",IF(XLOOKUP([@oras],tbl_Localitati[oras_oficial],tbl_Localitati[judet],"?")&lt;&gt;[@judet],"JUDET NECORESPUNZATOR",""))</f>
        <v/>
      </c>
      <c r="R1515">
        <f>IF(XLOOKUP([@categorie],tbl_RegulriTVA[categorie],tbl_RegulriTVA[cota_legala],-1)&lt;&gt;[@cota_tva],"TVA GRESIT","")</f>
        <v/>
      </c>
      <c r="S1515">
        <f>IF([@data_scadentei]&lt;[@data_factura],"SCADENTA INAINTEA FACTURII","")</f>
        <v/>
      </c>
      <c r="T1515">
        <f>IF(NETWORKDAYS.INTL([@data_factura],[@data_factura],1,tbl_SarbatoriLegale[data])=0,"ZI NELUCRATOARE","")</f>
        <v/>
      </c>
      <c r="U1515">
        <f>IF([@motiv_anomalie]="","OK","DE INVESTIGAT")</f>
        <v/>
      </c>
      <c r="V1515">
        <f>TEXTJOIN("; ",TRUE,[@flag_oras],[@flag_tva],[@flag_scadenta],[@flag_zi])</f>
        <v/>
      </c>
    </row>
    <row r="1516">
      <c r="A1516" t="inlineStr">
        <is>
          <t>F-2025-01515</t>
        </is>
      </c>
      <c r="B1516" s="12" t="n">
        <v>46030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Cafea boabe 1kg</t>
        </is>
      </c>
      <c r="G1516" t="inlineStr">
        <is>
          <t>Alimente</t>
        </is>
      </c>
      <c r="H1516" t="n">
        <v>5</v>
      </c>
      <c r="I1516" t="n">
        <v>261.45</v>
      </c>
      <c r="J1516" t="n">
        <v>1307.25</v>
      </c>
      <c r="K1516" s="13" t="n">
        <v>0.09</v>
      </c>
      <c r="L1516" t="n">
        <v>117.65</v>
      </c>
      <c r="M1516" t="n">
        <v>1424.9</v>
      </c>
      <c r="N1516" t="inlineStr">
        <is>
          <t>RON</t>
        </is>
      </c>
      <c r="O1516" t="inlineStr">
        <is>
          <t>Sibiu</t>
        </is>
      </c>
      <c r="P1516" s="12" t="n">
        <v>46075</v>
      </c>
      <c r="Q1516">
        <f>IF(COUNTIF(tbl_Localitati[oras_oficial],[@oras])=0,"ORAS NEALINIAT",IF(XLOOKUP([@oras],tbl_Localitati[oras_oficial],tbl_Localitati[judet],"?")&lt;&gt;[@judet],"JUDET NECORESPUNZATOR",""))</f>
        <v/>
      </c>
      <c r="R1516">
        <f>IF(XLOOKUP([@categorie],tbl_RegulriTVA[categorie],tbl_RegulriTVA[cota_legala],-1)&lt;&gt;[@cota_tva],"TVA GRESIT","")</f>
        <v/>
      </c>
      <c r="S1516">
        <f>IF([@data_scadentei]&lt;[@data_factura],"SCADENTA INAINTEA FACTURII","")</f>
        <v/>
      </c>
      <c r="T1516">
        <f>IF(NETWORKDAYS.INTL([@data_factura],[@data_factura],1,tbl_SarbatoriLegale[data])=0,"ZI NELUCRATOARE","")</f>
        <v/>
      </c>
      <c r="U1516">
        <f>IF([@motiv_anomalie]="","OK","DE INVESTIGAT")</f>
        <v/>
      </c>
      <c r="V1516">
        <f>TEXTJOIN("; ",TRUE,[@flag_oras],[@flag_tva],[@flag_scadenta],[@flag_zi])</f>
        <v/>
      </c>
    </row>
    <row r="1517">
      <c r="A1517" t="inlineStr">
        <is>
          <t>F-2025-01516</t>
        </is>
      </c>
      <c r="B1517" s="12" t="n">
        <v>46167</v>
      </c>
      <c r="C1517" t="inlineStr">
        <is>
          <t>SC AROMET TRADING SRL</t>
        </is>
      </c>
      <c r="D1517" t="inlineStr">
        <is>
          <t>Alba</t>
        </is>
      </c>
      <c r="E1517" t="inlineStr">
        <is>
          <t>PRD-006</t>
        </is>
      </c>
      <c r="F1517" t="inlineStr">
        <is>
          <t>Videoproiector sala</t>
        </is>
      </c>
      <c r="G1517" t="inlineStr">
        <is>
          <t>Echipamente birou</t>
        </is>
      </c>
      <c r="H1517" t="n">
        <v>25</v>
      </c>
      <c r="I1517" t="n">
        <v>728.91</v>
      </c>
      <c r="J1517" t="n">
        <v>18222.75</v>
      </c>
      <c r="K1517" s="13" t="n">
        <v>0.19</v>
      </c>
      <c r="L1517" t="n">
        <v>3462.32</v>
      </c>
      <c r="M1517" t="n">
        <v>21685.07</v>
      </c>
      <c r="N1517" t="inlineStr">
        <is>
          <t>EUR</t>
        </is>
      </c>
      <c r="O1517" t="inlineStr">
        <is>
          <t>Alba Iulia</t>
        </is>
      </c>
      <c r="P1517" s="12" t="n">
        <v>46212</v>
      </c>
      <c r="Q1517">
        <f>IF(COUNTIF(tbl_Localitati[oras_oficial],[@oras])=0,"ORAS NEALINIAT",IF(XLOOKUP([@oras],tbl_Localitati[oras_oficial],tbl_Localitati[judet],"?")&lt;&gt;[@judet],"JUDET NECORESPUNZATOR",""))</f>
        <v/>
      </c>
      <c r="R1517">
        <f>IF(XLOOKUP([@categorie],tbl_RegulriTVA[categorie],tbl_RegulriTVA[cota_legala],-1)&lt;&gt;[@cota_tva],"TVA GRESIT","")</f>
        <v/>
      </c>
      <c r="S1517">
        <f>IF([@data_scadentei]&lt;[@data_factura],"SCADENTA INAINTEA FACTURII","")</f>
        <v/>
      </c>
      <c r="T1517">
        <f>IF(NETWORKDAYS.INTL([@data_factura],[@data_factura],1,tbl_SarbatoriLegale[data])=0,"ZI NELUCRATOARE","")</f>
        <v/>
      </c>
      <c r="U1517">
        <f>IF([@motiv_anomalie]="","OK","DE INVESTIGAT")</f>
        <v/>
      </c>
      <c r="V1517">
        <f>TEXTJOIN("; ",TRUE,[@flag_oras],[@flag_tva],[@flag_scadenta],[@flag_zi])</f>
        <v/>
      </c>
    </row>
    <row r="1518">
      <c r="A1518" t="inlineStr">
        <is>
          <t>F-2025-01517</t>
        </is>
      </c>
      <c r="B1518" s="12" t="n">
        <v>46358</v>
      </c>
      <c r="C1518" t="inlineStr">
        <is>
          <t>SC NORDIS DISTRIBUTIE SRL</t>
        </is>
      </c>
      <c r="D1518" t="inlineStr">
        <is>
          <t>Constanța</t>
        </is>
      </c>
      <c r="E1518" t="inlineStr">
        <is>
          <t>PRD-002</t>
        </is>
      </c>
      <c r="F1518" t="inlineStr">
        <is>
          <t>Videoproiector sala</t>
        </is>
      </c>
      <c r="G1518" t="inlineStr">
        <is>
          <t>Echipamente birou</t>
        </is>
      </c>
      <c r="H1518" t="n">
        <v>3</v>
      </c>
      <c r="I1518" t="n">
        <v>1136.72</v>
      </c>
      <c r="J1518" t="n">
        <v>3410.16</v>
      </c>
      <c r="K1518" s="13" t="n">
        <v>0.19</v>
      </c>
      <c r="L1518" t="n">
        <v>647.9299999999999</v>
      </c>
      <c r="M1518" t="n">
        <v>4058.09</v>
      </c>
      <c r="N1518" t="inlineStr">
        <is>
          <t>RON</t>
        </is>
      </c>
      <c r="O1518" t="inlineStr">
        <is>
          <t>Mangalia</t>
        </is>
      </c>
      <c r="P1518" s="12" t="n">
        <v>46403</v>
      </c>
      <c r="Q1518">
        <f>IF(COUNTIF(tbl_Localitati[oras_oficial],[@oras])=0,"ORAS NEALINIAT",IF(XLOOKUP([@oras],tbl_Localitati[oras_oficial],tbl_Localitati[judet],"?")&lt;&gt;[@judet],"JUDET NECORESPUNZATOR",""))</f>
        <v/>
      </c>
      <c r="R1518">
        <f>IF(XLOOKUP([@categorie],tbl_RegulriTVA[categorie],tbl_RegulriTVA[cota_legala],-1)&lt;&gt;[@cota_tva],"TVA GRESIT","")</f>
        <v/>
      </c>
      <c r="S1518">
        <f>IF([@data_scadentei]&lt;[@data_factura],"SCADENTA INAINTEA FACTURII","")</f>
        <v/>
      </c>
      <c r="T1518">
        <f>IF(NETWORKDAYS.INTL([@data_factura],[@data_factura],1,tbl_SarbatoriLegale[data])=0,"ZI NELUCRATOARE","")</f>
        <v/>
      </c>
      <c r="U1518">
        <f>IF([@motiv_anomalie]="","OK","DE INVESTIGAT")</f>
        <v/>
      </c>
      <c r="V1518">
        <f>TEXTJOIN("; ",TRUE,[@flag_oras],[@flag_tva],[@flag_scadenta],[@flag_zi])</f>
        <v/>
      </c>
    </row>
    <row r="1519">
      <c r="A1519" t="inlineStr">
        <is>
          <t>F-2025-01518</t>
        </is>
      </c>
      <c r="B1519" s="12" t="n">
        <v>46093</v>
      </c>
      <c r="C1519" t="inlineStr">
        <is>
          <t>SC VECTOR CONSULT SRL</t>
        </is>
      </c>
      <c r="D1519" t="inlineStr">
        <is>
          <t>Timiș</t>
        </is>
      </c>
      <c r="E1519" t="inlineStr">
        <is>
          <t>PRD-007</t>
        </is>
      </c>
      <c r="F1519" t="inlineStr">
        <is>
          <t>Videoproiector sala</t>
        </is>
      </c>
      <c r="G1519" t="inlineStr">
        <is>
          <t>Echipamente birou</t>
        </is>
      </c>
      <c r="H1519" t="n">
        <v>1</v>
      </c>
      <c r="I1519" t="n">
        <v>187.33</v>
      </c>
      <c r="J1519" t="n">
        <v>187.33</v>
      </c>
      <c r="K1519" s="13" t="n">
        <v>0.19</v>
      </c>
      <c r="L1519" t="n">
        <v>35.59</v>
      </c>
      <c r="M1519" t="n">
        <v>222.92</v>
      </c>
      <c r="N1519" t="inlineStr">
        <is>
          <t>RON</t>
        </is>
      </c>
      <c r="O1519" t="inlineStr">
        <is>
          <t>Timișoara</t>
        </is>
      </c>
      <c r="P1519" s="12" t="n">
        <v>46138</v>
      </c>
      <c r="Q1519">
        <f>IF(COUNTIF(tbl_Localitati[oras_oficial],[@oras])=0,"ORAS NEALINIAT",IF(XLOOKUP([@oras],tbl_Localitati[oras_oficial],tbl_Localitati[judet],"?")&lt;&gt;[@judet],"JUDET NECORESPUNZATOR",""))</f>
        <v/>
      </c>
      <c r="R1519">
        <f>IF(XLOOKUP([@categorie],tbl_RegulriTVA[categorie],tbl_RegulriTVA[cota_legala],-1)&lt;&gt;[@cota_tva],"TVA GRESIT","")</f>
        <v/>
      </c>
      <c r="S1519">
        <f>IF([@data_scadentei]&lt;[@data_factura],"SCADENTA INAINTEA FACTURII","")</f>
        <v/>
      </c>
      <c r="T1519">
        <f>IF(NETWORKDAYS.INTL([@data_factura],[@data_factura],1,tbl_SarbatoriLegale[data])=0,"ZI NELUCRATOARE","")</f>
        <v/>
      </c>
      <c r="U1519">
        <f>IF([@motiv_anomalie]="","OK","DE INVESTIGAT")</f>
        <v/>
      </c>
      <c r="V1519">
        <f>TEXTJOIN("; ",TRUE,[@flag_oras],[@flag_tva],[@flag_scadenta],[@flag_zi])</f>
        <v/>
      </c>
    </row>
    <row r="1520">
      <c r="A1520" t="inlineStr">
        <is>
          <t>F-2025-01519</t>
        </is>
      </c>
      <c r="B1520" s="12" t="n">
        <v>46107</v>
      </c>
      <c r="C1520" t="inlineStr">
        <is>
          <t>SC SOLARIS ENERGY SRL</t>
        </is>
      </c>
      <c r="D1520" t="inlineStr">
        <is>
          <t>Prahova</t>
        </is>
      </c>
      <c r="E1520" t="inlineStr">
        <is>
          <t>PRD-011</t>
        </is>
      </c>
      <c r="F1520" t="inlineStr">
        <is>
          <t>Tocator documente</t>
        </is>
      </c>
      <c r="G1520" t="inlineStr">
        <is>
          <t>Echipamente birou</t>
        </is>
      </c>
      <c r="H1520" t="n">
        <v>5</v>
      </c>
      <c r="I1520" t="n">
        <v>46.51</v>
      </c>
      <c r="J1520" t="n">
        <v>232.55</v>
      </c>
      <c r="K1520" s="13" t="n">
        <v>0.19</v>
      </c>
      <c r="L1520" t="n">
        <v>44.18</v>
      </c>
      <c r="M1520" t="n">
        <v>276.73</v>
      </c>
      <c r="N1520" t="inlineStr">
        <is>
          <t>RON</t>
        </is>
      </c>
      <c r="O1520" t="inlineStr">
        <is>
          <t>Câmpina</t>
        </is>
      </c>
      <c r="P1520" s="12" t="n">
        <v>46152</v>
      </c>
      <c r="Q1520">
        <f>IF(COUNTIF(tbl_Localitati[oras_oficial],[@oras])=0,"ORAS NEALINIAT",IF(XLOOKUP([@oras],tbl_Localitati[oras_oficial],tbl_Localitati[judet],"?")&lt;&gt;[@judet],"JUDET NECORESPUNZATOR",""))</f>
        <v/>
      </c>
      <c r="R1520">
        <f>IF(XLOOKUP([@categorie],tbl_RegulriTVA[categorie],tbl_RegulriTVA[cota_legala],-1)&lt;&gt;[@cota_tva],"TVA GRESIT","")</f>
        <v/>
      </c>
      <c r="S1520">
        <f>IF([@data_scadentei]&lt;[@data_factura],"SCADENTA INAINTEA FACTURII","")</f>
        <v/>
      </c>
      <c r="T1520">
        <f>IF(NETWORKDAYS.INTL([@data_factura],[@data_factura],1,tbl_SarbatoriLegale[data])=0,"ZI NELUCRATOARE","")</f>
        <v/>
      </c>
      <c r="U1520">
        <f>IF([@motiv_anomalie]="","OK","DE INVESTIGAT")</f>
        <v/>
      </c>
      <c r="V1520">
        <f>TEXTJOIN("; ",TRUE,[@flag_oras],[@flag_tva],[@flag_scadenta],[@flag_zi])</f>
        <v/>
      </c>
    </row>
    <row r="1521">
      <c r="A1521" t="inlineStr">
        <is>
          <t>F-2025-01520</t>
        </is>
      </c>
      <c r="B1521" s="12" t="n">
        <v>46223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rack 1U</t>
        </is>
      </c>
      <c r="G1521" t="inlineStr">
        <is>
          <t>Hardware IT</t>
        </is>
      </c>
      <c r="H1521" t="n">
        <v>1</v>
      </c>
      <c r="I1521" t="n">
        <v>4384.31</v>
      </c>
      <c r="J1521" t="n">
        <v>4384.31</v>
      </c>
      <c r="K1521" s="13" t="n">
        <v>0.19</v>
      </c>
      <c r="L1521" t="n">
        <v>833.02</v>
      </c>
      <c r="M1521" t="n">
        <v>5217.33</v>
      </c>
      <c r="N1521" t="inlineStr">
        <is>
          <t>RON</t>
        </is>
      </c>
      <c r="O1521" t="inlineStr">
        <is>
          <t>Sibiu</t>
        </is>
      </c>
      <c r="P1521" s="12" t="n">
        <v>46253</v>
      </c>
      <c r="Q1521">
        <f>IF(COUNTIF(tbl_Localitati[oras_oficial],[@oras])=0,"ORAS NEALINIAT",IF(XLOOKUP([@oras],tbl_Localitati[oras_oficial],tbl_Localitati[judet],"?")&lt;&gt;[@judet],"JUDET NECORESPUNZATOR",""))</f>
        <v/>
      </c>
      <c r="R1521">
        <f>IF(XLOOKUP([@categorie],tbl_RegulriTVA[categorie],tbl_RegulriTVA[cota_legala],-1)&lt;&gt;[@cota_tva],"TVA GRESIT","")</f>
        <v/>
      </c>
      <c r="S1521">
        <f>IF([@data_scadentei]&lt;[@data_factura],"SCADENTA INAINTEA FACTURII","")</f>
        <v/>
      </c>
      <c r="T1521">
        <f>IF(NETWORKDAYS.INTL([@data_factura],[@data_factura],1,tbl_SarbatoriLegale[data])=0,"ZI NELUCRATOARE","")</f>
        <v/>
      </c>
      <c r="U1521">
        <f>IF([@motiv_anomalie]="","OK","DE INVESTIGAT")</f>
        <v/>
      </c>
      <c r="V1521">
        <f>TEXTJOIN("; ",TRUE,[@flag_oras],[@flag_tva],[@flag_scadenta],[@flag_zi])</f>
        <v/>
      </c>
    </row>
    <row r="1522">
      <c r="A1522" t="inlineStr">
        <is>
          <t>F-2025-01521</t>
        </is>
      </c>
      <c r="B1522" s="12" t="n">
        <v>46041</v>
      </c>
      <c r="C1522" t="inlineStr">
        <is>
          <t>SC OMEGA SOFT SRL</t>
        </is>
      </c>
      <c r="D1522" t="inlineStr">
        <is>
          <t>Dolj</t>
        </is>
      </c>
      <c r="E1522" t="inlineStr">
        <is>
          <t>PRD-001</t>
        </is>
      </c>
      <c r="F1522" t="inlineStr">
        <is>
          <t>Suport tehnic anual</t>
        </is>
      </c>
      <c r="G1522" t="inlineStr">
        <is>
          <t>Servicii consultanță</t>
        </is>
      </c>
      <c r="H1522" t="n">
        <v>5</v>
      </c>
      <c r="I1522" t="n">
        <v>2283.89</v>
      </c>
      <c r="J1522" t="n">
        <v>11419.45</v>
      </c>
      <c r="K1522" s="13" t="n">
        <v>0.19</v>
      </c>
      <c r="L1522" t="n">
        <v>2169.7</v>
      </c>
      <c r="M1522" t="n">
        <v>13589.15</v>
      </c>
      <c r="N1522" t="inlineStr">
        <is>
          <t>RON</t>
        </is>
      </c>
      <c r="O1522" t="inlineStr">
        <is>
          <t>Craiova</t>
        </is>
      </c>
      <c r="P1522" s="12" t="n">
        <v>46086</v>
      </c>
      <c r="Q1522">
        <f>IF(COUNTIF(tbl_Localitati[oras_oficial],[@oras])=0,"ORAS NEALINIAT",IF(XLOOKUP([@oras],tbl_Localitati[oras_oficial],tbl_Localitati[judet],"?")&lt;&gt;[@judet],"JUDET NECORESPUNZATOR",""))</f>
        <v/>
      </c>
      <c r="R1522">
        <f>IF(XLOOKUP([@categorie],tbl_RegulriTVA[categorie],tbl_RegulriTVA[cota_legala],-1)&lt;&gt;[@cota_tva],"TVA GRESIT","")</f>
        <v/>
      </c>
      <c r="S1522">
        <f>IF([@data_scadentei]&lt;[@data_factura],"SCADENTA INAINTEA FACTURII","")</f>
        <v/>
      </c>
      <c r="T1522">
        <f>IF(NETWORKDAYS.INTL([@data_factura],[@data_factura],1,tbl_SarbatoriLegale[data])=0,"ZI NELUCRATOARE","")</f>
        <v/>
      </c>
      <c r="U1522">
        <f>IF([@motiv_anomalie]="","OK","DE INVESTIGAT")</f>
        <v/>
      </c>
      <c r="V1522">
        <f>TEXTJOIN("; ",TRUE,[@flag_oras],[@flag_tva],[@flag_scadenta],[@flag_zi])</f>
        <v/>
      </c>
    </row>
    <row r="1523">
      <c r="A1523" t="inlineStr">
        <is>
          <t>F-2025-01522</t>
        </is>
      </c>
      <c r="B1523" s="12" t="n">
        <v>46343</v>
      </c>
      <c r="C1523" t="inlineStr">
        <is>
          <t>SC DACTECH SOLUTIONS SRL</t>
        </is>
      </c>
      <c r="D1523" t="inlineStr">
        <is>
          <t>Argeș</t>
        </is>
      </c>
      <c r="E1523" t="inlineStr">
        <is>
          <t>PRD-010</t>
        </is>
      </c>
      <c r="F1523" t="inlineStr">
        <is>
          <t>Tocator documente</t>
        </is>
      </c>
      <c r="G1523" t="inlineStr">
        <is>
          <t>Echipamente birou</t>
        </is>
      </c>
      <c r="H1523" t="n">
        <v>10</v>
      </c>
      <c r="I1523" t="n">
        <v>333.04</v>
      </c>
      <c r="J1523" t="n">
        <v>3330.4</v>
      </c>
      <c r="K1523" s="13" t="n">
        <v>0.19</v>
      </c>
      <c r="L1523" t="n">
        <v>632.78</v>
      </c>
      <c r="M1523" t="n">
        <v>3963.18</v>
      </c>
      <c r="N1523" t="inlineStr">
        <is>
          <t>RON</t>
        </is>
      </c>
      <c r="O1523" t="inlineStr">
        <is>
          <t>Pitești</t>
        </is>
      </c>
      <c r="P1523" s="12" t="n">
        <v>46403</v>
      </c>
      <c r="Q1523">
        <f>IF(COUNTIF(tbl_Localitati[oras_oficial],[@oras])=0,"ORAS NEALINIAT",IF(XLOOKUP([@oras],tbl_Localitati[oras_oficial],tbl_Localitati[judet],"?")&lt;&gt;[@judet],"JUDET NECORESPUNZATOR",""))</f>
        <v/>
      </c>
      <c r="R1523">
        <f>IF(XLOOKUP([@categorie],tbl_RegulriTVA[categorie],tbl_RegulriTVA[cota_legala],-1)&lt;&gt;[@cota_tva],"TVA GRESIT","")</f>
        <v/>
      </c>
      <c r="S1523">
        <f>IF([@data_scadentei]&lt;[@data_factura],"SCADENTA INAINTEA FACTURII","")</f>
        <v/>
      </c>
      <c r="T1523">
        <f>IF(NETWORKDAYS.INTL([@data_factura],[@data_factura],1,tbl_SarbatoriLegale[data])=0,"ZI NELUCRATOARE","")</f>
        <v/>
      </c>
      <c r="U1523">
        <f>IF([@motiv_anomalie]="","OK","DE INVESTIGAT")</f>
        <v/>
      </c>
      <c r="V1523">
        <f>TEXTJOIN("; ",TRUE,[@flag_oras],[@flag_tva],[@flag_scadenta],[@flag_zi])</f>
        <v/>
      </c>
    </row>
    <row r="1524">
      <c r="A1524" t="inlineStr">
        <is>
          <t>F-2025-01523</t>
        </is>
      </c>
      <c r="B1524" s="12" t="n">
        <v>46387</v>
      </c>
      <c r="C1524" t="inlineStr">
        <is>
          <t>SC OMEGA SOFT SRL</t>
        </is>
      </c>
      <c r="D1524" t="inlineStr">
        <is>
          <t>Dolj</t>
        </is>
      </c>
      <c r="E1524" t="inlineStr">
        <is>
          <t>PRD-002</t>
        </is>
      </c>
      <c r="F1524" t="inlineStr">
        <is>
          <t>Telefon IP birou</t>
        </is>
      </c>
      <c r="G1524" t="inlineStr">
        <is>
          <t>Echipamente birou</t>
        </is>
      </c>
      <c r="H1524" t="n">
        <v>2</v>
      </c>
      <c r="I1524" t="n">
        <v>1124.11</v>
      </c>
      <c r="J1524" t="n">
        <v>2248.22</v>
      </c>
      <c r="K1524" s="13" t="n">
        <v>0.19</v>
      </c>
      <c r="L1524" t="n">
        <v>427.16</v>
      </c>
      <c r="M1524" t="n">
        <v>2675.38</v>
      </c>
      <c r="N1524" t="inlineStr">
        <is>
          <t>RON</t>
        </is>
      </c>
      <c r="O1524" t="inlineStr">
        <is>
          <t>Craiova</t>
        </is>
      </c>
      <c r="P1524" s="12" t="n">
        <v>46402</v>
      </c>
      <c r="Q1524">
        <f>IF(COUNTIF(tbl_Localitati[oras_oficial],[@oras])=0,"ORAS NEALINIAT",IF(XLOOKUP([@oras],tbl_Localitati[oras_oficial],tbl_Localitati[judet],"?")&lt;&gt;[@judet],"JUDET NECORESPUNZATOR",""))</f>
        <v/>
      </c>
      <c r="R1524">
        <f>IF(XLOOKUP([@categorie],tbl_RegulriTVA[categorie],tbl_RegulriTVA[cota_legala],-1)&lt;&gt;[@cota_tva],"TVA GRESIT","")</f>
        <v/>
      </c>
      <c r="S1524">
        <f>IF([@data_scadentei]&lt;[@data_factura],"SCADENTA INAINTEA FACTURII","")</f>
        <v/>
      </c>
      <c r="T1524">
        <f>IF(NETWORKDAYS.INTL([@data_factura],[@data_factura],1,tbl_SarbatoriLegale[data])=0,"ZI NELUCRATOARE","")</f>
        <v/>
      </c>
      <c r="U1524">
        <f>IF([@motiv_anomalie]="","OK","DE INVESTIGAT")</f>
        <v/>
      </c>
      <c r="V1524">
        <f>TEXTJOIN("; ",TRUE,[@flag_oras],[@flag_tva],[@flag_scadenta],[@flag_zi])</f>
        <v/>
      </c>
    </row>
    <row r="1525">
      <c r="A1525" t="inlineStr">
        <is>
          <t>F-2025-01524</t>
        </is>
      </c>
      <c r="B1525" s="12" t="n">
        <v>46281</v>
      </c>
      <c r="C1525" t="inlineStr">
        <is>
          <t>SC NORDIS DISTRIBUTIE SRL</t>
        </is>
      </c>
      <c r="D1525" t="inlineStr">
        <is>
          <t>Constanța</t>
        </is>
      </c>
      <c r="E1525" t="inlineStr">
        <is>
          <t>PRD-009</t>
        </is>
      </c>
      <c r="F1525" t="inlineStr">
        <is>
          <t>Licenta Office 365 anuala</t>
        </is>
      </c>
      <c r="G1525" t="inlineStr">
        <is>
          <t>Licențe software</t>
        </is>
      </c>
      <c r="H1525" t="n">
        <v>100</v>
      </c>
      <c r="I1525" t="n">
        <v>28.86</v>
      </c>
      <c r="J1525" t="n">
        <v>2886</v>
      </c>
      <c r="K1525" s="13" t="n">
        <v>0.19</v>
      </c>
      <c r="L1525" t="n">
        <v>548.34</v>
      </c>
      <c r="M1525" t="n">
        <v>3434.34</v>
      </c>
      <c r="N1525" t="inlineStr">
        <is>
          <t>RON</t>
        </is>
      </c>
      <c r="O1525" t="inlineStr">
        <is>
          <t>Mangalia</t>
        </is>
      </c>
      <c r="P1525" s="12" t="n">
        <v>46296</v>
      </c>
      <c r="Q1525">
        <f>IF(COUNTIF(tbl_Localitati[oras_oficial],[@oras])=0,"ORAS NEALINIAT",IF(XLOOKUP([@oras],tbl_Localitati[oras_oficial],tbl_Localitati[judet],"?")&lt;&gt;[@judet],"JUDET NECORESPUNZATOR",""))</f>
        <v/>
      </c>
      <c r="R1525">
        <f>IF(XLOOKUP([@categorie],tbl_RegulriTVA[categorie],tbl_RegulriTVA[cota_legala],-1)&lt;&gt;[@cota_tva],"TVA GRESIT","")</f>
        <v/>
      </c>
      <c r="S1525">
        <f>IF([@data_scadentei]&lt;[@data_factura],"SCADENTA INAINTEA FACTURII","")</f>
        <v/>
      </c>
      <c r="T1525">
        <f>IF(NETWORKDAYS.INTL([@data_factura],[@data_factura],1,tbl_SarbatoriLegale[data])=0,"ZI NELUCRATOARE","")</f>
        <v/>
      </c>
      <c r="U1525">
        <f>IF([@motiv_anomalie]="","OK","DE INVESTIGAT")</f>
        <v/>
      </c>
      <c r="V1525">
        <f>TEXTJOIN("; ",TRUE,[@flag_oras],[@flag_tva],[@flag_scadenta],[@flag_zi])</f>
        <v/>
      </c>
    </row>
    <row r="1526">
      <c r="A1526" t="inlineStr">
        <is>
          <t>F-2025-01525</t>
        </is>
      </c>
      <c r="B1526" s="12" t="n">
        <v>46104</v>
      </c>
      <c r="C1526" t="inlineStr">
        <is>
          <t>SC DACTECH SOLUTIONS SRL</t>
        </is>
      </c>
      <c r="D1526" t="inlineStr">
        <is>
          <t>Argeș</t>
        </is>
      </c>
      <c r="E1526" t="inlineStr">
        <is>
          <t>PRD-013</t>
        </is>
      </c>
      <c r="F1526" t="inlineStr">
        <is>
          <t>Cafea boabe 1kg</t>
        </is>
      </c>
      <c r="G1526" t="inlineStr">
        <is>
          <t>Alimente</t>
        </is>
      </c>
      <c r="H1526" t="n">
        <v>2</v>
      </c>
      <c r="I1526" t="n">
        <v>1190.86</v>
      </c>
      <c r="J1526" t="n">
        <v>2381.72</v>
      </c>
      <c r="K1526" s="13" t="n">
        <v>0.09</v>
      </c>
      <c r="L1526" t="n">
        <v>214.35</v>
      </c>
      <c r="M1526" t="n">
        <v>2596.07</v>
      </c>
      <c r="N1526" t="inlineStr">
        <is>
          <t>RON</t>
        </is>
      </c>
      <c r="O1526" t="inlineStr">
        <is>
          <t>Pitești</t>
        </is>
      </c>
      <c r="P1526" s="12" t="n">
        <v>46134</v>
      </c>
      <c r="Q1526">
        <f>IF(COUNTIF(tbl_Localitati[oras_oficial],[@oras])=0,"ORAS NEALINIAT",IF(XLOOKUP([@oras],tbl_Localitati[oras_oficial],tbl_Localitati[judet],"?")&lt;&gt;[@judet],"JUDET NECORESPUNZATOR",""))</f>
        <v/>
      </c>
      <c r="R1526">
        <f>IF(XLOOKUP([@categorie],tbl_RegulriTVA[categorie],tbl_RegulriTVA[cota_legala],-1)&lt;&gt;[@cota_tva],"TVA GRESIT","")</f>
        <v/>
      </c>
      <c r="S1526">
        <f>IF([@data_scadentei]&lt;[@data_factura],"SCADENTA INAINTEA FACTURII","")</f>
        <v/>
      </c>
      <c r="T1526">
        <f>IF(NETWORKDAYS.INTL([@data_factura],[@data_factura],1,tbl_SarbatoriLegale[data])=0,"ZI NELUCRATOARE","")</f>
        <v/>
      </c>
      <c r="U1526">
        <f>IF([@motiv_anomalie]="","OK","DE INVESTIGAT")</f>
        <v/>
      </c>
      <c r="V1526">
        <f>TEXTJOIN("; ",TRUE,[@flag_oras],[@flag_tva],[@flag_scadenta],[@flag_zi])</f>
        <v/>
      </c>
    </row>
    <row r="1527">
      <c r="A1527" t="inlineStr">
        <is>
          <t>F-2025-01526</t>
        </is>
      </c>
      <c r="B1527" s="12" t="n">
        <v>46162</v>
      </c>
      <c r="C1527" t="inlineStr">
        <is>
          <t>SC METALPLAST INVEST SA</t>
        </is>
      </c>
      <c r="D1527" t="inlineStr">
        <is>
          <t>Cluj</t>
        </is>
      </c>
      <c r="E1527" t="inlineStr">
        <is>
          <t>PRD-005</t>
        </is>
      </c>
      <c r="F1527" t="inlineStr">
        <is>
          <t>Licenta ERP contabilitate</t>
        </is>
      </c>
      <c r="G1527" t="inlineStr">
        <is>
          <t>Licențe software</t>
        </is>
      </c>
      <c r="H1527" t="n">
        <v>1</v>
      </c>
      <c r="I1527" t="n">
        <v>251.34</v>
      </c>
      <c r="J1527" t="n">
        <v>251.34</v>
      </c>
      <c r="K1527" s="13" t="n">
        <v>0.19</v>
      </c>
      <c r="L1527" t="n">
        <v>47.75</v>
      </c>
      <c r="M1527" t="n">
        <v>299.09</v>
      </c>
      <c r="N1527" t="inlineStr">
        <is>
          <t>EUR</t>
        </is>
      </c>
      <c r="O1527" t="inlineStr">
        <is>
          <t>Turda</t>
        </is>
      </c>
      <c r="P1527" s="12" t="n">
        <v>46207</v>
      </c>
      <c r="Q1527">
        <f>IF(COUNTIF(tbl_Localitati[oras_oficial],[@oras])=0,"ORAS NEALINIAT",IF(XLOOKUP([@oras],tbl_Localitati[oras_oficial],tbl_Localitati[judet],"?")&lt;&gt;[@judet],"JUDET NECORESPUNZATOR",""))</f>
        <v/>
      </c>
      <c r="R1527">
        <f>IF(XLOOKUP([@categorie],tbl_RegulriTVA[categorie],tbl_RegulriTVA[cota_legala],-1)&lt;&gt;[@cota_tva],"TVA GRESIT","")</f>
        <v/>
      </c>
      <c r="S1527">
        <f>IF([@data_scadentei]&lt;[@data_factura],"SCADENTA INAINTEA FACTURII","")</f>
        <v/>
      </c>
      <c r="T1527">
        <f>IF(NETWORKDAYS.INTL([@data_factura],[@data_factura],1,tbl_SarbatoriLegale[data])=0,"ZI NELUCRATOARE","")</f>
        <v/>
      </c>
      <c r="U1527">
        <f>IF([@motiv_anomalie]="","OK","DE INVESTIGAT")</f>
        <v/>
      </c>
      <c r="V1527">
        <f>TEXTJOIN("; ",TRUE,[@flag_oras],[@flag_tva],[@flag_scadenta],[@flag_zi])</f>
        <v/>
      </c>
    </row>
    <row r="1528">
      <c r="A1528" t="inlineStr">
        <is>
          <t>F-2025-01527</t>
        </is>
      </c>
      <c r="B1528" s="12" t="n">
        <v>46231</v>
      </c>
      <c r="C1528" t="inlineStr">
        <is>
          <t>SC OMEGA SOFT SRL</t>
        </is>
      </c>
      <c r="D1528" t="inlineStr">
        <is>
          <t>Dolj</t>
        </is>
      </c>
      <c r="E1528" t="inlineStr">
        <is>
          <t>PRD-011</t>
        </is>
      </c>
      <c r="F1528" t="inlineStr">
        <is>
          <t>Statie de lucru desktop</t>
        </is>
      </c>
      <c r="G1528" t="inlineStr">
        <is>
          <t>Hardware IT</t>
        </is>
      </c>
      <c r="H1528" t="n">
        <v>50</v>
      </c>
      <c r="I1528" t="n">
        <v>47.23</v>
      </c>
      <c r="J1528" t="n">
        <v>2361.5</v>
      </c>
      <c r="K1528" s="13" t="n">
        <v>0.19</v>
      </c>
      <c r="L1528" t="n">
        <v>448.69</v>
      </c>
      <c r="M1528" t="n">
        <v>2810.19</v>
      </c>
      <c r="N1528" t="inlineStr">
        <is>
          <t>RON</t>
        </is>
      </c>
      <c r="O1528" t="inlineStr">
        <is>
          <t>Craiova</t>
        </is>
      </c>
      <c r="P1528" s="12" t="n">
        <v>46261</v>
      </c>
      <c r="Q1528">
        <f>IF(COUNTIF(tbl_Localitati[oras_oficial],[@oras])=0,"ORAS NEALINIAT",IF(XLOOKUP([@oras],tbl_Localitati[oras_oficial],tbl_Localitati[judet],"?")&lt;&gt;[@judet],"JUDET NECORESPUNZATOR",""))</f>
        <v/>
      </c>
      <c r="R1528">
        <f>IF(XLOOKUP([@categorie],tbl_RegulriTVA[categorie],tbl_RegulriTVA[cota_legala],-1)&lt;&gt;[@cota_tva],"TVA GRESIT","")</f>
        <v/>
      </c>
      <c r="S1528">
        <f>IF([@data_scadentei]&lt;[@data_factura],"SCADENTA INAINTEA FACTURII","")</f>
        <v/>
      </c>
      <c r="T1528">
        <f>IF(NETWORKDAYS.INTL([@data_factura],[@data_factura],1,tbl_SarbatoriLegale[data])=0,"ZI NELUCRATOARE","")</f>
        <v/>
      </c>
      <c r="U1528">
        <f>IF([@motiv_anomalie]="","OK","DE INVESTIGAT")</f>
        <v/>
      </c>
      <c r="V1528">
        <f>TEXTJOIN("; ",TRUE,[@flag_oras],[@flag_tva],[@flag_scadenta],[@flag_zi])</f>
        <v/>
      </c>
    </row>
    <row r="1529">
      <c r="A1529" t="inlineStr">
        <is>
          <t>F-2025-01528</t>
        </is>
      </c>
      <c r="B1529" s="12" t="n">
        <v>46125</v>
      </c>
      <c r="C1529" t="inlineStr">
        <is>
          <t>SC ZENITH AUTO SRL</t>
        </is>
      </c>
      <c r="D1529" t="inlineStr">
        <is>
          <t>București</t>
        </is>
      </c>
      <c r="E1529" t="inlineStr">
        <is>
          <t>PRD-003</t>
        </is>
      </c>
      <c r="F1529" t="inlineStr">
        <is>
          <t>Licenta ERP contabilitate</t>
        </is>
      </c>
      <c r="G1529" t="inlineStr">
        <is>
          <t>Licențe software</t>
        </is>
      </c>
      <c r="H1529" t="n">
        <v>2</v>
      </c>
      <c r="I1529" t="n">
        <v>4390.36</v>
      </c>
      <c r="J1529" t="n">
        <v>8780.719999999999</v>
      </c>
      <c r="K1529" s="13" t="n">
        <v>0.19</v>
      </c>
      <c r="L1529" t="n">
        <v>1668.34</v>
      </c>
      <c r="M1529" t="n">
        <v>10449.06</v>
      </c>
      <c r="N1529" t="inlineStr">
        <is>
          <t>RON</t>
        </is>
      </c>
      <c r="O1529" t="inlineStr">
        <is>
          <t>București</t>
        </is>
      </c>
      <c r="P1529" s="12" t="n">
        <v>46155</v>
      </c>
      <c r="Q1529">
        <f>IF(COUNTIF(tbl_Localitati[oras_oficial],[@oras])=0,"ORAS NEALINIAT",IF(XLOOKUP([@oras],tbl_Localitati[oras_oficial],tbl_Localitati[judet],"?")&lt;&gt;[@judet],"JUDET NECORESPUNZATOR",""))</f>
        <v/>
      </c>
      <c r="R1529">
        <f>IF(XLOOKUP([@categorie],tbl_RegulriTVA[categorie],tbl_RegulriTVA[cota_legala],-1)&lt;&gt;[@cota_tva],"TVA GRESIT","")</f>
        <v/>
      </c>
      <c r="S1529">
        <f>IF([@data_scadentei]&lt;[@data_factura],"SCADENTA INAINTEA FACTURII","")</f>
        <v/>
      </c>
      <c r="T1529">
        <f>IF(NETWORKDAYS.INTL([@data_factura],[@data_factura],1,tbl_SarbatoriLegale[data])=0,"ZI NELUCRATOARE","")</f>
        <v/>
      </c>
      <c r="U1529">
        <f>IF([@motiv_anomalie]="","OK","DE INVESTIGAT")</f>
        <v/>
      </c>
      <c r="V1529">
        <f>TEXTJOIN("; ",TRUE,[@flag_oras],[@flag_tva],[@flag_scadenta],[@flag_zi])</f>
        <v/>
      </c>
    </row>
    <row r="1530">
      <c r="A1530" t="inlineStr">
        <is>
          <t>F-2025-01529</t>
        </is>
      </c>
      <c r="B1530" s="12" t="n">
        <v>46094</v>
      </c>
      <c r="C1530" t="inlineStr">
        <is>
          <t>SC DACTECH SOLUTIONS SRL</t>
        </is>
      </c>
      <c r="D1530" t="inlineStr">
        <is>
          <t>Argeș</t>
        </is>
      </c>
      <c r="E1530" t="inlineStr">
        <is>
          <t>PRD-002</t>
        </is>
      </c>
      <c r="F1530" t="inlineStr">
        <is>
          <t>Abonament suita cloud</t>
        </is>
      </c>
      <c r="G1530" t="inlineStr">
        <is>
          <t>Licențe software</t>
        </is>
      </c>
      <c r="H1530" t="n">
        <v>3</v>
      </c>
      <c r="I1530" t="n">
        <v>1083.24</v>
      </c>
      <c r="J1530" t="n">
        <v>3249.72</v>
      </c>
      <c r="K1530" s="13" t="n">
        <v>0.19</v>
      </c>
      <c r="L1530" t="n">
        <v>617.45</v>
      </c>
      <c r="M1530" t="n">
        <v>3867.17</v>
      </c>
      <c r="N1530" t="inlineStr">
        <is>
          <t>RON</t>
        </is>
      </c>
      <c r="O1530" t="inlineStr">
        <is>
          <t>Pitești</t>
        </is>
      </c>
      <c r="P1530" s="12" t="n">
        <v>46124</v>
      </c>
      <c r="Q1530">
        <f>IF(COUNTIF(tbl_Localitati[oras_oficial],[@oras])=0,"ORAS NEALINIAT",IF(XLOOKUP([@oras],tbl_Localitati[oras_oficial],tbl_Localitati[judet],"?")&lt;&gt;[@judet],"JUDET NECORESPUNZATOR",""))</f>
        <v/>
      </c>
      <c r="R1530">
        <f>IF(XLOOKUP([@categorie],tbl_RegulriTVA[categorie],tbl_RegulriTVA[cota_legala],-1)&lt;&gt;[@cota_tva],"TVA GRESIT","")</f>
        <v/>
      </c>
      <c r="S1530">
        <f>IF([@data_scadentei]&lt;[@data_factura],"SCADENTA INAINTEA FACTURII","")</f>
        <v/>
      </c>
      <c r="T1530">
        <f>IF(NETWORKDAYS.INTL([@data_factura],[@data_factura],1,tbl_SarbatoriLegale[data])=0,"ZI NELUCRATOARE","")</f>
        <v/>
      </c>
      <c r="U1530">
        <f>IF([@motiv_anomalie]="","OK","DE INVESTIGAT")</f>
        <v/>
      </c>
      <c r="V1530">
        <f>TEXTJOIN("; ",TRUE,[@flag_oras],[@flag_tva],[@flag_scadenta],[@flag_zi])</f>
        <v/>
      </c>
    </row>
    <row r="1531">
      <c r="A1531" t="inlineStr">
        <is>
          <t>F-2025-01530</t>
        </is>
      </c>
      <c r="B1531" s="12" t="n">
        <v>46184</v>
      </c>
      <c r="C1531" t="inlineStr">
        <is>
          <t>SC DACTECH SOLUTIONS SRL</t>
        </is>
      </c>
      <c r="D1531" t="inlineStr">
        <is>
          <t>Argeș</t>
        </is>
      </c>
      <c r="E1531" t="inlineStr">
        <is>
          <t>PRD-004</t>
        </is>
      </c>
      <c r="F1531" t="inlineStr">
        <is>
          <t>Monitor 27" 4K</t>
        </is>
      </c>
      <c r="G1531" t="inlineStr">
        <is>
          <t>Hardware IT</t>
        </is>
      </c>
      <c r="H1531" t="n">
        <v>1</v>
      </c>
      <c r="I1531" t="n">
        <v>871.86</v>
      </c>
      <c r="J1531" t="n">
        <v>871.86</v>
      </c>
      <c r="K1531" s="13" t="n">
        <v>0.19</v>
      </c>
      <c r="L1531" t="n">
        <v>165.65</v>
      </c>
      <c r="M1531" t="n">
        <v>1037.51</v>
      </c>
      <c r="N1531" t="inlineStr">
        <is>
          <t>RON</t>
        </is>
      </c>
      <c r="O1531" t="inlineStr">
        <is>
          <t>Pitești</t>
        </is>
      </c>
      <c r="P1531" s="12" t="n">
        <v>46244</v>
      </c>
      <c r="Q1531">
        <f>IF(COUNTIF(tbl_Localitati[oras_oficial],[@oras])=0,"ORAS NEALINIAT",IF(XLOOKUP([@oras],tbl_Localitati[oras_oficial],tbl_Localitati[judet],"?")&lt;&gt;[@judet],"JUDET NECORESPUNZATOR",""))</f>
        <v/>
      </c>
      <c r="R1531">
        <f>IF(XLOOKUP([@categorie],tbl_RegulriTVA[categorie],tbl_RegulriTVA[cota_legala],-1)&lt;&gt;[@cota_tva],"TVA GRESIT","")</f>
        <v/>
      </c>
      <c r="S1531">
        <f>IF([@data_scadentei]&lt;[@data_factura],"SCADENTA INAINTEA FACTURII","")</f>
        <v/>
      </c>
      <c r="T1531">
        <f>IF(NETWORKDAYS.INTL([@data_factura],[@data_factura],1,tbl_SarbatoriLegale[data])=0,"ZI NELUCRATOARE","")</f>
        <v/>
      </c>
      <c r="U1531">
        <f>IF([@motiv_anomalie]="","OK","DE INVESTIGAT")</f>
        <v/>
      </c>
      <c r="V1531">
        <f>TEXTJOIN("; ",TRUE,[@flag_oras],[@flag_tva],[@flag_scadenta],[@flag_zi])</f>
        <v/>
      </c>
    </row>
    <row r="1532">
      <c r="A1532" t="inlineStr">
        <is>
          <t>F-2025-01531</t>
        </is>
      </c>
      <c r="B1532" s="12" t="n">
        <v>46339</v>
      </c>
      <c r="C1532" t="inlineStr">
        <is>
          <t>SC DACTECH SOLUTIONS SRL</t>
        </is>
      </c>
      <c r="D1532" t="inlineStr">
        <is>
          <t>Argeș</t>
        </is>
      </c>
      <c r="E1532" t="inlineStr">
        <is>
          <t>PRD-011</t>
        </is>
      </c>
      <c r="F1532" t="inlineStr">
        <is>
          <t>Licenta ERP contabilitate</t>
        </is>
      </c>
      <c r="G1532" t="inlineStr">
        <is>
          <t>Licențe software</t>
        </is>
      </c>
      <c r="H1532" t="n">
        <v>20</v>
      </c>
      <c r="I1532" t="n">
        <v>44.86</v>
      </c>
      <c r="J1532" t="n">
        <v>897.2</v>
      </c>
      <c r="K1532" s="13" t="n">
        <v>0.19</v>
      </c>
      <c r="L1532" t="n">
        <v>170.47</v>
      </c>
      <c r="M1532" t="n">
        <v>1067.67</v>
      </c>
      <c r="N1532" t="inlineStr">
        <is>
          <t>RON</t>
        </is>
      </c>
      <c r="O1532" t="inlineStr">
        <is>
          <t>Pitești</t>
        </is>
      </c>
      <c r="P1532" s="12" t="n">
        <v>46369</v>
      </c>
      <c r="Q1532">
        <f>IF(COUNTIF(tbl_Localitati[oras_oficial],[@oras])=0,"ORAS NEALINIAT",IF(XLOOKUP([@oras],tbl_Localitati[oras_oficial],tbl_Localitati[judet],"?")&lt;&gt;[@judet],"JUDET NECORESPUNZATOR",""))</f>
        <v/>
      </c>
      <c r="R1532">
        <f>IF(XLOOKUP([@categorie],tbl_RegulriTVA[categorie],tbl_RegulriTVA[cota_legala],-1)&lt;&gt;[@cota_tva],"TVA GRESIT","")</f>
        <v/>
      </c>
      <c r="S1532">
        <f>IF([@data_scadentei]&lt;[@data_factura],"SCADENTA INAINTEA FACTURII","")</f>
        <v/>
      </c>
      <c r="T1532">
        <f>IF(NETWORKDAYS.INTL([@data_factura],[@data_factura],1,tbl_SarbatoriLegale[data])=0,"ZI NELUCRATOARE","")</f>
        <v/>
      </c>
      <c r="U1532">
        <f>IF([@motiv_anomalie]="","OK","DE INVESTIGAT")</f>
        <v/>
      </c>
      <c r="V1532">
        <f>TEXTJOIN("; ",TRUE,[@flag_oras],[@flag_tva],[@flag_scadenta],[@flag_zi])</f>
        <v/>
      </c>
    </row>
    <row r="1533">
      <c r="A1533" t="inlineStr">
        <is>
          <t>F-2025-01532</t>
        </is>
      </c>
      <c r="B1533" s="12" t="n">
        <v>46093</v>
      </c>
      <c r="C1533" t="inlineStr">
        <is>
          <t>SC METALPLAST INVEST SA</t>
        </is>
      </c>
      <c r="D1533" t="inlineStr">
        <is>
          <t>Cluj</t>
        </is>
      </c>
      <c r="E1533" t="inlineStr">
        <is>
          <t>PRD-006</t>
        </is>
      </c>
      <c r="F1533" t="inlineStr">
        <is>
          <t>Tocator documente</t>
        </is>
      </c>
      <c r="G1533" t="inlineStr">
        <is>
          <t>Echipamente birou</t>
        </is>
      </c>
      <c r="H1533" t="n">
        <v>1</v>
      </c>
      <c r="I1533" t="n">
        <v>723.86</v>
      </c>
      <c r="J1533" t="n">
        <v>723.86</v>
      </c>
      <c r="K1533" s="13" t="n">
        <v>0.19</v>
      </c>
      <c r="L1533" t="n">
        <v>137.53</v>
      </c>
      <c r="M1533" t="n">
        <v>861.39</v>
      </c>
      <c r="N1533" t="inlineStr">
        <is>
          <t>RON</t>
        </is>
      </c>
      <c r="O1533" t="inlineStr">
        <is>
          <t>Turda</t>
        </is>
      </c>
      <c r="P1533" s="12" t="n">
        <v>46138</v>
      </c>
      <c r="Q1533">
        <f>IF(COUNTIF(tbl_Localitati[oras_oficial],[@oras])=0,"ORAS NEALINIAT",IF(XLOOKUP([@oras],tbl_Localitati[oras_oficial],tbl_Localitati[judet],"?")&lt;&gt;[@judet],"JUDET NECORESPUNZATOR",""))</f>
        <v/>
      </c>
      <c r="R1533">
        <f>IF(XLOOKUP([@categorie],tbl_RegulriTVA[categorie],tbl_RegulriTVA[cota_legala],-1)&lt;&gt;[@cota_tva],"TVA GRESIT","")</f>
        <v/>
      </c>
      <c r="S1533">
        <f>IF([@data_scadentei]&lt;[@data_factura],"SCADENTA INAINTEA FACTURII","")</f>
        <v/>
      </c>
      <c r="T1533">
        <f>IF(NETWORKDAYS.INTL([@data_factura],[@data_factura],1,tbl_SarbatoriLegale[data])=0,"ZI NELUCRATOARE","")</f>
        <v/>
      </c>
      <c r="U1533">
        <f>IF([@motiv_anomalie]="","OK","DE INVESTIGAT")</f>
        <v/>
      </c>
      <c r="V1533">
        <f>TEXTJOIN("; ",TRUE,[@flag_oras],[@flag_tva],[@flag_scadenta],[@flag_zi])</f>
        <v/>
      </c>
    </row>
    <row r="1534">
      <c r="A1534" t="inlineStr">
        <is>
          <t>F-2025-01533</t>
        </is>
      </c>
      <c r="B1534" s="12" t="n">
        <v>46280</v>
      </c>
      <c r="C1534" t="inlineStr">
        <is>
          <t>SC AROMET TRADING SRL</t>
        </is>
      </c>
      <c r="D1534" t="inlineStr">
        <is>
          <t>Alba</t>
        </is>
      </c>
      <c r="E1534" t="inlineStr">
        <is>
          <t>PRD-002</t>
        </is>
      </c>
      <c r="F1534" t="inlineStr">
        <is>
          <t>Consultanta implementare IT</t>
        </is>
      </c>
      <c r="G1534" t="inlineStr">
        <is>
          <t>Servicii consultanță</t>
        </is>
      </c>
      <c r="H1534" t="n">
        <v>5</v>
      </c>
      <c r="I1534" t="n">
        <v>1113.43</v>
      </c>
      <c r="J1534" t="n">
        <v>5567.15</v>
      </c>
      <c r="K1534" s="13" t="n">
        <v>0.19</v>
      </c>
      <c r="L1534" t="n">
        <v>1057.76</v>
      </c>
      <c r="M1534" t="n">
        <v>6624.91</v>
      </c>
      <c r="N1534" t="inlineStr">
        <is>
          <t>RON</t>
        </is>
      </c>
      <c r="O1534" t="inlineStr">
        <is>
          <t>Alba Iulia</t>
        </is>
      </c>
      <c r="P1534" s="12" t="n">
        <v>46310</v>
      </c>
      <c r="Q1534">
        <f>IF(COUNTIF(tbl_Localitati[oras_oficial],[@oras])=0,"ORAS NEALINIAT",IF(XLOOKUP([@oras],tbl_Localitati[oras_oficial],tbl_Localitati[judet],"?")&lt;&gt;[@judet],"JUDET NECORESPUNZATOR",""))</f>
        <v/>
      </c>
      <c r="R1534">
        <f>IF(XLOOKUP([@categorie],tbl_RegulriTVA[categorie],tbl_RegulriTVA[cota_legala],-1)&lt;&gt;[@cota_tva],"TVA GRESIT","")</f>
        <v/>
      </c>
      <c r="S1534">
        <f>IF([@data_scadentei]&lt;[@data_factura],"SCADENTA INAINTEA FACTURII","")</f>
        <v/>
      </c>
      <c r="T1534">
        <f>IF(NETWORKDAYS.INTL([@data_factura],[@data_factura],1,tbl_SarbatoriLegale[data])=0,"ZI NELUCRATOARE","")</f>
        <v/>
      </c>
      <c r="U1534">
        <f>IF([@motiv_anomalie]="","OK","DE INVESTIGAT")</f>
        <v/>
      </c>
      <c r="V1534">
        <f>TEXTJOIN("; ",TRUE,[@flag_oras],[@flag_tva],[@flag_scadenta],[@flag_zi])</f>
        <v/>
      </c>
    </row>
    <row r="1535">
      <c r="A1535" t="inlineStr">
        <is>
          <t>F-2025-01534</t>
        </is>
      </c>
      <c r="B1535" s="12" t="n">
        <v>46128</v>
      </c>
      <c r="C1535" t="inlineStr">
        <is>
          <t>SC OMEGA SOFT SRL</t>
        </is>
      </c>
      <c r="D1535" t="inlineStr">
        <is>
          <t>Dolj</t>
        </is>
      </c>
      <c r="E1535" t="inlineStr">
        <is>
          <t>PRD-002</t>
        </is>
      </c>
      <c r="F1535" t="inlineStr">
        <is>
          <t>Termometru digital</t>
        </is>
      </c>
      <c r="G1535" t="inlineStr">
        <is>
          <t>Produse farmaceutice</t>
        </is>
      </c>
      <c r="H1535" t="n">
        <v>2</v>
      </c>
      <c r="I1535" t="n">
        <v>1069.23</v>
      </c>
      <c r="J1535" t="n">
        <v>2138.46</v>
      </c>
      <c r="K1535" s="13" t="n">
        <v>0.09</v>
      </c>
      <c r="L1535" t="n">
        <v>192.46</v>
      </c>
      <c r="M1535" t="n">
        <v>2330.92</v>
      </c>
      <c r="N1535" t="inlineStr">
        <is>
          <t>RON</t>
        </is>
      </c>
      <c r="O1535" t="inlineStr">
        <is>
          <t>Craiova</t>
        </is>
      </c>
      <c r="P1535" s="12" t="n">
        <v>46158</v>
      </c>
      <c r="Q1535">
        <f>IF(COUNTIF(tbl_Localitati[oras_oficial],[@oras])=0,"ORAS NEALINIAT",IF(XLOOKUP([@oras],tbl_Localitati[oras_oficial],tbl_Localitati[judet],"?")&lt;&gt;[@judet],"JUDET NECORESPUNZATOR",""))</f>
        <v/>
      </c>
      <c r="R1535">
        <f>IF(XLOOKUP([@categorie],tbl_RegulriTVA[categorie],tbl_RegulriTVA[cota_legala],-1)&lt;&gt;[@cota_tva],"TVA GRESIT","")</f>
        <v/>
      </c>
      <c r="S1535">
        <f>IF([@data_scadentei]&lt;[@data_factura],"SCADENTA INAINTEA FACTURII","")</f>
        <v/>
      </c>
      <c r="T1535">
        <f>IF(NETWORKDAYS.INTL([@data_factura],[@data_factura],1,tbl_SarbatoriLegale[data])=0,"ZI NELUCRATOARE","")</f>
        <v/>
      </c>
      <c r="U1535">
        <f>IF([@motiv_anomalie]="","OK","DE INVESTIGAT")</f>
        <v/>
      </c>
      <c r="V1535">
        <f>TEXTJOIN("; ",TRUE,[@flag_oras],[@flag_tva],[@flag_scadenta],[@flag_zi])</f>
        <v/>
      </c>
    </row>
    <row r="1536">
      <c r="A1536" t="inlineStr">
        <is>
          <t>F-2025-01535</t>
        </is>
      </c>
      <c r="B1536" s="12" t="n">
        <v>46099</v>
      </c>
      <c r="C1536" t="inlineStr">
        <is>
          <t>SC RAPID LOGISTIC SA</t>
        </is>
      </c>
      <c r="D1536" t="inlineStr">
        <is>
          <t>Prahova</t>
        </is>
      </c>
      <c r="E1536" t="inlineStr">
        <is>
          <t>PRD-008</t>
        </is>
      </c>
      <c r="F1536" t="inlineStr">
        <is>
          <t>Tocator documente</t>
        </is>
      </c>
      <c r="G1536" t="inlineStr">
        <is>
          <t>Echipamente birou</t>
        </is>
      </c>
      <c r="H1536" t="n">
        <v>5</v>
      </c>
      <c r="I1536" t="n">
        <v>452.79</v>
      </c>
      <c r="J1536" t="n">
        <v>2263.95</v>
      </c>
      <c r="K1536" s="13" t="n">
        <v>0.19</v>
      </c>
      <c r="L1536" t="n">
        <v>430.15</v>
      </c>
      <c r="M1536" t="n">
        <v>2694.1</v>
      </c>
      <c r="N1536" t="inlineStr">
        <is>
          <t>RON</t>
        </is>
      </c>
      <c r="O1536" t="inlineStr">
        <is>
          <t>Ploiești</t>
        </is>
      </c>
      <c r="P1536" s="12" t="n">
        <v>46129</v>
      </c>
      <c r="Q1536">
        <f>IF(COUNTIF(tbl_Localitati[oras_oficial],[@oras])=0,"ORAS NEALINIAT",IF(XLOOKUP([@oras],tbl_Localitati[oras_oficial],tbl_Localitati[judet],"?")&lt;&gt;[@judet],"JUDET NECORESPUNZATOR",""))</f>
        <v/>
      </c>
      <c r="R1536">
        <f>IF(XLOOKUP([@categorie],tbl_RegulriTVA[categorie],tbl_RegulriTVA[cota_legala],-1)&lt;&gt;[@cota_tva],"TVA GRESIT","")</f>
        <v/>
      </c>
      <c r="S1536">
        <f>IF([@data_scadentei]&lt;[@data_factura],"SCADENTA INAINTEA FACTURII","")</f>
        <v/>
      </c>
      <c r="T1536">
        <f>IF(NETWORKDAYS.INTL([@data_factura],[@data_factura],1,tbl_SarbatoriLegale[data])=0,"ZI NELUCRATOARE","")</f>
        <v/>
      </c>
      <c r="U1536">
        <f>IF([@motiv_anomalie]="","OK","DE INVESTIGAT")</f>
        <v/>
      </c>
      <c r="V1536">
        <f>TEXTJOIN("; ",TRUE,[@flag_oras],[@flag_tva],[@flag_scadenta],[@flag_zi])</f>
        <v/>
      </c>
    </row>
    <row r="1537">
      <c r="A1537" t="inlineStr">
        <is>
          <t>F-2025-01536</t>
        </is>
      </c>
      <c r="B1537" s="12" t="n">
        <v>46323</v>
      </c>
      <c r="C1537" t="inlineStr">
        <is>
          <t>SC NORDIS DISTRIBUTIE SRL</t>
        </is>
      </c>
      <c r="D1537" t="inlineStr">
        <is>
          <t>Constanța</t>
        </is>
      </c>
      <c r="E1537" t="inlineStr">
        <is>
          <t>PRD-001</t>
        </is>
      </c>
      <c r="F1537" t="inlineStr">
        <is>
          <t>Tocator documente</t>
        </is>
      </c>
      <c r="G1537" t="inlineStr">
        <is>
          <t>Echipamente birou</t>
        </is>
      </c>
      <c r="H1537" t="n">
        <v>1</v>
      </c>
      <c r="I1537" t="n">
        <v>2400.15</v>
      </c>
      <c r="J1537" t="n">
        <v>2400.15</v>
      </c>
      <c r="K1537" s="13" t="n">
        <v>0.19</v>
      </c>
      <c r="L1537" t="n">
        <v>456.03</v>
      </c>
      <c r="M1537" t="n">
        <v>2856.18</v>
      </c>
      <c r="N1537" t="inlineStr">
        <is>
          <t>RON</t>
        </is>
      </c>
      <c r="O1537" t="inlineStr">
        <is>
          <t>Mangalia</t>
        </is>
      </c>
      <c r="P1537" s="12" t="n">
        <v>46338</v>
      </c>
      <c r="Q1537">
        <f>IF(COUNTIF(tbl_Localitati[oras_oficial],[@oras])=0,"ORAS NEALINIAT",IF(XLOOKUP([@oras],tbl_Localitati[oras_oficial],tbl_Localitati[judet],"?")&lt;&gt;[@judet],"JUDET NECORESPUNZATOR",""))</f>
        <v/>
      </c>
      <c r="R1537">
        <f>IF(XLOOKUP([@categorie],tbl_RegulriTVA[categorie],tbl_RegulriTVA[cota_legala],-1)&lt;&gt;[@cota_tva],"TVA GRESIT","")</f>
        <v/>
      </c>
      <c r="S1537">
        <f>IF([@data_scadentei]&lt;[@data_factura],"SCADENTA INAINTEA FACTURII","")</f>
        <v/>
      </c>
      <c r="T1537">
        <f>IF(NETWORKDAYS.INTL([@data_factura],[@data_factura],1,tbl_SarbatoriLegale[data])=0,"ZI NELUCRATOARE","")</f>
        <v/>
      </c>
      <c r="U1537">
        <f>IF([@motiv_anomalie]="","OK","DE INVESTIGAT")</f>
        <v/>
      </c>
      <c r="V1537">
        <f>TEXTJOIN("; ",TRUE,[@flag_oras],[@flag_tva],[@flag_scadenta],[@flag_zi])</f>
        <v/>
      </c>
    </row>
    <row r="1538">
      <c r="A1538" t="inlineStr">
        <is>
          <t>F-2025-01537</t>
        </is>
      </c>
      <c r="B1538" s="12" t="n">
        <v>46212</v>
      </c>
      <c r="C1538" t="inlineStr">
        <is>
          <t>SC PROVITA MEDICAL SRL</t>
        </is>
      </c>
      <c r="D1538" t="inlineStr">
        <is>
          <t>Mureș</t>
        </is>
      </c>
      <c r="E1538" t="inlineStr">
        <is>
          <t>PRD-006</t>
        </is>
      </c>
      <c r="F1538" t="inlineStr">
        <is>
          <t>Videoproiector sala</t>
        </is>
      </c>
      <c r="G1538" t="inlineStr">
        <is>
          <t>Echipamente birou</t>
        </is>
      </c>
      <c r="H1538" t="n">
        <v>25</v>
      </c>
      <c r="I1538" t="n">
        <v>755.28</v>
      </c>
      <c r="J1538" t="n">
        <v>18882</v>
      </c>
      <c r="K1538" s="13" t="n">
        <v>0.19</v>
      </c>
      <c r="L1538" t="n">
        <v>3587.58</v>
      </c>
      <c r="M1538" t="n">
        <v>22469.58</v>
      </c>
      <c r="N1538" t="inlineStr">
        <is>
          <t>RON</t>
        </is>
      </c>
      <c r="O1538" t="inlineStr">
        <is>
          <t>Târgu Mureș</t>
        </is>
      </c>
      <c r="P1538" s="12" t="n">
        <v>46242</v>
      </c>
      <c r="Q1538">
        <f>IF(COUNTIF(tbl_Localitati[oras_oficial],[@oras])=0,"ORAS NEALINIAT",IF(XLOOKUP([@oras],tbl_Localitati[oras_oficial],tbl_Localitati[judet],"?")&lt;&gt;[@judet],"JUDET NECORESPUNZATOR",""))</f>
        <v/>
      </c>
      <c r="R1538">
        <f>IF(XLOOKUP([@categorie],tbl_RegulriTVA[categorie],tbl_RegulriTVA[cota_legala],-1)&lt;&gt;[@cota_tva],"TVA GRESIT","")</f>
        <v/>
      </c>
      <c r="S1538">
        <f>IF([@data_scadentei]&lt;[@data_factura],"SCADENTA INAINTEA FACTURII","")</f>
        <v/>
      </c>
      <c r="T1538">
        <f>IF(NETWORKDAYS.INTL([@data_factura],[@data_factura],1,tbl_SarbatoriLegale[data])=0,"ZI NELUCRATOARE","")</f>
        <v/>
      </c>
      <c r="U1538">
        <f>IF([@motiv_anomalie]="","OK","DE INVESTIGAT")</f>
        <v/>
      </c>
      <c r="V1538">
        <f>TEXTJOIN("; ",TRUE,[@flag_oras],[@flag_tva],[@flag_scadenta],[@flag_zi])</f>
        <v/>
      </c>
    </row>
    <row r="1539">
      <c r="A1539" t="inlineStr">
        <is>
          <t>F-2025-01538</t>
        </is>
      </c>
      <c r="B1539" s="12" t="n">
        <v>46139</v>
      </c>
      <c r="C1539" t="inlineStr">
        <is>
          <t>SC DACTECH SOLUTIONS SRL</t>
        </is>
      </c>
      <c r="D1539" t="inlineStr">
        <is>
          <t>Argeș</t>
        </is>
      </c>
      <c r="E1539" t="inlineStr">
        <is>
          <t>PRD-001</t>
        </is>
      </c>
      <c r="F1539" t="inlineStr">
        <is>
          <t>Multifunctionala laser</t>
        </is>
      </c>
      <c r="G1539" t="inlineStr">
        <is>
          <t>Echipamente birou</t>
        </is>
      </c>
      <c r="H1539" t="n">
        <v>1</v>
      </c>
      <c r="I1539" t="n">
        <v>2385.25</v>
      </c>
      <c r="J1539" t="n">
        <v>2385.25</v>
      </c>
      <c r="K1539" s="13" t="n">
        <v>0.19</v>
      </c>
      <c r="L1539" t="n">
        <v>453.2</v>
      </c>
      <c r="M1539" t="n">
        <v>2838.45</v>
      </c>
      <c r="N1539" t="inlineStr">
        <is>
          <t>RON</t>
        </is>
      </c>
      <c r="O1539" t="inlineStr">
        <is>
          <t>Pitești</t>
        </is>
      </c>
      <c r="P1539" s="12" t="n">
        <v>46169</v>
      </c>
      <c r="Q1539">
        <f>IF(COUNTIF(tbl_Localitati[oras_oficial],[@oras])=0,"ORAS NEALINIAT",IF(XLOOKUP([@oras],tbl_Localitati[oras_oficial],tbl_Localitati[judet],"?")&lt;&gt;[@judet],"JUDET NECORESPUNZATOR",""))</f>
        <v/>
      </c>
      <c r="R1539">
        <f>IF(XLOOKUP([@categorie],tbl_RegulriTVA[categorie],tbl_RegulriTVA[cota_legala],-1)&lt;&gt;[@cota_tva],"TVA GRESIT","")</f>
        <v/>
      </c>
      <c r="S1539">
        <f>IF([@data_scadentei]&lt;[@data_factura],"SCADENTA INAINTEA FACTURII","")</f>
        <v/>
      </c>
      <c r="T1539">
        <f>IF(NETWORKDAYS.INTL([@data_factura],[@data_factura],1,tbl_SarbatoriLegale[data])=0,"ZI NELUCRATOARE","")</f>
        <v/>
      </c>
      <c r="U1539">
        <f>IF([@motiv_anomalie]="","OK","DE INVESTIGAT")</f>
        <v/>
      </c>
      <c r="V1539">
        <f>TEXTJOIN("; ",TRUE,[@flag_oras],[@flag_tva],[@flag_scadenta],[@flag_zi])</f>
        <v/>
      </c>
    </row>
    <row r="1540">
      <c r="A1540" t="inlineStr">
        <is>
          <t>F-2025-01539</t>
        </is>
      </c>
      <c r="B1540" s="12" t="n">
        <v>46064</v>
      </c>
      <c r="C1540" t="inlineStr">
        <is>
          <t>SC DACTECH SOLUTIONS SRL</t>
        </is>
      </c>
      <c r="D1540" t="inlineStr">
        <is>
          <t>Argeș</t>
        </is>
      </c>
      <c r="E1540" t="inlineStr">
        <is>
          <t>PRD-001</t>
        </is>
      </c>
      <c r="F1540" t="inlineStr">
        <is>
          <t>Tocator documente</t>
        </is>
      </c>
      <c r="G1540" t="inlineStr">
        <is>
          <t>Echipamente birou</t>
        </is>
      </c>
      <c r="H1540" t="n">
        <v>1</v>
      </c>
      <c r="I1540" t="n">
        <v>2314.5</v>
      </c>
      <c r="J1540" t="n">
        <v>2314.5</v>
      </c>
      <c r="K1540" s="13" t="n">
        <v>0.19</v>
      </c>
      <c r="L1540" t="n">
        <v>439.75</v>
      </c>
      <c r="M1540" t="n">
        <v>2754.25</v>
      </c>
      <c r="N1540" t="inlineStr">
        <is>
          <t>EUR</t>
        </is>
      </c>
      <c r="O1540" t="inlineStr">
        <is>
          <t>Pitești</t>
        </is>
      </c>
      <c r="P1540" s="12" t="n">
        <v>46124</v>
      </c>
      <c r="Q1540">
        <f>IF(COUNTIF(tbl_Localitati[oras_oficial],[@oras])=0,"ORAS NEALINIAT",IF(XLOOKUP([@oras],tbl_Localitati[oras_oficial],tbl_Localitati[judet],"?")&lt;&gt;[@judet],"JUDET NECORESPUNZATOR",""))</f>
        <v/>
      </c>
      <c r="R1540">
        <f>IF(XLOOKUP([@categorie],tbl_RegulriTVA[categorie],tbl_RegulriTVA[cota_legala],-1)&lt;&gt;[@cota_tva],"TVA GRESIT","")</f>
        <v/>
      </c>
      <c r="S1540">
        <f>IF([@data_scadentei]&lt;[@data_factura],"SCADENTA INAINTEA FACTURII","")</f>
        <v/>
      </c>
      <c r="T1540">
        <f>IF(NETWORKDAYS.INTL([@data_factura],[@data_factura],1,tbl_SarbatoriLegale[data])=0,"ZI NELUCRATOARE","")</f>
        <v/>
      </c>
      <c r="U1540">
        <f>IF([@motiv_anomalie]="","OK","DE INVESTIGAT")</f>
        <v/>
      </c>
      <c r="V1540">
        <f>TEXTJOIN("; ",TRUE,[@flag_oras],[@flag_tva],[@flag_scadenta],[@flag_zi])</f>
        <v/>
      </c>
    </row>
    <row r="1541">
      <c r="A1541" t="inlineStr">
        <is>
          <t>F-2025-01540</t>
        </is>
      </c>
      <c r="B1541" s="12" t="n">
        <v>46106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Server rack 1U</t>
        </is>
      </c>
      <c r="G1541" t="inlineStr">
        <is>
          <t>Hardware IT</t>
        </is>
      </c>
      <c r="H1541" t="n">
        <v>50</v>
      </c>
      <c r="I1541" t="n">
        <v>181.5</v>
      </c>
      <c r="J1541" t="n">
        <v>9075</v>
      </c>
      <c r="K1541" s="13" t="n">
        <v>0.19</v>
      </c>
      <c r="L1541" t="n">
        <v>1724.25</v>
      </c>
      <c r="M1541" t="n">
        <v>10799.25</v>
      </c>
      <c r="N1541" t="inlineStr">
        <is>
          <t>RON</t>
        </is>
      </c>
      <c r="O1541" t="inlineStr">
        <is>
          <t>Sibiu</t>
        </is>
      </c>
      <c r="P1541" s="12" t="n">
        <v>46136</v>
      </c>
      <c r="Q1541">
        <f>IF(COUNTIF(tbl_Localitati[oras_oficial],[@oras])=0,"ORAS NEALINIAT",IF(XLOOKUP([@oras],tbl_Localitati[oras_oficial],tbl_Localitati[judet],"?")&lt;&gt;[@judet],"JUDET NECORESPUNZATOR",""))</f>
        <v/>
      </c>
      <c r="R1541">
        <f>IF(XLOOKUP([@categorie],tbl_RegulriTVA[categorie],tbl_RegulriTVA[cota_legala],-1)&lt;&gt;[@cota_tva],"TVA GRESIT","")</f>
        <v/>
      </c>
      <c r="S1541">
        <f>IF([@data_scadentei]&lt;[@data_factura],"SCADENTA INAINTEA FACTURII","")</f>
        <v/>
      </c>
      <c r="T1541">
        <f>IF(NETWORKDAYS.INTL([@data_factura],[@data_factura],1,tbl_SarbatoriLegale[data])=0,"ZI NELUCRATOARE","")</f>
        <v/>
      </c>
      <c r="U1541">
        <f>IF([@motiv_anomalie]="","OK","DE INVESTIGAT")</f>
        <v/>
      </c>
      <c r="V1541">
        <f>TEXTJOIN("; ",TRUE,[@flag_oras],[@flag_tva],[@flag_scadenta],[@flag_zi])</f>
        <v/>
      </c>
    </row>
    <row r="1542">
      <c r="A1542" t="inlineStr">
        <is>
          <t>F-2025-01541</t>
        </is>
      </c>
      <c r="B1542" s="12" t="n">
        <v>46063</v>
      </c>
      <c r="C1542" t="inlineStr">
        <is>
          <t>SC AROMET TRADING SRL</t>
        </is>
      </c>
      <c r="D1542" t="inlineStr">
        <is>
          <t>Alba</t>
        </is>
      </c>
      <c r="E1542" t="inlineStr">
        <is>
          <t>PRD-001</t>
        </is>
      </c>
      <c r="F1542" t="inlineStr">
        <is>
          <t>Pachet protocol sedinte</t>
        </is>
      </c>
      <c r="G1542" t="inlineStr">
        <is>
          <t>Alimente</t>
        </is>
      </c>
      <c r="H1542" t="n">
        <v>1</v>
      </c>
      <c r="I1542" t="n">
        <v>2456.68</v>
      </c>
      <c r="J1542" t="n">
        <v>2456.68</v>
      </c>
      <c r="K1542" s="13" t="n">
        <v>0.09</v>
      </c>
      <c r="L1542" t="n">
        <v>221.1</v>
      </c>
      <c r="M1542" t="n">
        <v>2677.78</v>
      </c>
      <c r="N1542" t="inlineStr">
        <is>
          <t>RON</t>
        </is>
      </c>
      <c r="O1542" t="inlineStr">
        <is>
          <t>Alba Iulia</t>
        </is>
      </c>
      <c r="P1542" s="12" t="n">
        <v>46093</v>
      </c>
      <c r="Q1542">
        <f>IF(COUNTIF(tbl_Localitati[oras_oficial],[@oras])=0,"ORAS NEALINIAT",IF(XLOOKUP([@oras],tbl_Localitati[oras_oficial],tbl_Localitati[judet],"?")&lt;&gt;[@judet],"JUDET NECORESPUNZATOR",""))</f>
        <v/>
      </c>
      <c r="R1542">
        <f>IF(XLOOKUP([@categorie],tbl_RegulriTVA[categorie],tbl_RegulriTVA[cota_legala],-1)&lt;&gt;[@cota_tva],"TVA GRESIT","")</f>
        <v/>
      </c>
      <c r="S1542">
        <f>IF([@data_scadentei]&lt;[@data_factura],"SCADENTA INAINTEA FACTURII","")</f>
        <v/>
      </c>
      <c r="T1542">
        <f>IF(NETWORKDAYS.INTL([@data_factura],[@data_factura],1,tbl_SarbatoriLegale[data])=0,"ZI NELUCRATOARE","")</f>
        <v/>
      </c>
      <c r="U1542">
        <f>IF([@motiv_anomalie]="","OK","DE INVESTIGAT")</f>
        <v/>
      </c>
      <c r="V1542">
        <f>TEXTJOIN("; ",TRUE,[@flag_oras],[@flag_tva],[@flag_scadenta],[@flag_zi])</f>
        <v/>
      </c>
    </row>
    <row r="1543">
      <c r="A1543" t="inlineStr">
        <is>
          <t>F-2025-01542</t>
        </is>
      </c>
      <c r="B1543" s="12" t="n">
        <v>46162</v>
      </c>
      <c r="C1543" t="inlineStr">
        <is>
          <t>SC DACTECH SOLUTIONS SRL</t>
        </is>
      </c>
      <c r="D1543" t="inlineStr">
        <is>
          <t>Argeș</t>
        </is>
      </c>
      <c r="E1543" t="inlineStr">
        <is>
          <t>PRD-002</t>
        </is>
      </c>
      <c r="F1543" t="inlineStr">
        <is>
          <t>Licenta ERP contabilitate</t>
        </is>
      </c>
      <c r="G1543" t="inlineStr">
        <is>
          <t>Licențe software</t>
        </is>
      </c>
      <c r="H1543" t="n">
        <v>2</v>
      </c>
      <c r="I1543" t="n">
        <v>1078.12</v>
      </c>
      <c r="J1543" t="n">
        <v>2156.24</v>
      </c>
      <c r="K1543" s="13" t="n">
        <v>0.19</v>
      </c>
      <c r="L1543" t="n">
        <v>409.69</v>
      </c>
      <c r="M1543" t="n">
        <v>2565.93</v>
      </c>
      <c r="N1543" t="inlineStr">
        <is>
          <t>RON</t>
        </is>
      </c>
      <c r="O1543" t="inlineStr">
        <is>
          <t>Pitești</t>
        </is>
      </c>
      <c r="P1543" s="12" t="n">
        <v>46192</v>
      </c>
      <c r="Q1543">
        <f>IF(COUNTIF(tbl_Localitati[oras_oficial],[@oras])=0,"ORAS NEALINIAT",IF(XLOOKUP([@oras],tbl_Localitati[oras_oficial],tbl_Localitati[judet],"?")&lt;&gt;[@judet],"JUDET NECORESPUNZATOR",""))</f>
        <v/>
      </c>
      <c r="R1543">
        <f>IF(XLOOKUP([@categorie],tbl_RegulriTVA[categorie],tbl_RegulriTVA[cota_legala],-1)&lt;&gt;[@cota_tva],"TVA GRESIT","")</f>
        <v/>
      </c>
      <c r="S1543">
        <f>IF([@data_scadentei]&lt;[@data_factura],"SCADENTA INAINTEA FACTURII","")</f>
        <v/>
      </c>
      <c r="T1543">
        <f>IF(NETWORKDAYS.INTL([@data_factura],[@data_factura],1,tbl_SarbatoriLegale[data])=0,"ZI NELUCRATOARE","")</f>
        <v/>
      </c>
      <c r="U1543">
        <f>IF([@motiv_anomalie]="","OK","DE INVESTIGAT")</f>
        <v/>
      </c>
      <c r="V1543">
        <f>TEXTJOIN("; ",TRUE,[@flag_oras],[@flag_tva],[@flag_scadenta],[@flag_zi])</f>
        <v/>
      </c>
    </row>
    <row r="1544">
      <c r="A1544" t="inlineStr">
        <is>
          <t>F-2025-01543</t>
        </is>
      </c>
      <c r="B1544" s="12" t="n">
        <v>46036</v>
      </c>
      <c r="C1544" t="inlineStr">
        <is>
          <t>SC PROVITA MEDICAL SRL</t>
        </is>
      </c>
      <c r="D1544" t="inlineStr">
        <is>
          <t>Mureș</t>
        </is>
      </c>
      <c r="E1544" t="inlineStr">
        <is>
          <t>PRD-003</t>
        </is>
      </c>
      <c r="F1544" t="inlineStr">
        <is>
          <t>Licenta Office 365 anuala</t>
        </is>
      </c>
      <c r="G1544" t="inlineStr">
        <is>
          <t>Licențe software</t>
        </is>
      </c>
      <c r="H1544" t="n">
        <v>3</v>
      </c>
      <c r="I1544" t="n">
        <v>4237.32</v>
      </c>
      <c r="J1544" t="n">
        <v>12711.96</v>
      </c>
      <c r="K1544" s="13" t="n">
        <v>0.19</v>
      </c>
      <c r="L1544" t="n">
        <v>2415.27</v>
      </c>
      <c r="M1544" t="n">
        <v>15127.23</v>
      </c>
      <c r="N1544" t="inlineStr">
        <is>
          <t>RON</t>
        </is>
      </c>
      <c r="O1544" t="inlineStr">
        <is>
          <t>Târgu Mureș</t>
        </is>
      </c>
      <c r="P1544" s="12" t="n">
        <v>46066</v>
      </c>
      <c r="Q1544">
        <f>IF(COUNTIF(tbl_Localitati[oras_oficial],[@oras])=0,"ORAS NEALINIAT",IF(XLOOKUP([@oras],tbl_Localitati[oras_oficial],tbl_Localitati[judet],"?")&lt;&gt;[@judet],"JUDET NECORESPUNZATOR",""))</f>
        <v/>
      </c>
      <c r="R1544">
        <f>IF(XLOOKUP([@categorie],tbl_RegulriTVA[categorie],tbl_RegulriTVA[cota_legala],-1)&lt;&gt;[@cota_tva],"TVA GRESIT","")</f>
        <v/>
      </c>
      <c r="S1544">
        <f>IF([@data_scadentei]&lt;[@data_factura],"SCADENTA INAINTEA FACTURII","")</f>
        <v/>
      </c>
      <c r="T1544">
        <f>IF(NETWORKDAYS.INTL([@data_factura],[@data_factura],1,tbl_SarbatoriLegale[data])=0,"ZI NELUCRATOARE","")</f>
        <v/>
      </c>
      <c r="U1544">
        <f>IF([@motiv_anomalie]="","OK","DE INVESTIGAT")</f>
        <v/>
      </c>
      <c r="V1544">
        <f>TEXTJOIN("; ",TRUE,[@flag_oras],[@flag_tva],[@flag_scadenta],[@flag_zi])</f>
        <v/>
      </c>
    </row>
    <row r="1545">
      <c r="A1545" t="inlineStr">
        <is>
          <t>F-2025-01544</t>
        </is>
      </c>
      <c r="B1545" s="12" t="n">
        <v>46345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Licenta antivirus enterprise</t>
        </is>
      </c>
      <c r="G1545" t="inlineStr">
        <is>
          <t>Licențe software</t>
        </is>
      </c>
      <c r="H1545" t="n">
        <v>1</v>
      </c>
      <c r="I1545" t="n">
        <v>172</v>
      </c>
      <c r="J1545" t="n">
        <v>172</v>
      </c>
      <c r="K1545" s="13" t="n">
        <v>0.19</v>
      </c>
      <c r="L1545" t="n">
        <v>32.68</v>
      </c>
      <c r="M1545" t="n">
        <v>204.68</v>
      </c>
      <c r="N1545" t="inlineStr">
        <is>
          <t>RON</t>
        </is>
      </c>
      <c r="O1545" t="inlineStr">
        <is>
          <t>Sibiu</t>
        </is>
      </c>
      <c r="P1545" s="12" t="n">
        <v>46405</v>
      </c>
      <c r="Q1545">
        <f>IF(COUNTIF(tbl_Localitati[oras_oficial],[@oras])=0,"ORAS NEALINIAT",IF(XLOOKUP([@oras],tbl_Localitati[oras_oficial],tbl_Localitati[judet],"?")&lt;&gt;[@judet],"JUDET NECORESPUNZATOR",""))</f>
        <v/>
      </c>
      <c r="R1545">
        <f>IF(XLOOKUP([@categorie],tbl_RegulriTVA[categorie],tbl_RegulriTVA[cota_legala],-1)&lt;&gt;[@cota_tva],"TVA GRESIT","")</f>
        <v/>
      </c>
      <c r="S1545">
        <f>IF([@data_scadentei]&lt;[@data_factura],"SCADENTA INAINTEA FACTURII","")</f>
        <v/>
      </c>
      <c r="T1545">
        <f>IF(NETWORKDAYS.INTL([@data_factura],[@data_factura],1,tbl_SarbatoriLegale[data])=0,"ZI NELUCRATOARE","")</f>
        <v/>
      </c>
      <c r="U1545">
        <f>IF([@motiv_anomalie]="","OK","DE INVESTIGAT")</f>
        <v/>
      </c>
      <c r="V1545">
        <f>TEXTJOIN("; ",TRUE,[@flag_oras],[@flag_tva],[@flag_scadenta],[@flag_zi])</f>
        <v/>
      </c>
    </row>
    <row r="1546">
      <c r="A1546" t="inlineStr">
        <is>
          <t>F-2025-01545</t>
        </is>
      </c>
      <c r="B1546" s="12" t="n">
        <v>46240</v>
      </c>
      <c r="C1546" t="inlineStr">
        <is>
          <t>SC RAPID LOGISTIC SA</t>
        </is>
      </c>
      <c r="D1546" t="inlineStr">
        <is>
          <t>Prahova</t>
        </is>
      </c>
      <c r="E1546" t="inlineStr">
        <is>
          <t>PRD-004</t>
        </is>
      </c>
      <c r="F1546" t="inlineStr">
        <is>
          <t>Audit infrastructura</t>
        </is>
      </c>
      <c r="G1546" t="inlineStr">
        <is>
          <t>Servicii consultanță</t>
        </is>
      </c>
      <c r="H1546" t="n">
        <v>1</v>
      </c>
      <c r="I1546" t="n">
        <v>896.28</v>
      </c>
      <c r="J1546" t="n">
        <v>896.28</v>
      </c>
      <c r="K1546" s="13" t="n">
        <v>0.19</v>
      </c>
      <c r="L1546" t="n">
        <v>170.29</v>
      </c>
      <c r="M1546" t="n">
        <v>1066.57</v>
      </c>
      <c r="N1546" t="inlineStr">
        <is>
          <t>RON</t>
        </is>
      </c>
      <c r="O1546" t="inlineStr">
        <is>
          <t>Ploiești</t>
        </is>
      </c>
      <c r="P1546" s="12" t="n">
        <v>46300</v>
      </c>
      <c r="Q1546">
        <f>IF(COUNTIF(tbl_Localitati[oras_oficial],[@oras])=0,"ORAS NEALINIAT",IF(XLOOKUP([@oras],tbl_Localitati[oras_oficial],tbl_Localitati[judet],"?")&lt;&gt;[@judet],"JUDET NECORESPUNZATOR",""))</f>
        <v/>
      </c>
      <c r="R1546">
        <f>IF(XLOOKUP([@categorie],tbl_RegulriTVA[categorie],tbl_RegulriTVA[cota_legala],-1)&lt;&gt;[@cota_tva],"TVA GRESIT","")</f>
        <v/>
      </c>
      <c r="S1546">
        <f>IF([@data_scadentei]&lt;[@data_factura],"SCADENTA INAINTEA FACTURII","")</f>
        <v/>
      </c>
      <c r="T1546">
        <f>IF(NETWORKDAYS.INTL([@data_factura],[@data_factura],1,tbl_SarbatoriLegale[data])=0,"ZI NELUCRATOARE","")</f>
        <v/>
      </c>
      <c r="U1546">
        <f>IF([@motiv_anomalie]="","OK","DE INVESTIGAT")</f>
        <v/>
      </c>
      <c r="V1546">
        <f>TEXTJOIN("; ",TRUE,[@flag_oras],[@flag_tva],[@flag_scadenta],[@flag_zi])</f>
        <v/>
      </c>
    </row>
    <row r="1547">
      <c r="A1547" t="inlineStr">
        <is>
          <t>F-2025-01546</t>
        </is>
      </c>
      <c r="B1547" s="12" t="n">
        <v>46133</v>
      </c>
      <c r="C1547" t="inlineStr">
        <is>
          <t>SC METALPLAST INVEST SA</t>
        </is>
      </c>
      <c r="D1547" t="inlineStr">
        <is>
          <t>Cluj</t>
        </is>
      </c>
      <c r="E1547" t="inlineStr">
        <is>
          <t>PRD-009</t>
        </is>
      </c>
      <c r="F1547" t="inlineStr">
        <is>
          <t>Ghid legislatie GDPR</t>
        </is>
      </c>
      <c r="G1547" t="inlineStr">
        <is>
          <t>Cărți și manuale</t>
        </is>
      </c>
      <c r="H1547" t="n">
        <v>10</v>
      </c>
      <c r="I1547" t="n">
        <v>27.08</v>
      </c>
      <c r="J1547" t="n">
        <v>270.8</v>
      </c>
      <c r="K1547" s="13" t="n">
        <v>0.05</v>
      </c>
      <c r="L1547" t="n">
        <v>13.54</v>
      </c>
      <c r="M1547" t="n">
        <v>284.34</v>
      </c>
      <c r="N1547" t="inlineStr">
        <is>
          <t>RON</t>
        </is>
      </c>
      <c r="O1547" t="inlineStr">
        <is>
          <t>Turda</t>
        </is>
      </c>
      <c r="P1547" s="12" t="n">
        <v>46163</v>
      </c>
      <c r="Q1547">
        <f>IF(COUNTIF(tbl_Localitati[oras_oficial],[@oras])=0,"ORAS NEALINIAT",IF(XLOOKUP([@oras],tbl_Localitati[oras_oficial],tbl_Localitati[judet],"?")&lt;&gt;[@judet],"JUDET NECORESPUNZATOR",""))</f>
        <v/>
      </c>
      <c r="R1547">
        <f>IF(XLOOKUP([@categorie],tbl_RegulriTVA[categorie],tbl_RegulriTVA[cota_legala],-1)&lt;&gt;[@cota_tva],"TVA GRESIT","")</f>
        <v/>
      </c>
      <c r="S1547">
        <f>IF([@data_scadentei]&lt;[@data_factura],"SCADENTA INAINTEA FACTURII","")</f>
        <v/>
      </c>
      <c r="T1547">
        <f>IF(NETWORKDAYS.INTL([@data_factura],[@data_factura],1,tbl_SarbatoriLegale[data])=0,"ZI NELUCRATOARE","")</f>
        <v/>
      </c>
      <c r="U1547">
        <f>IF([@motiv_anomalie]="","OK","DE INVESTIGAT")</f>
        <v/>
      </c>
      <c r="V1547">
        <f>TEXTJOIN("; ",TRUE,[@flag_oras],[@flag_tva],[@flag_scadenta],[@flag_zi])</f>
        <v/>
      </c>
    </row>
    <row r="1548">
      <c r="A1548" t="inlineStr">
        <is>
          <t>F-2025-01547</t>
        </is>
      </c>
      <c r="B1548" s="12" t="n">
        <v>46217</v>
      </c>
      <c r="C1548" t="inlineStr">
        <is>
          <t>SC SOLARIS ENERGY SRL</t>
        </is>
      </c>
      <c r="D1548" t="inlineStr">
        <is>
          <t>Prahova</t>
        </is>
      </c>
      <c r="E1548" t="inlineStr">
        <is>
          <t>PRD-009</t>
        </is>
      </c>
      <c r="F1548" t="inlineStr">
        <is>
          <t>Ceai cutie 100buc</t>
        </is>
      </c>
      <c r="G1548" t="inlineStr">
        <is>
          <t>Alimente</t>
        </is>
      </c>
      <c r="H1548" t="n">
        <v>10</v>
      </c>
      <c r="I1548" t="n">
        <v>28.71</v>
      </c>
      <c r="J1548" t="n">
        <v>287.1</v>
      </c>
      <c r="K1548" s="13" t="n">
        <v>0.09</v>
      </c>
      <c r="L1548" t="n">
        <v>25.84</v>
      </c>
      <c r="M1548" t="n">
        <v>312.94</v>
      </c>
      <c r="N1548" t="inlineStr">
        <is>
          <t>RON</t>
        </is>
      </c>
      <c r="O1548" t="inlineStr">
        <is>
          <t>Câmpina</t>
        </is>
      </c>
      <c r="P1548" s="12" t="n">
        <v>46247</v>
      </c>
      <c r="Q1548">
        <f>IF(COUNTIF(tbl_Localitati[oras_oficial],[@oras])=0,"ORAS NEALINIAT",IF(XLOOKUP([@oras],tbl_Localitati[oras_oficial],tbl_Localitati[judet],"?")&lt;&gt;[@judet],"JUDET NECORESPUNZATOR",""))</f>
        <v/>
      </c>
      <c r="R1548">
        <f>IF(XLOOKUP([@categorie],tbl_RegulriTVA[categorie],tbl_RegulriTVA[cota_legala],-1)&lt;&gt;[@cota_tva],"TVA GRESIT","")</f>
        <v/>
      </c>
      <c r="S1548">
        <f>IF([@data_scadentei]&lt;[@data_factura],"SCADENTA INAINTEA FACTURII","")</f>
        <v/>
      </c>
      <c r="T1548">
        <f>IF(NETWORKDAYS.INTL([@data_factura],[@data_factura],1,tbl_SarbatoriLegale[data])=0,"ZI NELUCRATOARE","")</f>
        <v/>
      </c>
      <c r="U1548">
        <f>IF([@motiv_anomalie]="","OK","DE INVESTIGAT")</f>
        <v/>
      </c>
      <c r="V1548">
        <f>TEXTJOIN("; ",TRUE,[@flag_oras],[@flag_tva],[@flag_scadenta],[@flag_zi])</f>
        <v/>
      </c>
    </row>
    <row r="1549">
      <c r="A1549" t="inlineStr">
        <is>
          <t>F-2025-01548</t>
        </is>
      </c>
      <c r="B1549" s="12" t="n">
        <v>46169</v>
      </c>
      <c r="C1549" t="inlineStr">
        <is>
          <t>SC VECTOR CONSULT SRL</t>
        </is>
      </c>
      <c r="D1549" t="inlineStr">
        <is>
          <t>Timiș</t>
        </is>
      </c>
      <c r="E1549" t="inlineStr">
        <is>
          <t>PRD-012</t>
        </is>
      </c>
      <c r="F1549" t="inlineStr">
        <is>
          <t>Monitor 27" 4K</t>
        </is>
      </c>
      <c r="G1549" t="inlineStr">
        <is>
          <t>Hardware IT</t>
        </is>
      </c>
      <c r="H1549" t="n">
        <v>8</v>
      </c>
      <c r="I1549" t="n">
        <v>186.62</v>
      </c>
      <c r="J1549" t="n">
        <v>1492.96</v>
      </c>
      <c r="K1549" s="13" t="n">
        <v>0.19</v>
      </c>
      <c r="L1549" t="n">
        <v>283.66</v>
      </c>
      <c r="M1549" t="n">
        <v>1776.62</v>
      </c>
      <c r="N1549" t="inlineStr">
        <is>
          <t>RON</t>
        </is>
      </c>
      <c r="O1549" t="inlineStr">
        <is>
          <t>Timișoara</t>
        </is>
      </c>
      <c r="P1549" s="12" t="n">
        <v>46214</v>
      </c>
      <c r="Q1549">
        <f>IF(COUNTIF(tbl_Localitati[oras_oficial],[@oras])=0,"ORAS NEALINIAT",IF(XLOOKUP([@oras],tbl_Localitati[oras_oficial],tbl_Localitati[judet],"?")&lt;&gt;[@judet],"JUDET NECORESPUNZATOR",""))</f>
        <v/>
      </c>
      <c r="R1549">
        <f>IF(XLOOKUP([@categorie],tbl_RegulriTVA[categorie],tbl_RegulriTVA[cota_legala],-1)&lt;&gt;[@cota_tva],"TVA GRESIT","")</f>
        <v/>
      </c>
      <c r="S1549">
        <f>IF([@data_scadentei]&lt;[@data_factura],"SCADENTA INAINTEA FACTURII","")</f>
        <v/>
      </c>
      <c r="T1549">
        <f>IF(NETWORKDAYS.INTL([@data_factura],[@data_factura],1,tbl_SarbatoriLegale[data])=0,"ZI NELUCRATOARE","")</f>
        <v/>
      </c>
      <c r="U1549">
        <f>IF([@motiv_anomalie]="","OK","DE INVESTIGAT")</f>
        <v/>
      </c>
      <c r="V1549">
        <f>TEXTJOIN("; ",TRUE,[@flag_oras],[@flag_tva],[@flag_scadenta],[@flag_zi])</f>
        <v/>
      </c>
    </row>
    <row r="1550">
      <c r="A1550" t="inlineStr">
        <is>
          <t>F-2025-01549</t>
        </is>
      </c>
      <c r="B1550" s="12" t="n">
        <v>46260</v>
      </c>
      <c r="C1550" t="inlineStr">
        <is>
          <t>SC DACTECH SOLUTIONS SRL</t>
        </is>
      </c>
      <c r="D1550" t="inlineStr">
        <is>
          <t>Argeș</t>
        </is>
      </c>
      <c r="E1550" t="inlineStr">
        <is>
          <t>PRD-006</t>
        </is>
      </c>
      <c r="F1550" t="inlineStr">
        <is>
          <t>Tocator documente</t>
        </is>
      </c>
      <c r="G1550" t="inlineStr">
        <is>
          <t>Echipamente birou</t>
        </is>
      </c>
      <c r="H1550" t="n">
        <v>5</v>
      </c>
      <c r="I1550" t="n">
        <v>717.0599999999999</v>
      </c>
      <c r="J1550" t="n">
        <v>3585.3</v>
      </c>
      <c r="K1550" s="13" t="n">
        <v>0.19</v>
      </c>
      <c r="L1550" t="n">
        <v>681.21</v>
      </c>
      <c r="M1550" t="n">
        <v>4266.51</v>
      </c>
      <c r="N1550" t="inlineStr">
        <is>
          <t>RON</t>
        </is>
      </c>
      <c r="O1550" t="inlineStr">
        <is>
          <t>Pitești</t>
        </is>
      </c>
      <c r="P1550" s="12" t="n">
        <v>46290</v>
      </c>
      <c r="Q1550">
        <f>IF(COUNTIF(tbl_Localitati[oras_oficial],[@oras])=0,"ORAS NEALINIAT",IF(XLOOKUP([@oras],tbl_Localitati[oras_oficial],tbl_Localitati[judet],"?")&lt;&gt;[@judet],"JUDET NECORESPUNZATOR",""))</f>
        <v/>
      </c>
      <c r="R1550">
        <f>IF(XLOOKUP([@categorie],tbl_RegulriTVA[categorie],tbl_RegulriTVA[cota_legala],-1)&lt;&gt;[@cota_tva],"TVA GRESIT","")</f>
        <v/>
      </c>
      <c r="S1550">
        <f>IF([@data_scadentei]&lt;[@data_factura],"SCADENTA INAINTEA FACTURII","")</f>
        <v/>
      </c>
      <c r="T1550">
        <f>IF(NETWORKDAYS.INTL([@data_factura],[@data_factura],1,tbl_SarbatoriLegale[data])=0,"ZI NELUCRATOARE","")</f>
        <v/>
      </c>
      <c r="U1550">
        <f>IF([@motiv_anomalie]="","OK","DE INVESTIGAT")</f>
        <v/>
      </c>
      <c r="V1550">
        <f>TEXTJOIN("; ",TRUE,[@flag_oras],[@flag_tva],[@flag_scadenta],[@flag_zi])</f>
        <v/>
      </c>
    </row>
    <row r="1551">
      <c r="A1551" t="inlineStr">
        <is>
          <t>F-2025-01550</t>
        </is>
      </c>
      <c r="B1551" s="12" t="n">
        <v>46323</v>
      </c>
      <c r="C1551" t="inlineStr">
        <is>
          <t>SC PROVITA MEDICAL SRL</t>
        </is>
      </c>
      <c r="D1551" t="inlineStr">
        <is>
          <t>Mureș</t>
        </is>
      </c>
      <c r="E1551" t="inlineStr">
        <is>
          <t>PRD-005</t>
        </is>
      </c>
      <c r="F1551" t="inlineStr">
        <is>
          <t>Ceai cutie 100buc</t>
        </is>
      </c>
      <c r="G1551" t="inlineStr">
        <is>
          <t>Alimente</t>
        </is>
      </c>
      <c r="H1551" t="n">
        <v>2</v>
      </c>
      <c r="I1551" t="n">
        <v>253.97</v>
      </c>
      <c r="J1551" t="n">
        <v>507.94</v>
      </c>
      <c r="K1551" s="13" t="n">
        <v>0.09</v>
      </c>
      <c r="L1551" t="n">
        <v>45.71</v>
      </c>
      <c r="M1551" t="n">
        <v>553.65</v>
      </c>
      <c r="N1551" t="inlineStr">
        <is>
          <t>RON</t>
        </is>
      </c>
      <c r="O1551" t="inlineStr">
        <is>
          <t>Târgu Mureș</t>
        </is>
      </c>
      <c r="P1551" s="12" t="n">
        <v>46353</v>
      </c>
      <c r="Q1551">
        <f>IF(COUNTIF(tbl_Localitati[oras_oficial],[@oras])=0,"ORAS NEALINIAT",IF(XLOOKUP([@oras],tbl_Localitati[oras_oficial],tbl_Localitati[judet],"?")&lt;&gt;[@judet],"JUDET NECORESPUNZATOR",""))</f>
        <v/>
      </c>
      <c r="R1551">
        <f>IF(XLOOKUP([@categorie],tbl_RegulriTVA[categorie],tbl_RegulriTVA[cota_legala],-1)&lt;&gt;[@cota_tva],"TVA GRESIT","")</f>
        <v/>
      </c>
      <c r="S1551">
        <f>IF([@data_scadentei]&lt;[@data_factura],"SCADENTA INAINTEA FACTURII","")</f>
        <v/>
      </c>
      <c r="T1551">
        <f>IF(NETWORKDAYS.INTL([@data_factura],[@data_factura],1,tbl_SarbatoriLegale[data])=0,"ZI NELUCRATOARE","")</f>
        <v/>
      </c>
      <c r="U1551">
        <f>IF([@motiv_anomalie]="","OK","DE INVESTIGAT")</f>
        <v/>
      </c>
      <c r="V1551">
        <f>TEXTJOIN("; ",TRUE,[@flag_oras],[@flag_tva],[@flag_scadenta],[@flag_zi])</f>
        <v/>
      </c>
    </row>
    <row r="1552">
      <c r="A1552" t="inlineStr">
        <is>
          <t>F-2025-01551</t>
        </is>
      </c>
      <c r="B1552" s="12" t="n">
        <v>46253</v>
      </c>
      <c r="C1552" t="inlineStr">
        <is>
          <t>SC INTEGROMED SA</t>
        </is>
      </c>
      <c r="D1552" t="inlineStr">
        <is>
          <t>Cluj</t>
        </is>
      </c>
      <c r="E1552" t="inlineStr">
        <is>
          <t>PRD-001</t>
        </is>
      </c>
      <c r="F1552" t="inlineStr">
        <is>
          <t>Ceai cutie 100buc</t>
        </is>
      </c>
      <c r="G1552" t="inlineStr">
        <is>
          <t>Alimente</t>
        </is>
      </c>
      <c r="H1552" t="n">
        <v>5</v>
      </c>
      <c r="I1552" t="n">
        <v>2318.2</v>
      </c>
      <c r="J1552" t="n">
        <v>11591</v>
      </c>
      <c r="K1552" s="13" t="n">
        <v>0.09</v>
      </c>
      <c r="L1552" t="n">
        <v>1043.19</v>
      </c>
      <c r="M1552" t="n">
        <v>12634.19</v>
      </c>
      <c r="N1552" t="inlineStr">
        <is>
          <t>RON</t>
        </is>
      </c>
      <c r="O1552" t="inlineStr">
        <is>
          <t>Cluj-Napoca</t>
        </is>
      </c>
      <c r="P1552" s="12" t="n">
        <v>46298</v>
      </c>
      <c r="Q1552">
        <f>IF(COUNTIF(tbl_Localitati[oras_oficial],[@oras])=0,"ORAS NEALINIAT",IF(XLOOKUP([@oras],tbl_Localitati[oras_oficial],tbl_Localitati[judet],"?")&lt;&gt;[@judet],"JUDET NECORESPUNZATOR",""))</f>
        <v/>
      </c>
      <c r="R1552">
        <f>IF(XLOOKUP([@categorie],tbl_RegulriTVA[categorie],tbl_RegulriTVA[cota_legala],-1)&lt;&gt;[@cota_tva],"TVA GRESIT","")</f>
        <v/>
      </c>
      <c r="S1552">
        <f>IF([@data_scadentei]&lt;[@data_factura],"SCADENTA INAINTEA FACTURII","")</f>
        <v/>
      </c>
      <c r="T1552">
        <f>IF(NETWORKDAYS.INTL([@data_factura],[@data_factura],1,tbl_SarbatoriLegale[data])=0,"ZI NELUCRATOARE","")</f>
        <v/>
      </c>
      <c r="U1552">
        <f>IF([@motiv_anomalie]="","OK","DE INVESTIGAT")</f>
        <v/>
      </c>
      <c r="V1552">
        <f>TEXTJOIN("; ",TRUE,[@flag_oras],[@flag_tva],[@flag_scadenta],[@flag_zi])</f>
        <v/>
      </c>
    </row>
    <row r="1553">
      <c r="A1553" t="inlineStr">
        <is>
          <t>F-2025-01552</t>
        </is>
      </c>
      <c r="B1553" s="12" t="n">
        <v>46057</v>
      </c>
      <c r="C1553" t="inlineStr">
        <is>
          <t>SC AROMET TRADING SRL</t>
        </is>
      </c>
      <c r="D1553" t="inlineStr">
        <is>
          <t>Alba</t>
        </is>
      </c>
      <c r="E1553" t="inlineStr">
        <is>
          <t>PRD-005</t>
        </is>
      </c>
      <c r="F1553" t="inlineStr">
        <is>
          <t>Monitor 27" 4K</t>
        </is>
      </c>
      <c r="G1553" t="inlineStr">
        <is>
          <t>Hardware IT</t>
        </is>
      </c>
      <c r="H1553" t="n">
        <v>10</v>
      </c>
      <c r="I1553" t="n">
        <v>239.94</v>
      </c>
      <c r="J1553" t="n">
        <v>2399.4</v>
      </c>
      <c r="K1553" s="13" t="n">
        <v>0.19</v>
      </c>
      <c r="L1553" t="n">
        <v>455.89</v>
      </c>
      <c r="M1553" t="n">
        <v>2855.29</v>
      </c>
      <c r="N1553" t="inlineStr">
        <is>
          <t>EUR</t>
        </is>
      </c>
      <c r="O1553" t="inlineStr">
        <is>
          <t>Alba Iulia</t>
        </is>
      </c>
      <c r="P1553" s="12" t="n">
        <v>46087</v>
      </c>
      <c r="Q1553">
        <f>IF(COUNTIF(tbl_Localitati[oras_oficial],[@oras])=0,"ORAS NEALINIAT",IF(XLOOKUP([@oras],tbl_Localitati[oras_oficial],tbl_Localitati[judet],"?")&lt;&gt;[@judet],"JUDET NECORESPUNZATOR",""))</f>
        <v/>
      </c>
      <c r="R1553">
        <f>IF(XLOOKUP([@categorie],tbl_RegulriTVA[categorie],tbl_RegulriTVA[cota_legala],-1)&lt;&gt;[@cota_tva],"TVA GRESIT","")</f>
        <v/>
      </c>
      <c r="S1553">
        <f>IF([@data_scadentei]&lt;[@data_factura],"SCADENTA INAINTEA FACTURII","")</f>
        <v/>
      </c>
      <c r="T1553">
        <f>IF(NETWORKDAYS.INTL([@data_factura],[@data_factura],1,tbl_SarbatoriLegale[data])=0,"ZI NELUCRATOARE","")</f>
        <v/>
      </c>
      <c r="U1553">
        <f>IF([@motiv_anomalie]="","OK","DE INVESTIGAT")</f>
        <v/>
      </c>
      <c r="V1553">
        <f>TEXTJOIN("; ",TRUE,[@flag_oras],[@flag_tva],[@flag_scadenta],[@flag_zi])</f>
        <v/>
      </c>
    </row>
    <row r="1554">
      <c r="A1554" t="inlineStr">
        <is>
          <t>F-2025-01553</t>
        </is>
      </c>
      <c r="B1554" s="12" t="n">
        <v>46146</v>
      </c>
      <c r="C1554" t="inlineStr">
        <is>
          <t>SC AROMET TRADING SRL</t>
        </is>
      </c>
      <c r="D1554" t="inlineStr">
        <is>
          <t>Alba</t>
        </is>
      </c>
      <c r="E1554" t="inlineStr">
        <is>
          <t>PRD-006</t>
        </is>
      </c>
      <c r="F1554" t="inlineStr">
        <is>
          <t>Monitor 27" 4K</t>
        </is>
      </c>
      <c r="G1554" t="inlineStr">
        <is>
          <t>Hardware IT</t>
        </is>
      </c>
      <c r="H1554" t="n">
        <v>50</v>
      </c>
      <c r="I1554" t="n">
        <v>743.55</v>
      </c>
      <c r="J1554" t="n">
        <v>37177.5</v>
      </c>
      <c r="K1554" s="13" t="n">
        <v>0.19</v>
      </c>
      <c r="L1554" t="n">
        <v>7063.73</v>
      </c>
      <c r="M1554" t="n">
        <v>44241.23</v>
      </c>
      <c r="N1554" t="inlineStr">
        <is>
          <t>RON</t>
        </is>
      </c>
      <c r="O1554" t="inlineStr">
        <is>
          <t>Alba Iulia</t>
        </is>
      </c>
      <c r="P1554" s="12" t="n">
        <v>46176</v>
      </c>
      <c r="Q1554">
        <f>IF(COUNTIF(tbl_Localitati[oras_oficial],[@oras])=0,"ORAS NEALINIAT",IF(XLOOKUP([@oras],tbl_Localitati[oras_oficial],tbl_Localitati[judet],"?")&lt;&gt;[@judet],"JUDET NECORESPUNZATOR",""))</f>
        <v/>
      </c>
      <c r="R1554">
        <f>IF(XLOOKUP([@categorie],tbl_RegulriTVA[categorie],tbl_RegulriTVA[cota_legala],-1)&lt;&gt;[@cota_tva],"TVA GRESIT","")</f>
        <v/>
      </c>
      <c r="S1554">
        <f>IF([@data_scadentei]&lt;[@data_factura],"SCADENTA INAINTEA FACTURII","")</f>
        <v/>
      </c>
      <c r="T1554">
        <f>IF(NETWORKDAYS.INTL([@data_factura],[@data_factura],1,tbl_SarbatoriLegale[data])=0,"ZI NELUCRATOARE","")</f>
        <v/>
      </c>
      <c r="U1554">
        <f>IF([@motiv_anomalie]="","OK","DE INVESTIGAT")</f>
        <v/>
      </c>
      <c r="V1554">
        <f>TEXTJOIN("; ",TRUE,[@flag_oras],[@flag_tva],[@flag_scadenta],[@flag_zi])</f>
        <v/>
      </c>
    </row>
    <row r="1555">
      <c r="A1555" t="inlineStr">
        <is>
          <t>F-2025-01554</t>
        </is>
      </c>
      <c r="B1555" s="12" t="n">
        <v>46127</v>
      </c>
      <c r="C1555" t="inlineStr">
        <is>
          <t>SC AROMET TRADING SRL</t>
        </is>
      </c>
      <c r="D1555" t="inlineStr">
        <is>
          <t>Alba</t>
        </is>
      </c>
      <c r="E1555" t="inlineStr">
        <is>
          <t>PRD-005</t>
        </is>
      </c>
      <c r="F1555" t="inlineStr">
        <is>
          <t>Termometru digital</t>
        </is>
      </c>
      <c r="G1555" t="inlineStr">
        <is>
          <t>Produse farmaceutice</t>
        </is>
      </c>
      <c r="H1555" t="n">
        <v>2</v>
      </c>
      <c r="I1555" t="n">
        <v>240.18</v>
      </c>
      <c r="J1555" t="n">
        <v>480.36</v>
      </c>
      <c r="K1555" s="13" t="n">
        <v>0.09</v>
      </c>
      <c r="L1555" t="n">
        <v>43.23</v>
      </c>
      <c r="M1555" t="n">
        <v>523.59</v>
      </c>
      <c r="N1555" t="inlineStr">
        <is>
          <t>RON</t>
        </is>
      </c>
      <c r="O1555" t="inlineStr">
        <is>
          <t>Alba Iulia</t>
        </is>
      </c>
      <c r="P1555" s="12" t="n">
        <v>46172</v>
      </c>
      <c r="Q1555">
        <f>IF(COUNTIF(tbl_Localitati[oras_oficial],[@oras])=0,"ORAS NEALINIAT",IF(XLOOKUP([@oras],tbl_Localitati[oras_oficial],tbl_Localitati[judet],"?")&lt;&gt;[@judet],"JUDET NECORESPUNZATOR",""))</f>
        <v/>
      </c>
      <c r="R1555">
        <f>IF(XLOOKUP([@categorie],tbl_RegulriTVA[categorie],tbl_RegulriTVA[cota_legala],-1)&lt;&gt;[@cota_tva],"TVA GRESIT","")</f>
        <v/>
      </c>
      <c r="S1555">
        <f>IF([@data_scadentei]&lt;[@data_factura],"SCADENTA INAINTEA FACTURII","")</f>
        <v/>
      </c>
      <c r="T1555">
        <f>IF(NETWORKDAYS.INTL([@data_factura],[@data_factura],1,tbl_SarbatoriLegale[data])=0,"ZI NELUCRATOARE","")</f>
        <v/>
      </c>
      <c r="U1555">
        <f>IF([@motiv_anomalie]="","OK","DE INVESTIGAT")</f>
        <v/>
      </c>
      <c r="V1555">
        <f>TEXTJOIN("; ",TRUE,[@flag_oras],[@flag_tva],[@flag_scadenta],[@flag_zi])</f>
        <v/>
      </c>
    </row>
    <row r="1556">
      <c r="A1556" t="inlineStr">
        <is>
          <t>F-2025-01555</t>
        </is>
      </c>
      <c r="B1556" s="12" t="n">
        <v>46352</v>
      </c>
      <c r="C1556" t="inlineStr">
        <is>
          <t>SC OMEGA SOFT SRL</t>
        </is>
      </c>
      <c r="D1556" t="inlineStr">
        <is>
          <t>Dolj</t>
        </is>
      </c>
      <c r="E1556" t="inlineStr">
        <is>
          <t>PRD-002</t>
        </is>
      </c>
      <c r="F1556" t="inlineStr">
        <is>
          <t>Licenta ERP contabilitate</t>
        </is>
      </c>
      <c r="G1556" t="inlineStr">
        <is>
          <t>Licențe software</t>
        </is>
      </c>
      <c r="H1556" t="n">
        <v>2</v>
      </c>
      <c r="I1556" t="n">
        <v>1052.55</v>
      </c>
      <c r="J1556" t="n">
        <v>2105.1</v>
      </c>
      <c r="K1556" s="13" t="n">
        <v>0.09</v>
      </c>
      <c r="L1556" t="n">
        <v>189.46</v>
      </c>
      <c r="M1556" t="n">
        <v>2294.56</v>
      </c>
      <c r="N1556" t="inlineStr">
        <is>
          <t>RON</t>
        </is>
      </c>
      <c r="O1556" t="inlineStr">
        <is>
          <t>Ploiesti Centru</t>
        </is>
      </c>
      <c r="P1556" s="12" t="n">
        <v>46382</v>
      </c>
      <c r="Q1556">
        <f>IF(COUNTIF(tbl_Localitati[oras_oficial],[@oras])=0,"ORAS NEALINIAT",IF(XLOOKUP([@oras],tbl_Localitati[oras_oficial],tbl_Localitati[judet],"?")&lt;&gt;[@judet],"JUDET NECORESPUNZATOR",""))</f>
        <v/>
      </c>
      <c r="R1556">
        <f>IF(XLOOKUP([@categorie],tbl_RegulriTVA[categorie],tbl_RegulriTVA[cota_legala],-1)&lt;&gt;[@cota_tva],"TVA GRESIT","")</f>
        <v/>
      </c>
      <c r="S1556">
        <f>IF([@data_scadentei]&lt;[@data_factura],"SCADENTA INAINTEA FACTURII","")</f>
        <v/>
      </c>
      <c r="T1556">
        <f>IF(NETWORKDAYS.INTL([@data_factura],[@data_factura],1,tbl_SarbatoriLegale[data])=0,"ZI NELUCRATOARE","")</f>
        <v/>
      </c>
      <c r="U1556">
        <f>IF([@motiv_anomalie]="","OK","DE INVESTIGAT")</f>
        <v/>
      </c>
      <c r="V1556">
        <f>TEXTJOIN("; ",TRUE,[@flag_oras],[@flag_tva],[@flag_scadenta],[@flag_zi])</f>
        <v/>
      </c>
    </row>
    <row r="1557">
      <c r="A1557" t="inlineStr">
        <is>
          <t>F-2025-01556</t>
        </is>
      </c>
      <c r="B1557" s="12" t="n">
        <v>46245</v>
      </c>
      <c r="C1557" t="inlineStr">
        <is>
          <t>SC OMEGA SOFT SRL</t>
        </is>
      </c>
      <c r="D1557" t="inlineStr">
        <is>
          <t>Dolj</t>
        </is>
      </c>
      <c r="E1557" t="inlineStr">
        <is>
          <t>PRD-001</t>
        </is>
      </c>
      <c r="F1557" t="inlineStr">
        <is>
          <t>Set carti formare</t>
        </is>
      </c>
      <c r="G1557" t="inlineStr">
        <is>
          <t>Cărți și manuale</t>
        </is>
      </c>
      <c r="H1557" t="n">
        <v>2</v>
      </c>
      <c r="I1557" t="n">
        <v>2305.72</v>
      </c>
      <c r="J1557" t="n">
        <v>4611.44</v>
      </c>
      <c r="K1557" s="13" t="n">
        <v>0.05</v>
      </c>
      <c r="L1557" t="n">
        <v>230.57</v>
      </c>
      <c r="M1557" t="n">
        <v>4842.01</v>
      </c>
      <c r="N1557" t="inlineStr">
        <is>
          <t>RON</t>
        </is>
      </c>
      <c r="O1557" t="inlineStr">
        <is>
          <t>Craiova</t>
        </is>
      </c>
      <c r="P1557" s="12" t="n">
        <v>46290</v>
      </c>
      <c r="Q1557">
        <f>IF(COUNTIF(tbl_Localitati[oras_oficial],[@oras])=0,"ORAS NEALINIAT",IF(XLOOKUP([@oras],tbl_Localitati[oras_oficial],tbl_Localitati[judet],"?")&lt;&gt;[@judet],"JUDET NECORESPUNZATOR",""))</f>
        <v/>
      </c>
      <c r="R1557">
        <f>IF(XLOOKUP([@categorie],tbl_RegulriTVA[categorie],tbl_RegulriTVA[cota_legala],-1)&lt;&gt;[@cota_tva],"TVA GRESIT","")</f>
        <v/>
      </c>
      <c r="S1557">
        <f>IF([@data_scadentei]&lt;[@data_factura],"SCADENTA INAINTEA FACTURII","")</f>
        <v/>
      </c>
      <c r="T1557">
        <f>IF(NETWORKDAYS.INTL([@data_factura],[@data_factura],1,tbl_SarbatoriLegale[data])=0,"ZI NELUCRATOARE","")</f>
        <v/>
      </c>
      <c r="U1557">
        <f>IF([@motiv_anomalie]="","OK","DE INVESTIGAT")</f>
        <v/>
      </c>
      <c r="V1557">
        <f>TEXTJOIN("; ",TRUE,[@flag_oras],[@flag_tva],[@flag_scadenta],[@flag_zi])</f>
        <v/>
      </c>
    </row>
    <row r="1558">
      <c r="A1558" t="inlineStr">
        <is>
          <t>F-2025-01557</t>
        </is>
      </c>
      <c r="B1558" s="12" t="n">
        <v>46087</v>
      </c>
      <c r="C1558" t="inlineStr">
        <is>
          <t>SC PROVITA MEDICAL SRL</t>
        </is>
      </c>
      <c r="D1558" t="inlineStr">
        <is>
          <t>Mureș</t>
        </is>
      </c>
      <c r="E1558" t="inlineStr">
        <is>
          <t>PRD-002</t>
        </is>
      </c>
      <c r="F1558" t="inlineStr">
        <is>
          <t>Multifunctionala laser</t>
        </is>
      </c>
      <c r="G1558" t="inlineStr">
        <is>
          <t>Echipamente birou</t>
        </is>
      </c>
      <c r="H1558" t="n">
        <v>1</v>
      </c>
      <c r="I1558" t="n">
        <v>1047.38</v>
      </c>
      <c r="J1558" t="n">
        <v>1047.38</v>
      </c>
      <c r="K1558" s="13" t="n">
        <v>0.19</v>
      </c>
      <c r="L1558" t="n">
        <v>199</v>
      </c>
      <c r="M1558" t="n">
        <v>1246.38</v>
      </c>
      <c r="N1558" t="inlineStr">
        <is>
          <t>RON</t>
        </is>
      </c>
      <c r="O1558" t="inlineStr">
        <is>
          <t>Târgu Mureș</t>
        </is>
      </c>
      <c r="P1558" s="12" t="n">
        <v>46117</v>
      </c>
      <c r="Q1558">
        <f>IF(COUNTIF(tbl_Localitati[oras_oficial],[@oras])=0,"ORAS NEALINIAT",IF(XLOOKUP([@oras],tbl_Localitati[oras_oficial],tbl_Localitati[judet],"?")&lt;&gt;[@judet],"JUDET NECORESPUNZATOR",""))</f>
        <v/>
      </c>
      <c r="R1558">
        <f>IF(XLOOKUP([@categorie],tbl_RegulriTVA[categorie],tbl_RegulriTVA[cota_legala],-1)&lt;&gt;[@cota_tva],"TVA GRESIT","")</f>
        <v/>
      </c>
      <c r="S1558">
        <f>IF([@data_scadentei]&lt;[@data_factura],"SCADENTA INAINTEA FACTURII","")</f>
        <v/>
      </c>
      <c r="T1558">
        <f>IF(NETWORKDAYS.INTL([@data_factura],[@data_factura],1,tbl_SarbatoriLegale[data])=0,"ZI NELUCRATOARE","")</f>
        <v/>
      </c>
      <c r="U1558">
        <f>IF([@motiv_anomalie]="","OK","DE INVESTIGAT")</f>
        <v/>
      </c>
      <c r="V1558">
        <f>TEXTJOIN("; ",TRUE,[@flag_oras],[@flag_tva],[@flag_scadenta],[@flag_zi])</f>
        <v/>
      </c>
    </row>
    <row r="1559">
      <c r="A1559" t="inlineStr">
        <is>
          <t>F-2025-01558</t>
        </is>
      </c>
      <c r="B1559" s="12" t="n">
        <v>46295</v>
      </c>
      <c r="C1559" t="inlineStr">
        <is>
          <t>SC UNIFOOD DISTRIBUTION SA</t>
        </is>
      </c>
      <c r="D1559" t="inlineStr">
        <is>
          <t>Sibiu</t>
        </is>
      </c>
      <c r="E1559" t="inlineStr">
        <is>
          <t>PRD-011</t>
        </is>
      </c>
      <c r="F1559" t="inlineStr">
        <is>
          <t>Monitor 27" 4K</t>
        </is>
      </c>
      <c r="G1559" t="inlineStr">
        <is>
          <t>Hardware IT</t>
        </is>
      </c>
      <c r="H1559" t="n">
        <v>5</v>
      </c>
      <c r="I1559" t="n">
        <v>45.34</v>
      </c>
      <c r="J1559" t="n">
        <v>226.7</v>
      </c>
      <c r="K1559" s="13" t="n">
        <v>0.19</v>
      </c>
      <c r="L1559" t="n">
        <v>43.07</v>
      </c>
      <c r="M1559" t="n">
        <v>269.77</v>
      </c>
      <c r="N1559" t="inlineStr">
        <is>
          <t>RON</t>
        </is>
      </c>
      <c r="O1559" t="inlineStr">
        <is>
          <t>Mediaș</t>
        </is>
      </c>
      <c r="P1559" s="12" t="n">
        <v>46325</v>
      </c>
      <c r="Q1559">
        <f>IF(COUNTIF(tbl_Localitati[oras_oficial],[@oras])=0,"ORAS NEALINIAT",IF(XLOOKUP([@oras],tbl_Localitati[oras_oficial],tbl_Localitati[judet],"?")&lt;&gt;[@judet],"JUDET NECORESPUNZATOR",""))</f>
        <v/>
      </c>
      <c r="R1559">
        <f>IF(XLOOKUP([@categorie],tbl_RegulriTVA[categorie],tbl_RegulriTVA[cota_legala],-1)&lt;&gt;[@cota_tva],"TVA GRESIT","")</f>
        <v/>
      </c>
      <c r="S1559">
        <f>IF([@data_scadentei]&lt;[@data_factura],"SCADENTA INAINTEA FACTURII","")</f>
        <v/>
      </c>
      <c r="T1559">
        <f>IF(NETWORKDAYS.INTL([@data_factura],[@data_factura],1,tbl_SarbatoriLegale[data])=0,"ZI NELUCRATOARE","")</f>
        <v/>
      </c>
      <c r="U1559">
        <f>IF([@motiv_anomalie]="","OK","DE INVESTIGAT")</f>
        <v/>
      </c>
      <c r="V1559">
        <f>TEXTJOIN("; ",TRUE,[@flag_oras],[@flag_tva],[@flag_scadenta],[@flag_zi])</f>
        <v/>
      </c>
    </row>
    <row r="1560">
      <c r="A1560" t="inlineStr">
        <is>
          <t>F-2025-01559</t>
        </is>
      </c>
      <c r="B1560" s="12" t="n">
        <v>46286</v>
      </c>
      <c r="C1560" t="inlineStr">
        <is>
          <t>SC INTEGROMED SA</t>
        </is>
      </c>
      <c r="D1560" t="inlineStr">
        <is>
          <t>Cluj</t>
        </is>
      </c>
      <c r="E1560" t="inlineStr">
        <is>
          <t>PRD-008</t>
        </is>
      </c>
      <c r="F1560" t="inlineStr">
        <is>
          <t>Manual proceduri interne</t>
        </is>
      </c>
      <c r="G1560" t="inlineStr">
        <is>
          <t>Cărți și manuale</t>
        </is>
      </c>
      <c r="H1560" t="n">
        <v>1</v>
      </c>
      <c r="I1560" t="n">
        <v>449.2</v>
      </c>
      <c r="J1560" t="n">
        <v>449.2</v>
      </c>
      <c r="K1560" s="13" t="n">
        <v>0.05</v>
      </c>
      <c r="L1560" t="n">
        <v>22.46</v>
      </c>
      <c r="M1560" t="n">
        <v>471.66</v>
      </c>
      <c r="N1560" t="inlineStr">
        <is>
          <t>RON</t>
        </is>
      </c>
      <c r="O1560" t="inlineStr">
        <is>
          <t>Cluj-Napoca</t>
        </is>
      </c>
      <c r="P1560" s="12" t="n">
        <v>46346</v>
      </c>
      <c r="Q1560">
        <f>IF(COUNTIF(tbl_Localitati[oras_oficial],[@oras])=0,"ORAS NEALINIAT",IF(XLOOKUP([@oras],tbl_Localitati[oras_oficial],tbl_Localitati[judet],"?")&lt;&gt;[@judet],"JUDET NECORESPUNZATOR",""))</f>
        <v/>
      </c>
      <c r="R1560">
        <f>IF(XLOOKUP([@categorie],tbl_RegulriTVA[categorie],tbl_RegulriTVA[cota_legala],-1)&lt;&gt;[@cota_tva],"TVA GRESIT","")</f>
        <v/>
      </c>
      <c r="S1560">
        <f>IF([@data_scadentei]&lt;[@data_factura],"SCADENTA INAINTEA FACTURII","")</f>
        <v/>
      </c>
      <c r="T1560">
        <f>IF(NETWORKDAYS.INTL([@data_factura],[@data_factura],1,tbl_SarbatoriLegale[data])=0,"ZI NELUCRATOARE","")</f>
        <v/>
      </c>
      <c r="U1560">
        <f>IF([@motiv_anomalie]="","OK","DE INVESTIGAT")</f>
        <v/>
      </c>
      <c r="V1560">
        <f>TEXTJOIN("; ",TRUE,[@flag_oras],[@flag_tva],[@flag_scadenta],[@flag_zi])</f>
        <v/>
      </c>
    </row>
    <row r="1561">
      <c r="A1561" t="inlineStr">
        <is>
          <t>F-2025-01560</t>
        </is>
      </c>
      <c r="B1561" s="12" t="n">
        <v>46087</v>
      </c>
      <c r="C1561" t="inlineStr">
        <is>
          <t>SC DACTECH SOLUTIONS SRL</t>
        </is>
      </c>
      <c r="D1561" t="inlineStr">
        <is>
          <t>Argeș</t>
        </is>
      </c>
      <c r="E1561" t="inlineStr">
        <is>
          <t>PRD-009</t>
        </is>
      </c>
      <c r="F1561" t="inlineStr">
        <is>
          <t>Laptop business 15"</t>
        </is>
      </c>
      <c r="G1561" t="inlineStr">
        <is>
          <t>Hardware IT</t>
        </is>
      </c>
      <c r="H1561" t="n">
        <v>50</v>
      </c>
      <c r="I1561" t="n">
        <v>28.78</v>
      </c>
      <c r="J1561" t="n">
        <v>1439</v>
      </c>
      <c r="K1561" s="13" t="n">
        <v>0.19</v>
      </c>
      <c r="L1561" t="n">
        <v>273.41</v>
      </c>
      <c r="M1561" t="n">
        <v>1712.41</v>
      </c>
      <c r="N1561" t="inlineStr">
        <is>
          <t>RON</t>
        </is>
      </c>
      <c r="O1561" t="inlineStr">
        <is>
          <t>Pitești</t>
        </is>
      </c>
      <c r="P1561" s="12" t="n">
        <v>46082</v>
      </c>
      <c r="Q1561">
        <f>IF(COUNTIF(tbl_Localitati[oras_oficial],[@oras])=0,"ORAS NEALINIAT",IF(XLOOKUP([@oras],tbl_Localitati[oras_oficial],tbl_Localitati[judet],"?")&lt;&gt;[@judet],"JUDET NECORESPUNZATOR",""))</f>
        <v/>
      </c>
      <c r="R1561">
        <f>IF(XLOOKUP([@categorie],tbl_RegulriTVA[categorie],tbl_RegulriTVA[cota_legala],-1)&lt;&gt;[@cota_tva],"TVA GRESIT","")</f>
        <v/>
      </c>
      <c r="S1561">
        <f>IF([@data_scadentei]&lt;[@data_factura],"SCADENTA INAINTEA FACTURII","")</f>
        <v/>
      </c>
      <c r="T1561">
        <f>IF(NETWORKDAYS.INTL([@data_factura],[@data_factura],1,tbl_SarbatoriLegale[data])=0,"ZI NELUCRATOARE","")</f>
        <v/>
      </c>
      <c r="U1561">
        <f>IF([@motiv_anomalie]="","OK","DE INVESTIGAT")</f>
        <v/>
      </c>
      <c r="V1561">
        <f>TEXTJOIN("; ",TRUE,[@flag_oras],[@flag_tva],[@flag_scadenta],[@flag_zi])</f>
        <v/>
      </c>
    </row>
    <row r="1562">
      <c r="A1562" t="inlineStr">
        <is>
          <t>F-2025-01561</t>
        </is>
      </c>
      <c r="B1562" s="12" t="n">
        <v>46051</v>
      </c>
      <c r="C1562" t="inlineStr">
        <is>
          <t>SC AROMET TRADING SRL</t>
        </is>
      </c>
      <c r="D1562" t="inlineStr">
        <is>
          <t>Alba</t>
        </is>
      </c>
      <c r="E1562" t="inlineStr">
        <is>
          <t>PRD-010</t>
        </is>
      </c>
      <c r="F1562" t="inlineStr">
        <is>
          <t>Switch gigabit 24p</t>
        </is>
      </c>
      <c r="G1562" t="inlineStr">
        <is>
          <t>Hardware IT</t>
        </is>
      </c>
      <c r="H1562" t="n">
        <v>20</v>
      </c>
      <c r="I1562" t="n">
        <v>337.81</v>
      </c>
      <c r="J1562" t="n">
        <v>6756.2</v>
      </c>
      <c r="K1562" s="13" t="n">
        <v>0.19</v>
      </c>
      <c r="L1562" t="n">
        <v>1283.68</v>
      </c>
      <c r="M1562" t="n">
        <v>8039.88</v>
      </c>
      <c r="N1562" t="inlineStr">
        <is>
          <t>RON</t>
        </is>
      </c>
      <c r="O1562" t="inlineStr">
        <is>
          <t>Alba Iulia</t>
        </is>
      </c>
      <c r="P1562" s="12" t="n">
        <v>46081</v>
      </c>
      <c r="Q1562">
        <f>IF(COUNTIF(tbl_Localitati[oras_oficial],[@oras])=0,"ORAS NEALINIAT",IF(XLOOKUP([@oras],tbl_Localitati[oras_oficial],tbl_Localitati[judet],"?")&lt;&gt;[@judet],"JUDET NECORESPUNZATOR",""))</f>
        <v/>
      </c>
      <c r="R1562">
        <f>IF(XLOOKUP([@categorie],tbl_RegulriTVA[categorie],tbl_RegulriTVA[cota_legala],-1)&lt;&gt;[@cota_tva],"TVA GRESIT","")</f>
        <v/>
      </c>
      <c r="S1562">
        <f>IF([@data_scadentei]&lt;[@data_factura],"SCADENTA INAINTEA FACTURII","")</f>
        <v/>
      </c>
      <c r="T1562">
        <f>IF(NETWORKDAYS.INTL([@data_factura],[@data_factura],1,tbl_SarbatoriLegale[data])=0,"ZI NELUCRATOARE","")</f>
        <v/>
      </c>
      <c r="U1562">
        <f>IF([@motiv_anomalie]="","OK","DE INVESTIGAT")</f>
        <v/>
      </c>
      <c r="V1562">
        <f>TEXTJOIN("; ",TRUE,[@flag_oras],[@flag_tva],[@flag_scadenta],[@flag_zi])</f>
        <v/>
      </c>
    </row>
    <row r="1563">
      <c r="A1563" t="inlineStr">
        <is>
          <t>F-2025-01562</t>
        </is>
      </c>
      <c r="B1563" s="12" t="n">
        <v>46037</v>
      </c>
      <c r="C1563" t="inlineStr">
        <is>
          <t>SC INTEGROMED SA</t>
        </is>
      </c>
      <c r="D1563" t="inlineStr">
        <is>
          <t>Cluj</t>
        </is>
      </c>
      <c r="E1563" t="inlineStr">
        <is>
          <t>PRD-003</t>
        </is>
      </c>
      <c r="F1563" t="inlineStr">
        <is>
          <t>Switch gigabit 24p</t>
        </is>
      </c>
      <c r="G1563" t="inlineStr">
        <is>
          <t>Hardware IT</t>
        </is>
      </c>
      <c r="H1563" t="n">
        <v>1</v>
      </c>
      <c r="I1563" t="n">
        <v>4226.52</v>
      </c>
      <c r="J1563" t="n">
        <v>4226.52</v>
      </c>
      <c r="K1563" s="13" t="n">
        <v>0.19</v>
      </c>
      <c r="L1563" t="n">
        <v>803.04</v>
      </c>
      <c r="M1563" t="n">
        <v>5029.56</v>
      </c>
      <c r="N1563" t="inlineStr">
        <is>
          <t>RON</t>
        </is>
      </c>
      <c r="O1563" t="inlineStr">
        <is>
          <t>Cluj-Napoca</t>
        </is>
      </c>
      <c r="P1563" s="12" t="n">
        <v>46067</v>
      </c>
      <c r="Q1563">
        <f>IF(COUNTIF(tbl_Localitati[oras_oficial],[@oras])=0,"ORAS NEALINIAT",IF(XLOOKUP([@oras],tbl_Localitati[oras_oficial],tbl_Localitati[judet],"?")&lt;&gt;[@judet],"JUDET NECORESPUNZATOR",""))</f>
        <v/>
      </c>
      <c r="R1563">
        <f>IF(XLOOKUP([@categorie],tbl_RegulriTVA[categorie],tbl_RegulriTVA[cota_legala],-1)&lt;&gt;[@cota_tva],"TVA GRESIT","")</f>
        <v/>
      </c>
      <c r="S1563">
        <f>IF([@data_scadentei]&lt;[@data_factura],"SCADENTA INAINTEA FACTURII","")</f>
        <v/>
      </c>
      <c r="T1563">
        <f>IF(NETWORKDAYS.INTL([@data_factura],[@data_factura],1,tbl_SarbatoriLegale[data])=0,"ZI NELUCRATOARE","")</f>
        <v/>
      </c>
      <c r="U1563">
        <f>IF([@motiv_anomalie]="","OK","DE INVESTIGAT")</f>
        <v/>
      </c>
      <c r="V1563">
        <f>TEXTJOIN("; ",TRUE,[@flag_oras],[@flag_tva],[@flag_scadenta],[@flag_zi])</f>
        <v/>
      </c>
    </row>
    <row r="1564">
      <c r="A1564" t="inlineStr">
        <is>
          <t>F-2025-01563</t>
        </is>
      </c>
      <c r="B1564" s="12" t="n">
        <v>46058</v>
      </c>
      <c r="C1564" t="inlineStr">
        <is>
          <t>SC UNIFOOD DISTRIBUTION SA</t>
        </is>
      </c>
      <c r="D1564" t="inlineStr">
        <is>
          <t>Sibiu</t>
        </is>
      </c>
      <c r="E1564" t="inlineStr">
        <is>
          <t>PRD-011</t>
        </is>
      </c>
      <c r="F1564" t="inlineStr">
        <is>
          <t>Ghid legislatie GDPR</t>
        </is>
      </c>
      <c r="G1564" t="inlineStr">
        <is>
          <t>Cărți și manuale</t>
        </is>
      </c>
      <c r="H1564" t="n">
        <v>100</v>
      </c>
      <c r="I1564" t="n">
        <v>45.6</v>
      </c>
      <c r="J1564" t="n">
        <v>4560</v>
      </c>
      <c r="K1564" s="13" t="n">
        <v>0.05</v>
      </c>
      <c r="L1564" t="n">
        <v>228</v>
      </c>
      <c r="M1564" t="n">
        <v>4788</v>
      </c>
      <c r="N1564" t="inlineStr">
        <is>
          <t>RON</t>
        </is>
      </c>
      <c r="O1564" t="inlineStr">
        <is>
          <t>Mediaș</t>
        </is>
      </c>
      <c r="P1564" s="12" t="n">
        <v>46073</v>
      </c>
      <c r="Q1564">
        <f>IF(COUNTIF(tbl_Localitati[oras_oficial],[@oras])=0,"ORAS NEALINIAT",IF(XLOOKUP([@oras],tbl_Localitati[oras_oficial],tbl_Localitati[judet],"?")&lt;&gt;[@judet],"JUDET NECORESPUNZATOR",""))</f>
        <v/>
      </c>
      <c r="R1564">
        <f>IF(XLOOKUP([@categorie],tbl_RegulriTVA[categorie],tbl_RegulriTVA[cota_legala],-1)&lt;&gt;[@cota_tva],"TVA GRESIT","")</f>
        <v/>
      </c>
      <c r="S1564">
        <f>IF([@data_scadentei]&lt;[@data_factura],"SCADENTA INAINTEA FACTURII","")</f>
        <v/>
      </c>
      <c r="T1564">
        <f>IF(NETWORKDAYS.INTL([@data_factura],[@data_factura],1,tbl_SarbatoriLegale[data])=0,"ZI NELUCRATOARE","")</f>
        <v/>
      </c>
      <c r="U1564">
        <f>IF([@motiv_anomalie]="","OK","DE INVESTIGAT")</f>
        <v/>
      </c>
      <c r="V1564">
        <f>TEXTJOIN("; ",TRUE,[@flag_oras],[@flag_tva],[@flag_scadenta],[@flag_zi])</f>
        <v/>
      </c>
    </row>
    <row r="1565">
      <c r="A1565" t="inlineStr">
        <is>
          <t>F-2025-01564</t>
        </is>
      </c>
      <c r="B1565" s="12" t="n">
        <v>46084</v>
      </c>
      <c r="C1565" t="inlineStr">
        <is>
          <t>SC SOLARIS ENERGY SRL</t>
        </is>
      </c>
      <c r="D1565" t="inlineStr">
        <is>
          <t>Prahova</t>
        </is>
      </c>
      <c r="E1565" t="inlineStr">
        <is>
          <t>PRD-009</t>
        </is>
      </c>
      <c r="F1565" t="inlineStr">
        <is>
          <t>Ceai cutie 100buc</t>
        </is>
      </c>
      <c r="G1565" t="inlineStr">
        <is>
          <t>Alimente</t>
        </is>
      </c>
      <c r="H1565" t="n">
        <v>10</v>
      </c>
      <c r="I1565" t="n">
        <v>27.65</v>
      </c>
      <c r="J1565" t="n">
        <v>276.5</v>
      </c>
      <c r="K1565" s="13" t="n">
        <v>0.09</v>
      </c>
      <c r="L1565" t="n">
        <v>24.88</v>
      </c>
      <c r="M1565" t="n">
        <v>301.38</v>
      </c>
      <c r="N1565" t="inlineStr">
        <is>
          <t>RON</t>
        </is>
      </c>
      <c r="O1565" t="inlineStr">
        <is>
          <t>Câmpina</t>
        </is>
      </c>
      <c r="P1565" s="12" t="n">
        <v>46099</v>
      </c>
      <c r="Q1565">
        <f>IF(COUNTIF(tbl_Localitati[oras_oficial],[@oras])=0,"ORAS NEALINIAT",IF(XLOOKUP([@oras],tbl_Localitati[oras_oficial],tbl_Localitati[judet],"?")&lt;&gt;[@judet],"JUDET NECORESPUNZATOR",""))</f>
        <v/>
      </c>
      <c r="R1565">
        <f>IF(XLOOKUP([@categorie],tbl_RegulriTVA[categorie],tbl_RegulriTVA[cota_legala],-1)&lt;&gt;[@cota_tva],"TVA GRESIT","")</f>
        <v/>
      </c>
      <c r="S1565">
        <f>IF([@data_scadentei]&lt;[@data_factura],"SCADENTA INAINTEA FACTURII","")</f>
        <v/>
      </c>
      <c r="T1565">
        <f>IF(NETWORKDAYS.INTL([@data_factura],[@data_factura],1,tbl_SarbatoriLegale[data])=0,"ZI NELUCRATOARE","")</f>
        <v/>
      </c>
      <c r="U1565">
        <f>IF([@motiv_anomalie]="","OK","DE INVESTIGAT")</f>
        <v/>
      </c>
      <c r="V1565">
        <f>TEXTJOIN("; ",TRUE,[@flag_oras],[@flag_tva],[@flag_scadenta],[@flag_zi])</f>
        <v/>
      </c>
    </row>
    <row r="1566">
      <c r="A1566" t="inlineStr">
        <is>
          <t>F-2025-01565</t>
        </is>
      </c>
      <c r="B1566" s="12" t="n">
        <v>46111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Licenta ERP contabilitate</t>
        </is>
      </c>
      <c r="G1566" t="inlineStr">
        <is>
          <t>Licențe software</t>
        </is>
      </c>
      <c r="H1566" t="n">
        <v>1</v>
      </c>
      <c r="I1566" t="n">
        <v>171.22</v>
      </c>
      <c r="J1566" t="n">
        <v>171.22</v>
      </c>
      <c r="K1566" s="13" t="n">
        <v>0.19</v>
      </c>
      <c r="L1566" t="n">
        <v>32.53</v>
      </c>
      <c r="M1566" t="n">
        <v>203.75</v>
      </c>
      <c r="N1566" t="inlineStr">
        <is>
          <t>RON</t>
        </is>
      </c>
      <c r="O1566" t="inlineStr">
        <is>
          <t>Sibiu</t>
        </is>
      </c>
      <c r="P1566" s="12" t="n">
        <v>46141</v>
      </c>
      <c r="Q1566">
        <f>IF(COUNTIF(tbl_Localitati[oras_oficial],[@oras])=0,"ORAS NEALINIAT",IF(XLOOKUP([@oras],tbl_Localitati[oras_oficial],tbl_Localitati[judet],"?")&lt;&gt;[@judet],"JUDET NECORESPUNZATOR",""))</f>
        <v/>
      </c>
      <c r="R1566">
        <f>IF(XLOOKUP([@categorie],tbl_RegulriTVA[categorie],tbl_RegulriTVA[cota_legala],-1)&lt;&gt;[@cota_tva],"TVA GRESIT","")</f>
        <v/>
      </c>
      <c r="S1566">
        <f>IF([@data_scadentei]&lt;[@data_factura],"SCADENTA INAINTEA FACTURII","")</f>
        <v/>
      </c>
      <c r="T1566">
        <f>IF(NETWORKDAYS.INTL([@data_factura],[@data_factura],1,tbl_SarbatoriLegale[data])=0,"ZI NELUCRATOARE","")</f>
        <v/>
      </c>
      <c r="U1566">
        <f>IF([@motiv_anomalie]="","OK","DE INVESTIGAT")</f>
        <v/>
      </c>
      <c r="V1566">
        <f>TEXTJOIN("; ",TRUE,[@flag_oras],[@flag_tva],[@flag_scadenta],[@flag_zi])</f>
        <v/>
      </c>
    </row>
    <row r="1567">
      <c r="A1567" t="inlineStr">
        <is>
          <t>F-2025-01566</t>
        </is>
      </c>
      <c r="B1567" s="12" t="n">
        <v>46259</v>
      </c>
      <c r="C1567" t="inlineStr">
        <is>
          <t>SC AROMET TRADING SRL</t>
        </is>
      </c>
      <c r="D1567" t="inlineStr">
        <is>
          <t>Alba</t>
        </is>
      </c>
      <c r="E1567" t="inlineStr">
        <is>
          <t>PRD-009</t>
        </is>
      </c>
      <c r="F1567" t="inlineStr">
        <is>
          <t>Tocator documente</t>
        </is>
      </c>
      <c r="G1567" t="inlineStr">
        <is>
          <t>Echipamente birou</t>
        </is>
      </c>
      <c r="H1567" t="n">
        <v>10</v>
      </c>
      <c r="I1567" t="n">
        <v>27.92</v>
      </c>
      <c r="J1567" t="n">
        <v>279.2</v>
      </c>
      <c r="K1567" s="13" t="n">
        <v>0.19</v>
      </c>
      <c r="L1567" t="n">
        <v>53.05</v>
      </c>
      <c r="M1567" t="n">
        <v>332.25</v>
      </c>
      <c r="N1567" t="inlineStr">
        <is>
          <t>RON</t>
        </is>
      </c>
      <c r="O1567" t="inlineStr">
        <is>
          <t>Alba Iulia</t>
        </is>
      </c>
      <c r="P1567" s="12" t="n">
        <v>46289</v>
      </c>
      <c r="Q1567">
        <f>IF(COUNTIF(tbl_Localitati[oras_oficial],[@oras])=0,"ORAS NEALINIAT",IF(XLOOKUP([@oras],tbl_Localitati[oras_oficial],tbl_Localitati[judet],"?")&lt;&gt;[@judet],"JUDET NECORESPUNZATOR",""))</f>
        <v/>
      </c>
      <c r="R1567">
        <f>IF(XLOOKUP([@categorie],tbl_RegulriTVA[categorie],tbl_RegulriTVA[cota_legala],-1)&lt;&gt;[@cota_tva],"TVA GRESIT","")</f>
        <v/>
      </c>
      <c r="S1567">
        <f>IF([@data_scadentei]&lt;[@data_factura],"SCADENTA INAINTEA FACTURII","")</f>
        <v/>
      </c>
      <c r="T1567">
        <f>IF(NETWORKDAYS.INTL([@data_factura],[@data_factura],1,tbl_SarbatoriLegale[data])=0,"ZI NELUCRATOARE","")</f>
        <v/>
      </c>
      <c r="U1567">
        <f>IF([@motiv_anomalie]="","OK","DE INVESTIGAT")</f>
        <v/>
      </c>
      <c r="V1567">
        <f>TEXTJOIN("; ",TRUE,[@flag_oras],[@flag_tva],[@flag_scadenta],[@flag_zi])</f>
        <v/>
      </c>
    </row>
    <row r="1568">
      <c r="A1568" t="inlineStr">
        <is>
          <t>F-2025-01567</t>
        </is>
      </c>
      <c r="B1568" s="12" t="n">
        <v>46335</v>
      </c>
      <c r="C1568" t="inlineStr">
        <is>
          <t>SC AROMET TRADING SRL</t>
        </is>
      </c>
      <c r="D1568" t="inlineStr">
        <is>
          <t>Alba</t>
        </is>
      </c>
      <c r="E1568" t="inlineStr">
        <is>
          <t>PRD-010</t>
        </is>
      </c>
      <c r="F1568" t="inlineStr">
        <is>
          <t>Consultanta implementare IT</t>
        </is>
      </c>
      <c r="G1568" t="inlineStr">
        <is>
          <t>Servicii consultanță</t>
        </is>
      </c>
      <c r="H1568" t="n">
        <v>20</v>
      </c>
      <c r="I1568" t="n">
        <v>358.01</v>
      </c>
      <c r="J1568" t="n">
        <v>7160.2</v>
      </c>
      <c r="K1568" s="13" t="n">
        <v>0.19</v>
      </c>
      <c r="L1568" t="n">
        <v>1360.44</v>
      </c>
      <c r="M1568" t="n">
        <v>8520.639999999999</v>
      </c>
      <c r="N1568" t="inlineStr">
        <is>
          <t>RON</t>
        </is>
      </c>
      <c r="O1568" t="inlineStr">
        <is>
          <t>Alba Iulia</t>
        </is>
      </c>
      <c r="P1568" s="12" t="n">
        <v>46365</v>
      </c>
      <c r="Q1568">
        <f>IF(COUNTIF(tbl_Localitati[oras_oficial],[@oras])=0,"ORAS NEALINIAT",IF(XLOOKUP([@oras],tbl_Localitati[oras_oficial],tbl_Localitati[judet],"?")&lt;&gt;[@judet],"JUDET NECORESPUNZATOR",""))</f>
        <v/>
      </c>
      <c r="R1568">
        <f>IF(XLOOKUP([@categorie],tbl_RegulriTVA[categorie],tbl_RegulriTVA[cota_legala],-1)&lt;&gt;[@cota_tva],"TVA GRESIT","")</f>
        <v/>
      </c>
      <c r="S1568">
        <f>IF([@data_scadentei]&lt;[@data_factura],"SCADENTA INAINTEA FACTURII","")</f>
        <v/>
      </c>
      <c r="T1568">
        <f>IF(NETWORKDAYS.INTL([@data_factura],[@data_factura],1,tbl_SarbatoriLegale[data])=0,"ZI NELUCRATOARE","")</f>
        <v/>
      </c>
      <c r="U1568">
        <f>IF([@motiv_anomalie]="","OK","DE INVESTIGAT")</f>
        <v/>
      </c>
      <c r="V1568">
        <f>TEXTJOIN("; ",TRUE,[@flag_oras],[@flag_tva],[@flag_scadenta],[@flag_zi])</f>
        <v/>
      </c>
    </row>
    <row r="1569">
      <c r="A1569" t="inlineStr">
        <is>
          <t>F-2025-01568</t>
        </is>
      </c>
      <c r="B1569" s="12" t="n">
        <v>46272</v>
      </c>
      <c r="C1569" t="inlineStr">
        <is>
          <t>SC ZENITH AUTO SRL</t>
        </is>
      </c>
      <c r="D1569" t="inlineStr">
        <is>
          <t>București</t>
        </is>
      </c>
      <c r="E1569" t="inlineStr">
        <is>
          <t>PRD-007</t>
        </is>
      </c>
      <c r="F1569" t="inlineStr">
        <is>
          <t>Monitor 27" 4K</t>
        </is>
      </c>
      <c r="G1569" t="inlineStr">
        <is>
          <t>Hardware IT</t>
        </is>
      </c>
      <c r="H1569" t="n">
        <v>1</v>
      </c>
      <c r="I1569" t="n">
        <v>181.24</v>
      </c>
      <c r="J1569" t="n">
        <v>181.24</v>
      </c>
      <c r="K1569" s="13" t="n">
        <v>0.19</v>
      </c>
      <c r="L1569" t="n">
        <v>34.44</v>
      </c>
      <c r="M1569" t="n">
        <v>215.68</v>
      </c>
      <c r="N1569" t="inlineStr">
        <is>
          <t>RON</t>
        </is>
      </c>
      <c r="O1569" t="inlineStr">
        <is>
          <t>București</t>
        </is>
      </c>
      <c r="P1569" s="12" t="n">
        <v>46302</v>
      </c>
      <c r="Q1569">
        <f>IF(COUNTIF(tbl_Localitati[oras_oficial],[@oras])=0,"ORAS NEALINIAT",IF(XLOOKUP([@oras],tbl_Localitati[oras_oficial],tbl_Localitati[judet],"?")&lt;&gt;[@judet],"JUDET NECORESPUNZATOR",""))</f>
        <v/>
      </c>
      <c r="R1569">
        <f>IF(XLOOKUP([@categorie],tbl_RegulriTVA[categorie],tbl_RegulriTVA[cota_legala],-1)&lt;&gt;[@cota_tva],"TVA GRESIT","")</f>
        <v/>
      </c>
      <c r="S1569">
        <f>IF([@data_scadentei]&lt;[@data_factura],"SCADENTA INAINTEA FACTURII","")</f>
        <v/>
      </c>
      <c r="T1569">
        <f>IF(NETWORKDAYS.INTL([@data_factura],[@data_factura],1,tbl_SarbatoriLegale[data])=0,"ZI NELUCRATOARE","")</f>
        <v/>
      </c>
      <c r="U1569">
        <f>IF([@motiv_anomalie]="","OK","DE INVESTIGAT")</f>
        <v/>
      </c>
      <c r="V1569">
        <f>TEXTJOIN("; ",TRUE,[@flag_oras],[@flag_tva],[@flag_scadenta],[@flag_zi])</f>
        <v/>
      </c>
    </row>
    <row r="1570">
      <c r="A1570" t="inlineStr">
        <is>
          <t>F-2025-01569</t>
        </is>
      </c>
      <c r="B1570" s="12" t="n">
        <v>46202</v>
      </c>
      <c r="C1570" t="inlineStr">
        <is>
          <t>SC SOLARIS ENERGY SRL</t>
        </is>
      </c>
      <c r="D1570" t="inlineStr">
        <is>
          <t>Prahova</t>
        </is>
      </c>
      <c r="E1570" t="inlineStr">
        <is>
          <t>PRD-002</t>
        </is>
      </c>
      <c r="F1570" t="inlineStr">
        <is>
          <t>Videoproiector sala</t>
        </is>
      </c>
      <c r="G1570" t="inlineStr">
        <is>
          <t>Echipamente birou</t>
        </is>
      </c>
      <c r="H1570" t="n">
        <v>1</v>
      </c>
      <c r="I1570" t="n">
        <v>1069.31</v>
      </c>
      <c r="J1570" t="n">
        <v>1069.31</v>
      </c>
      <c r="K1570" s="13" t="n">
        <v>0.19</v>
      </c>
      <c r="L1570" t="n">
        <v>203.17</v>
      </c>
      <c r="M1570" t="n">
        <v>1272.48</v>
      </c>
      <c r="N1570" t="inlineStr">
        <is>
          <t>RON</t>
        </is>
      </c>
      <c r="O1570" t="inlineStr">
        <is>
          <t>Câmpina</t>
        </is>
      </c>
      <c r="P1570" s="12" t="n">
        <v>46247</v>
      </c>
      <c r="Q1570">
        <f>IF(COUNTIF(tbl_Localitati[oras_oficial],[@oras])=0,"ORAS NEALINIAT",IF(XLOOKUP([@oras],tbl_Localitati[oras_oficial],tbl_Localitati[judet],"?")&lt;&gt;[@judet],"JUDET NECORESPUNZATOR",""))</f>
        <v/>
      </c>
      <c r="R1570">
        <f>IF(XLOOKUP([@categorie],tbl_RegulriTVA[categorie],tbl_RegulriTVA[cota_legala],-1)&lt;&gt;[@cota_tva],"TVA GRESIT","")</f>
        <v/>
      </c>
      <c r="S1570">
        <f>IF([@data_scadentei]&lt;[@data_factura],"SCADENTA INAINTEA FACTURII","")</f>
        <v/>
      </c>
      <c r="T1570">
        <f>IF(NETWORKDAYS.INTL([@data_factura],[@data_factura],1,tbl_SarbatoriLegale[data])=0,"ZI NELUCRATOARE","")</f>
        <v/>
      </c>
      <c r="U1570">
        <f>IF([@motiv_anomalie]="","OK","DE INVESTIGAT")</f>
        <v/>
      </c>
      <c r="V1570">
        <f>TEXTJOIN("; ",TRUE,[@flag_oras],[@flag_tva],[@flag_scadenta],[@flag_zi])</f>
        <v/>
      </c>
    </row>
    <row r="1571">
      <c r="A1571" t="inlineStr">
        <is>
          <t>F-2025-01570</t>
        </is>
      </c>
      <c r="B1571" s="12" t="n">
        <v>46192</v>
      </c>
      <c r="C1571" t="inlineStr">
        <is>
          <t>SC AROMET TRADING SRL</t>
        </is>
      </c>
      <c r="D1571" t="inlineStr">
        <is>
          <t>Alba</t>
        </is>
      </c>
      <c r="E1571" t="inlineStr">
        <is>
          <t>PRD-010</t>
        </is>
      </c>
      <c r="F1571" t="inlineStr">
        <is>
          <t>Audit infrastructura</t>
        </is>
      </c>
      <c r="G1571" t="inlineStr">
        <is>
          <t>Servicii consultanță</t>
        </is>
      </c>
      <c r="H1571" t="n">
        <v>50</v>
      </c>
      <c r="I1571" t="n">
        <v>364.15</v>
      </c>
      <c r="J1571" t="n">
        <v>18207.5</v>
      </c>
      <c r="K1571" s="13" t="n">
        <v>0.19</v>
      </c>
      <c r="L1571" t="n">
        <v>3459.43</v>
      </c>
      <c r="M1571" t="n">
        <v>21666.93</v>
      </c>
      <c r="N1571" t="inlineStr">
        <is>
          <t>RON</t>
        </is>
      </c>
      <c r="O1571" t="inlineStr">
        <is>
          <t>Alba Iulia</t>
        </is>
      </c>
      <c r="P1571" s="12" t="n">
        <v>46222</v>
      </c>
      <c r="Q1571">
        <f>IF(COUNTIF(tbl_Localitati[oras_oficial],[@oras])=0,"ORAS NEALINIAT",IF(XLOOKUP([@oras],tbl_Localitati[oras_oficial],tbl_Localitati[judet],"?")&lt;&gt;[@judet],"JUDET NECORESPUNZATOR",""))</f>
        <v/>
      </c>
      <c r="R1571">
        <f>IF(XLOOKUP([@categorie],tbl_RegulriTVA[categorie],tbl_RegulriTVA[cota_legala],-1)&lt;&gt;[@cota_tva],"TVA GRESIT","")</f>
        <v/>
      </c>
      <c r="S1571">
        <f>IF([@data_scadentei]&lt;[@data_factura],"SCADENTA INAINTEA FACTURII","")</f>
        <v/>
      </c>
      <c r="T1571">
        <f>IF(NETWORKDAYS.INTL([@data_factura],[@data_factura],1,tbl_SarbatoriLegale[data])=0,"ZI NELUCRATOARE","")</f>
        <v/>
      </c>
      <c r="U1571">
        <f>IF([@motiv_anomalie]="","OK","DE INVESTIGAT")</f>
        <v/>
      </c>
      <c r="V1571">
        <f>TEXTJOIN("; ",TRUE,[@flag_oras],[@flag_tva],[@flag_scadenta],[@flag_zi])</f>
        <v/>
      </c>
    </row>
    <row r="1572">
      <c r="A1572" t="inlineStr">
        <is>
          <t>F-2025-01571</t>
        </is>
      </c>
      <c r="B1572" s="12" t="n">
        <v>46247</v>
      </c>
      <c r="C1572" t="inlineStr">
        <is>
          <t>SC NORDIS DISTRIBUTIE SRL</t>
        </is>
      </c>
      <c r="D1572" t="inlineStr">
        <is>
          <t>Constanța</t>
        </is>
      </c>
      <c r="E1572" t="inlineStr">
        <is>
          <t>PRD-007</t>
        </is>
      </c>
      <c r="F1572" t="inlineStr">
        <is>
          <t>Training utilizatori</t>
        </is>
      </c>
      <c r="G1572" t="inlineStr">
        <is>
          <t>Servicii consultanță</t>
        </is>
      </c>
      <c r="H1572" t="n">
        <v>10</v>
      </c>
      <c r="I1572" t="n">
        <v>171.7</v>
      </c>
      <c r="J1572" t="n">
        <v>1717</v>
      </c>
      <c r="K1572" s="13" t="n">
        <v>0.19</v>
      </c>
      <c r="L1572" t="n">
        <v>326.23</v>
      </c>
      <c r="M1572" t="n">
        <v>2043.23</v>
      </c>
      <c r="N1572" t="inlineStr">
        <is>
          <t>RON</t>
        </is>
      </c>
      <c r="O1572" t="inlineStr">
        <is>
          <t>Mangalia</t>
        </is>
      </c>
      <c r="P1572" s="12" t="n">
        <v>46277</v>
      </c>
      <c r="Q1572">
        <f>IF(COUNTIF(tbl_Localitati[oras_oficial],[@oras])=0,"ORAS NEALINIAT",IF(XLOOKUP([@oras],tbl_Localitati[oras_oficial],tbl_Localitati[judet],"?")&lt;&gt;[@judet],"JUDET NECORESPUNZATOR",""))</f>
        <v/>
      </c>
      <c r="R1572">
        <f>IF(XLOOKUP([@categorie],tbl_RegulriTVA[categorie],tbl_RegulriTVA[cota_legala],-1)&lt;&gt;[@cota_tva],"TVA GRESIT","")</f>
        <v/>
      </c>
      <c r="S1572">
        <f>IF([@data_scadentei]&lt;[@data_factura],"SCADENTA INAINTEA FACTURII","")</f>
        <v/>
      </c>
      <c r="T1572">
        <f>IF(NETWORKDAYS.INTL([@data_factura],[@data_factura],1,tbl_SarbatoriLegale[data])=0,"ZI NELUCRATOARE","")</f>
        <v/>
      </c>
      <c r="U1572">
        <f>IF([@motiv_anomalie]="","OK","DE INVESTIGAT")</f>
        <v/>
      </c>
      <c r="V1572">
        <f>TEXTJOIN("; ",TRUE,[@flag_oras],[@flag_tva],[@flag_scadenta],[@flag_zi])</f>
        <v/>
      </c>
    </row>
    <row r="1573">
      <c r="A1573" t="inlineStr">
        <is>
          <t>F-2025-01572</t>
        </is>
      </c>
      <c r="B1573" s="12" t="n">
        <v>46262</v>
      </c>
      <c r="C1573" t="inlineStr">
        <is>
          <t>SC AROMET TRADING SRL</t>
        </is>
      </c>
      <c r="D1573" t="inlineStr">
        <is>
          <t>Alba</t>
        </is>
      </c>
      <c r="E1573" t="inlineStr">
        <is>
          <t>PRD-007</t>
        </is>
      </c>
      <c r="F1573" t="inlineStr">
        <is>
          <t>Suport tehnic anual</t>
        </is>
      </c>
      <c r="G1573" t="inlineStr">
        <is>
          <t>Servicii consultanță</t>
        </is>
      </c>
      <c r="H1573" t="n">
        <v>5</v>
      </c>
      <c r="I1573" t="n">
        <v>184.01</v>
      </c>
      <c r="J1573" t="n">
        <v>920.05</v>
      </c>
      <c r="K1573" s="13" t="n">
        <v>0.19</v>
      </c>
      <c r="L1573" t="n">
        <v>174.81</v>
      </c>
      <c r="M1573" t="n">
        <v>1094.86</v>
      </c>
      <c r="N1573" t="inlineStr">
        <is>
          <t>RON</t>
        </is>
      </c>
      <c r="O1573" t="inlineStr">
        <is>
          <t>Alba Iulia</t>
        </is>
      </c>
      <c r="P1573" s="12" t="n">
        <v>46322</v>
      </c>
      <c r="Q1573">
        <f>IF(COUNTIF(tbl_Localitati[oras_oficial],[@oras])=0,"ORAS NEALINIAT",IF(XLOOKUP([@oras],tbl_Localitati[oras_oficial],tbl_Localitati[judet],"?")&lt;&gt;[@judet],"JUDET NECORESPUNZATOR",""))</f>
        <v/>
      </c>
      <c r="R1573">
        <f>IF(XLOOKUP([@categorie],tbl_RegulriTVA[categorie],tbl_RegulriTVA[cota_legala],-1)&lt;&gt;[@cota_tva],"TVA GRESIT","")</f>
        <v/>
      </c>
      <c r="S1573">
        <f>IF([@data_scadentei]&lt;[@data_factura],"SCADENTA INAINTEA FACTURII","")</f>
        <v/>
      </c>
      <c r="T1573">
        <f>IF(NETWORKDAYS.INTL([@data_factura],[@data_factura],1,tbl_SarbatoriLegale[data])=0,"ZI NELUCRATOARE","")</f>
        <v/>
      </c>
      <c r="U1573">
        <f>IF([@motiv_anomalie]="","OK","DE INVESTIGAT")</f>
        <v/>
      </c>
      <c r="V1573">
        <f>TEXTJOIN("; ",TRUE,[@flag_oras],[@flag_tva],[@flag_scadenta],[@flag_zi])</f>
        <v/>
      </c>
    </row>
    <row r="1574">
      <c r="A1574" t="inlineStr">
        <is>
          <t>F-2025-01573</t>
        </is>
      </c>
      <c r="B1574" s="12" t="n">
        <v>46206</v>
      </c>
      <c r="C1574" t="inlineStr">
        <is>
          <t>SC FARMAVITAL DISTRIBUTIE SA</t>
        </is>
      </c>
      <c r="D1574" t="inlineStr">
        <is>
          <t>Bihor</t>
        </is>
      </c>
      <c r="E1574" t="inlineStr">
        <is>
          <t>PRD-001</t>
        </is>
      </c>
      <c r="F1574" t="inlineStr">
        <is>
          <t>Licenta antivirus enterprise</t>
        </is>
      </c>
      <c r="G1574" t="inlineStr">
        <is>
          <t>Licențe software</t>
        </is>
      </c>
      <c r="H1574" t="n">
        <v>3</v>
      </c>
      <c r="I1574" t="n">
        <v>2327.82</v>
      </c>
      <c r="J1574" t="n">
        <v>6983.46</v>
      </c>
      <c r="K1574" s="13" t="n">
        <v>0.19</v>
      </c>
      <c r="L1574" t="n">
        <v>1326.86</v>
      </c>
      <c r="M1574" t="n">
        <v>8310.32</v>
      </c>
      <c r="N1574" t="inlineStr">
        <is>
          <t>RON</t>
        </is>
      </c>
      <c r="O1574" t="inlineStr">
        <is>
          <t>Oradea</t>
        </is>
      </c>
      <c r="P1574" s="12" t="n">
        <v>46251</v>
      </c>
      <c r="Q1574">
        <f>IF(COUNTIF(tbl_Localitati[oras_oficial],[@oras])=0,"ORAS NEALINIAT",IF(XLOOKUP([@oras],tbl_Localitati[oras_oficial],tbl_Localitati[judet],"?")&lt;&gt;[@judet],"JUDET NECORESPUNZATOR",""))</f>
        <v/>
      </c>
      <c r="R1574">
        <f>IF(XLOOKUP([@categorie],tbl_RegulriTVA[categorie],tbl_RegulriTVA[cota_legala],-1)&lt;&gt;[@cota_tva],"TVA GRESIT","")</f>
        <v/>
      </c>
      <c r="S1574">
        <f>IF([@data_scadentei]&lt;[@data_factura],"SCADENTA INAINTEA FACTURII","")</f>
        <v/>
      </c>
      <c r="T1574">
        <f>IF(NETWORKDAYS.INTL([@data_factura],[@data_factura],1,tbl_SarbatoriLegale[data])=0,"ZI NELUCRATOARE","")</f>
        <v/>
      </c>
      <c r="U1574">
        <f>IF([@motiv_anomalie]="","OK","DE INVESTIGAT")</f>
        <v/>
      </c>
      <c r="V1574">
        <f>TEXTJOIN("; ",TRUE,[@flag_oras],[@flag_tva],[@flag_scadenta],[@flag_zi])</f>
        <v/>
      </c>
    </row>
    <row r="1575">
      <c r="A1575" t="inlineStr">
        <is>
          <t>F-2025-01574</t>
        </is>
      </c>
      <c r="B1575" s="12" t="n">
        <v>46192</v>
      </c>
      <c r="C1575" t="inlineStr">
        <is>
          <t>SC INTEGROMED SA</t>
        </is>
      </c>
      <c r="D1575" t="inlineStr">
        <is>
          <t>Cluj</t>
        </is>
      </c>
      <c r="E1575" t="inlineStr">
        <is>
          <t>PRD-008</t>
        </is>
      </c>
      <c r="F1575" t="inlineStr">
        <is>
          <t>Monitor 27" 4K</t>
        </is>
      </c>
      <c r="G1575" t="inlineStr">
        <is>
          <t>Hardware IT</t>
        </is>
      </c>
      <c r="H1575" t="n">
        <v>50</v>
      </c>
      <c r="I1575" t="n">
        <v>428.71</v>
      </c>
      <c r="J1575" t="n">
        <v>21435.5</v>
      </c>
      <c r="K1575" s="13" t="n">
        <v>0.19</v>
      </c>
      <c r="L1575" t="n">
        <v>4072.74</v>
      </c>
      <c r="M1575" t="n">
        <v>25508.24</v>
      </c>
      <c r="N1575" t="inlineStr">
        <is>
          <t>RON</t>
        </is>
      </c>
      <c r="O1575" t="inlineStr">
        <is>
          <t>Cluj-Napoca</t>
        </is>
      </c>
      <c r="P1575" s="12" t="n">
        <v>46222</v>
      </c>
      <c r="Q1575">
        <f>IF(COUNTIF(tbl_Localitati[oras_oficial],[@oras])=0,"ORAS NEALINIAT",IF(XLOOKUP([@oras],tbl_Localitati[oras_oficial],tbl_Localitati[judet],"?")&lt;&gt;[@judet],"JUDET NECORESPUNZATOR",""))</f>
        <v/>
      </c>
      <c r="R1575">
        <f>IF(XLOOKUP([@categorie],tbl_RegulriTVA[categorie],tbl_RegulriTVA[cota_legala],-1)&lt;&gt;[@cota_tva],"TVA GRESIT","")</f>
        <v/>
      </c>
      <c r="S1575">
        <f>IF([@data_scadentei]&lt;[@data_factura],"SCADENTA INAINTEA FACTURII","")</f>
        <v/>
      </c>
      <c r="T1575">
        <f>IF(NETWORKDAYS.INTL([@data_factura],[@data_factura],1,tbl_SarbatoriLegale[data])=0,"ZI NELUCRATOARE","")</f>
        <v/>
      </c>
      <c r="U1575">
        <f>IF([@motiv_anomalie]="","OK","DE INVESTIGAT")</f>
        <v/>
      </c>
      <c r="V1575">
        <f>TEXTJOIN("; ",TRUE,[@flag_oras],[@flag_tva],[@flag_scadenta],[@flag_zi])</f>
        <v/>
      </c>
    </row>
    <row r="1576">
      <c r="A1576" t="inlineStr">
        <is>
          <t>F-2025-01575</t>
        </is>
      </c>
      <c r="B1576" s="12" t="n">
        <v>46121</v>
      </c>
      <c r="C1576" t="inlineStr">
        <is>
          <t>SC METALPLAST INVEST SA</t>
        </is>
      </c>
      <c r="D1576" t="inlineStr">
        <is>
          <t>Cluj</t>
        </is>
      </c>
      <c r="E1576" t="inlineStr">
        <is>
          <t>PRD-002</t>
        </is>
      </c>
      <c r="F1576" t="inlineStr">
        <is>
          <t>Videoproiector sala</t>
        </is>
      </c>
      <c r="G1576" t="inlineStr">
        <is>
          <t>Echipamente birou</t>
        </is>
      </c>
      <c r="H1576" t="n">
        <v>1</v>
      </c>
      <c r="I1576" t="n">
        <v>1099.28</v>
      </c>
      <c r="J1576" t="n">
        <v>1099.28</v>
      </c>
      <c r="K1576" s="13" t="n">
        <v>0.19</v>
      </c>
      <c r="L1576" t="n">
        <v>208.86</v>
      </c>
      <c r="M1576" t="n">
        <v>1308.14</v>
      </c>
      <c r="N1576" t="inlineStr">
        <is>
          <t>RON</t>
        </is>
      </c>
      <c r="O1576" t="inlineStr">
        <is>
          <t>Turda</t>
        </is>
      </c>
      <c r="P1576" s="12" t="n">
        <v>46151</v>
      </c>
      <c r="Q1576">
        <f>IF(COUNTIF(tbl_Localitati[oras_oficial],[@oras])=0,"ORAS NEALINIAT",IF(XLOOKUP([@oras],tbl_Localitati[oras_oficial],tbl_Localitati[judet],"?")&lt;&gt;[@judet],"JUDET NECORESPUNZATOR",""))</f>
        <v/>
      </c>
      <c r="R1576">
        <f>IF(XLOOKUP([@categorie],tbl_RegulriTVA[categorie],tbl_RegulriTVA[cota_legala],-1)&lt;&gt;[@cota_tva],"TVA GRESIT","")</f>
        <v/>
      </c>
      <c r="S1576">
        <f>IF([@data_scadentei]&lt;[@data_factura],"SCADENTA INAINTEA FACTURII","")</f>
        <v/>
      </c>
      <c r="T1576">
        <f>IF(NETWORKDAYS.INTL([@data_factura],[@data_factura],1,tbl_SarbatoriLegale[data])=0,"ZI NELUCRATOARE","")</f>
        <v/>
      </c>
      <c r="U1576">
        <f>IF([@motiv_anomalie]="","OK","DE INVESTIGAT")</f>
        <v/>
      </c>
      <c r="V1576">
        <f>TEXTJOIN("; ",TRUE,[@flag_oras],[@flag_tva],[@flag_scadenta],[@flag_zi])</f>
        <v/>
      </c>
    </row>
    <row r="1577">
      <c r="A1577" t="inlineStr">
        <is>
          <t>F-2025-01576</t>
        </is>
      </c>
      <c r="B1577" s="12" t="n">
        <v>46027</v>
      </c>
      <c r="C1577" t="inlineStr">
        <is>
          <t>SC OMEGA SOFT SRL</t>
        </is>
      </c>
      <c r="D1577" t="inlineStr">
        <is>
          <t>Dolj</t>
        </is>
      </c>
      <c r="E1577" t="inlineStr">
        <is>
          <t>PRD-006</t>
        </is>
      </c>
      <c r="F1577" t="inlineStr">
        <is>
          <t>Statie de lucru desktop</t>
        </is>
      </c>
      <c r="G1577" t="inlineStr">
        <is>
          <t>Hardware IT</t>
        </is>
      </c>
      <c r="H1577" t="n">
        <v>5</v>
      </c>
      <c r="I1577" t="n">
        <v>728.0700000000001</v>
      </c>
      <c r="J1577" t="n">
        <v>3640.35</v>
      </c>
      <c r="K1577" s="13" t="n">
        <v>0.19</v>
      </c>
      <c r="L1577" t="n">
        <v>691.67</v>
      </c>
      <c r="M1577" t="n">
        <v>4332.02</v>
      </c>
      <c r="N1577" t="inlineStr">
        <is>
          <t>RON</t>
        </is>
      </c>
      <c r="O1577" t="inlineStr">
        <is>
          <t>Craiova</t>
        </is>
      </c>
      <c r="P1577" s="12" t="n">
        <v>46072</v>
      </c>
      <c r="Q1577">
        <f>IF(COUNTIF(tbl_Localitati[oras_oficial],[@oras])=0,"ORAS NEALINIAT",IF(XLOOKUP([@oras],tbl_Localitati[oras_oficial],tbl_Localitati[judet],"?")&lt;&gt;[@judet],"JUDET NECORESPUNZATOR",""))</f>
        <v/>
      </c>
      <c r="R1577">
        <f>IF(XLOOKUP([@categorie],tbl_RegulriTVA[categorie],tbl_RegulriTVA[cota_legala],-1)&lt;&gt;[@cota_tva],"TVA GRESIT","")</f>
        <v/>
      </c>
      <c r="S1577">
        <f>IF([@data_scadentei]&lt;[@data_factura],"SCADENTA INAINTEA FACTURII","")</f>
        <v/>
      </c>
      <c r="T1577">
        <f>IF(NETWORKDAYS.INTL([@data_factura],[@data_factura],1,tbl_SarbatoriLegale[data])=0,"ZI NELUCRATOARE","")</f>
        <v/>
      </c>
      <c r="U1577">
        <f>IF([@motiv_anomalie]="","OK","DE INVESTIGAT")</f>
        <v/>
      </c>
      <c r="V1577">
        <f>TEXTJOIN("; ",TRUE,[@flag_oras],[@flag_tva],[@flag_scadenta],[@flag_zi])</f>
        <v/>
      </c>
    </row>
    <row r="1578">
      <c r="A1578" t="inlineStr">
        <is>
          <t>F-2025-01577</t>
        </is>
      </c>
      <c r="B1578" s="12" t="n">
        <v>46134</v>
      </c>
      <c r="C1578" t="inlineStr">
        <is>
          <t>SC FARMAVITAL DISTRIBUTIE SA</t>
        </is>
      </c>
      <c r="D1578" t="inlineStr">
        <is>
          <t>Bihor</t>
        </is>
      </c>
      <c r="E1578" t="inlineStr">
        <is>
          <t>PRD-001</t>
        </is>
      </c>
      <c r="F1578" t="inlineStr">
        <is>
          <t>Licenta Office 365 anuala</t>
        </is>
      </c>
      <c r="G1578" t="inlineStr">
        <is>
          <t>Licențe software</t>
        </is>
      </c>
      <c r="H1578" t="n">
        <v>3</v>
      </c>
      <c r="I1578" t="n">
        <v>2365.19</v>
      </c>
      <c r="J1578" t="n">
        <v>7095.57</v>
      </c>
      <c r="K1578" s="13" t="n">
        <v>0.19</v>
      </c>
      <c r="L1578" t="n">
        <v>1348.16</v>
      </c>
      <c r="M1578" t="n">
        <v>8443.73</v>
      </c>
      <c r="N1578" t="inlineStr">
        <is>
          <t>RON</t>
        </is>
      </c>
      <c r="O1578" t="inlineStr">
        <is>
          <t>Oradea</t>
        </is>
      </c>
      <c r="P1578" s="12" t="n">
        <v>46164</v>
      </c>
      <c r="Q1578">
        <f>IF(COUNTIF(tbl_Localitati[oras_oficial],[@oras])=0,"ORAS NEALINIAT",IF(XLOOKUP([@oras],tbl_Localitati[oras_oficial],tbl_Localitati[judet],"?")&lt;&gt;[@judet],"JUDET NECORESPUNZATOR",""))</f>
        <v/>
      </c>
      <c r="R1578">
        <f>IF(XLOOKUP([@categorie],tbl_RegulriTVA[categorie],tbl_RegulriTVA[cota_legala],-1)&lt;&gt;[@cota_tva],"TVA GRESIT","")</f>
        <v/>
      </c>
      <c r="S1578">
        <f>IF([@data_scadentei]&lt;[@data_factura],"SCADENTA INAINTEA FACTURII","")</f>
        <v/>
      </c>
      <c r="T1578">
        <f>IF(NETWORKDAYS.INTL([@data_factura],[@data_factura],1,tbl_SarbatoriLegale[data])=0,"ZI NELUCRATOARE","")</f>
        <v/>
      </c>
      <c r="U1578">
        <f>IF([@motiv_anomalie]="","OK","DE INVESTIGAT")</f>
        <v/>
      </c>
      <c r="V1578">
        <f>TEXTJOIN("; ",TRUE,[@flag_oras],[@flag_tva],[@flag_scadenta],[@flag_zi])</f>
        <v/>
      </c>
    </row>
    <row r="1579">
      <c r="A1579" t="inlineStr">
        <is>
          <t>F-2025-01578</t>
        </is>
      </c>
      <c r="B1579" s="12" t="n">
        <v>46367</v>
      </c>
      <c r="C1579" t="inlineStr">
        <is>
          <t>SC NORDIS DISTRIBUTIE SRL</t>
        </is>
      </c>
      <c r="D1579" t="inlineStr">
        <is>
          <t>Constanța</t>
        </is>
      </c>
      <c r="E1579" t="inlineStr">
        <is>
          <t>PRD-005</t>
        </is>
      </c>
      <c r="F1579" t="inlineStr">
        <is>
          <t>Termometru digital</t>
        </is>
      </c>
      <c r="G1579" t="inlineStr">
        <is>
          <t>Produse farmaceutice</t>
        </is>
      </c>
      <c r="H1579" t="n">
        <v>1</v>
      </c>
      <c r="I1579" t="n">
        <v>259.11</v>
      </c>
      <c r="J1579" t="n">
        <v>259.11</v>
      </c>
      <c r="K1579" s="13" t="n">
        <v>0.09</v>
      </c>
      <c r="L1579" t="n">
        <v>23.32</v>
      </c>
      <c r="M1579" t="n">
        <v>282.43</v>
      </c>
      <c r="N1579" t="inlineStr">
        <is>
          <t>RON</t>
        </is>
      </c>
      <c r="O1579" t="inlineStr">
        <is>
          <t>Mangalia</t>
        </is>
      </c>
      <c r="P1579" s="12" t="n">
        <v>46397</v>
      </c>
      <c r="Q1579">
        <f>IF(COUNTIF(tbl_Localitati[oras_oficial],[@oras])=0,"ORAS NEALINIAT",IF(XLOOKUP([@oras],tbl_Localitati[oras_oficial],tbl_Localitati[judet],"?")&lt;&gt;[@judet],"JUDET NECORESPUNZATOR",""))</f>
        <v/>
      </c>
      <c r="R1579">
        <f>IF(XLOOKUP([@categorie],tbl_RegulriTVA[categorie],tbl_RegulriTVA[cota_legala],-1)&lt;&gt;[@cota_tva],"TVA GRESIT","")</f>
        <v/>
      </c>
      <c r="S1579">
        <f>IF([@data_scadentei]&lt;[@data_factura],"SCADENTA INAINTEA FACTURII","")</f>
        <v/>
      </c>
      <c r="T1579">
        <f>IF(NETWORKDAYS.INTL([@data_factura],[@data_factura],1,tbl_SarbatoriLegale[data])=0,"ZI NELUCRATOARE","")</f>
        <v/>
      </c>
      <c r="U1579">
        <f>IF([@motiv_anomalie]="","OK","DE INVESTIGAT")</f>
        <v/>
      </c>
      <c r="V1579">
        <f>TEXTJOIN("; ",TRUE,[@flag_oras],[@flag_tva],[@flag_scadenta],[@flag_zi])</f>
        <v/>
      </c>
    </row>
    <row r="1580">
      <c r="A1580" t="inlineStr">
        <is>
          <t>F-2025-01579</t>
        </is>
      </c>
      <c r="B1580" s="12" t="n">
        <v>46031</v>
      </c>
      <c r="C1580" t="inlineStr">
        <is>
          <t>SC ELECTROBUILD SRL</t>
        </is>
      </c>
      <c r="D1580" t="inlineStr">
        <is>
          <t>Bacău</t>
        </is>
      </c>
      <c r="E1580" t="inlineStr">
        <is>
          <t>PRD-009</t>
        </is>
      </c>
      <c r="F1580" t="inlineStr">
        <is>
          <t>Licenta ERP contabilitate</t>
        </is>
      </c>
      <c r="G1580" t="inlineStr">
        <is>
          <t>Licențe software</t>
        </is>
      </c>
      <c r="H1580" t="n">
        <v>20</v>
      </c>
      <c r="I1580" t="n">
        <v>27.22</v>
      </c>
      <c r="J1580" t="n">
        <v>544.4</v>
      </c>
      <c r="K1580" s="13" t="n">
        <v>0.19</v>
      </c>
      <c r="L1580" t="n">
        <v>103.44</v>
      </c>
      <c r="M1580" t="n">
        <v>647.84</v>
      </c>
      <c r="N1580" t="inlineStr">
        <is>
          <t>RON</t>
        </is>
      </c>
      <c r="O1580" t="inlineStr">
        <is>
          <t>Bacău</t>
        </is>
      </c>
      <c r="P1580" s="12" t="n">
        <v>46061</v>
      </c>
      <c r="Q1580">
        <f>IF(COUNTIF(tbl_Localitati[oras_oficial],[@oras])=0,"ORAS NEALINIAT",IF(XLOOKUP([@oras],tbl_Localitati[oras_oficial],tbl_Localitati[judet],"?")&lt;&gt;[@judet],"JUDET NECORESPUNZATOR",""))</f>
        <v/>
      </c>
      <c r="R1580">
        <f>IF(XLOOKUP([@categorie],tbl_RegulriTVA[categorie],tbl_RegulriTVA[cota_legala],-1)&lt;&gt;[@cota_tva],"TVA GRESIT","")</f>
        <v/>
      </c>
      <c r="S1580">
        <f>IF([@data_scadentei]&lt;[@data_factura],"SCADENTA INAINTEA FACTURII","")</f>
        <v/>
      </c>
      <c r="T1580">
        <f>IF(NETWORKDAYS.INTL([@data_factura],[@data_factura],1,tbl_SarbatoriLegale[data])=0,"ZI NELUCRATOARE","")</f>
        <v/>
      </c>
      <c r="U1580">
        <f>IF([@motiv_anomalie]="","OK","DE INVESTIGAT")</f>
        <v/>
      </c>
      <c r="V1580">
        <f>TEXTJOIN("; ",TRUE,[@flag_oras],[@flag_tva],[@flag_scadenta],[@flag_zi])</f>
        <v/>
      </c>
    </row>
    <row r="1581">
      <c r="A1581" t="inlineStr">
        <is>
          <t>F-2025-01580</t>
        </is>
      </c>
      <c r="B1581" s="12" t="n">
        <v>46112</v>
      </c>
      <c r="C1581" t="inlineStr">
        <is>
          <t>SC METALPLAST INVEST SA</t>
        </is>
      </c>
      <c r="D1581" t="inlineStr">
        <is>
          <t>Cluj</t>
        </is>
      </c>
      <c r="E1581" t="inlineStr">
        <is>
          <t>PRD-009</t>
        </is>
      </c>
      <c r="F1581" t="inlineStr">
        <is>
          <t>Suport tehnic anual</t>
        </is>
      </c>
      <c r="G1581" t="inlineStr">
        <is>
          <t>Servicii consultanță</t>
        </is>
      </c>
      <c r="H1581" t="n">
        <v>5</v>
      </c>
      <c r="I1581" t="n">
        <v>27.39</v>
      </c>
      <c r="J1581" t="n">
        <v>136.95</v>
      </c>
      <c r="K1581" s="13" t="n">
        <v>0.19</v>
      </c>
      <c r="L1581" t="n">
        <v>26.02</v>
      </c>
      <c r="M1581" t="n">
        <v>162.97</v>
      </c>
      <c r="N1581" t="inlineStr">
        <is>
          <t>RON</t>
        </is>
      </c>
      <c r="O1581" t="inlineStr">
        <is>
          <t>Turda</t>
        </is>
      </c>
      <c r="P1581" s="12" t="n">
        <v>46127</v>
      </c>
      <c r="Q1581">
        <f>IF(COUNTIF(tbl_Localitati[oras_oficial],[@oras])=0,"ORAS NEALINIAT",IF(XLOOKUP([@oras],tbl_Localitati[oras_oficial],tbl_Localitati[judet],"?")&lt;&gt;[@judet],"JUDET NECORESPUNZATOR",""))</f>
        <v/>
      </c>
      <c r="R1581">
        <f>IF(XLOOKUP([@categorie],tbl_RegulriTVA[categorie],tbl_RegulriTVA[cota_legala],-1)&lt;&gt;[@cota_tva],"TVA GRESIT","")</f>
        <v/>
      </c>
      <c r="S1581">
        <f>IF([@data_scadentei]&lt;[@data_factura],"SCADENTA INAINTEA FACTURII","")</f>
        <v/>
      </c>
      <c r="T1581">
        <f>IF(NETWORKDAYS.INTL([@data_factura],[@data_factura],1,tbl_SarbatoriLegale[data])=0,"ZI NELUCRATOARE","")</f>
        <v/>
      </c>
      <c r="U1581">
        <f>IF([@motiv_anomalie]="","OK","DE INVESTIGAT")</f>
        <v/>
      </c>
      <c r="V1581">
        <f>TEXTJOIN("; ",TRUE,[@flag_oras],[@flag_tva],[@flag_scadenta],[@flag_zi])</f>
        <v/>
      </c>
    </row>
    <row r="1582">
      <c r="A1582" t="inlineStr">
        <is>
          <t>F-2025-01581</t>
        </is>
      </c>
      <c r="B1582" s="12" t="n">
        <v>46182</v>
      </c>
      <c r="C1582" t="inlineStr">
        <is>
          <t>SC AROMET TRADING SRL</t>
        </is>
      </c>
      <c r="D1582" t="inlineStr">
        <is>
          <t>Alba</t>
        </is>
      </c>
      <c r="E1582" t="inlineStr">
        <is>
          <t>PRD-006</t>
        </is>
      </c>
      <c r="F1582" t="inlineStr">
        <is>
          <t>Server rack 1U</t>
        </is>
      </c>
      <c r="G1582" t="inlineStr">
        <is>
          <t>Hardware IT</t>
        </is>
      </c>
      <c r="H1582" t="n">
        <v>1</v>
      </c>
      <c r="I1582" t="n">
        <v>738.78</v>
      </c>
      <c r="J1582" t="n">
        <v>738.78</v>
      </c>
      <c r="K1582" s="13" t="n">
        <v>0.19</v>
      </c>
      <c r="L1582" t="n">
        <v>140.37</v>
      </c>
      <c r="M1582" t="n">
        <v>879.15</v>
      </c>
      <c r="N1582" t="inlineStr">
        <is>
          <t>RON</t>
        </is>
      </c>
      <c r="O1582" t="inlineStr">
        <is>
          <t>Alba Iulia</t>
        </is>
      </c>
      <c r="P1582" s="12" t="n">
        <v>46227</v>
      </c>
      <c r="Q1582">
        <f>IF(COUNTIF(tbl_Localitati[oras_oficial],[@oras])=0,"ORAS NEALINIAT",IF(XLOOKUP([@oras],tbl_Localitati[oras_oficial],tbl_Localitati[judet],"?")&lt;&gt;[@judet],"JUDET NECORESPUNZATOR",""))</f>
        <v/>
      </c>
      <c r="R1582">
        <f>IF(XLOOKUP([@categorie],tbl_RegulriTVA[categorie],tbl_RegulriTVA[cota_legala],-1)&lt;&gt;[@cota_tva],"TVA GRESIT","")</f>
        <v/>
      </c>
      <c r="S1582">
        <f>IF([@data_scadentei]&lt;[@data_factura],"SCADENTA INAINTEA FACTURII","")</f>
        <v/>
      </c>
      <c r="T1582">
        <f>IF(NETWORKDAYS.INTL([@data_factura],[@data_factura],1,tbl_SarbatoriLegale[data])=0,"ZI NELUCRATOARE","")</f>
        <v/>
      </c>
      <c r="U1582">
        <f>IF([@motiv_anomalie]="","OK","DE INVESTIGAT")</f>
        <v/>
      </c>
      <c r="V1582">
        <f>TEXTJOIN("; ",TRUE,[@flag_oras],[@flag_tva],[@flag_scadenta],[@flag_zi])</f>
        <v/>
      </c>
    </row>
    <row r="1583">
      <c r="A1583" t="inlineStr">
        <is>
          <t>F-2025-01582</t>
        </is>
      </c>
      <c r="B1583" s="12" t="n">
        <v>46118</v>
      </c>
      <c r="C1583" t="inlineStr">
        <is>
          <t>SC INTEGROMED SA</t>
        </is>
      </c>
      <c r="D1583" t="inlineStr">
        <is>
          <t>Cluj</t>
        </is>
      </c>
      <c r="E1583" t="inlineStr">
        <is>
          <t>PRD-012</t>
        </is>
      </c>
      <c r="F1583" t="inlineStr">
        <is>
          <t>Telefon IP birou</t>
        </is>
      </c>
      <c r="G1583" t="inlineStr">
        <is>
          <t>Echipamente birou</t>
        </is>
      </c>
      <c r="H1583" t="n">
        <v>1</v>
      </c>
      <c r="I1583" t="n">
        <v>187.69</v>
      </c>
      <c r="J1583" t="n">
        <v>187.69</v>
      </c>
      <c r="K1583" s="13" t="n">
        <v>0.19</v>
      </c>
      <c r="L1583" t="n">
        <v>35.66</v>
      </c>
      <c r="M1583" t="n">
        <v>223.35</v>
      </c>
      <c r="N1583" t="inlineStr">
        <is>
          <t>RON</t>
        </is>
      </c>
      <c r="O1583" t="inlineStr">
        <is>
          <t>Cluj-Napoca</t>
        </is>
      </c>
      <c r="P1583" s="12" t="n">
        <v>46148</v>
      </c>
      <c r="Q1583">
        <f>IF(COUNTIF(tbl_Localitati[oras_oficial],[@oras])=0,"ORAS NEALINIAT",IF(XLOOKUP([@oras],tbl_Localitati[oras_oficial],tbl_Localitati[judet],"?")&lt;&gt;[@judet],"JUDET NECORESPUNZATOR",""))</f>
        <v/>
      </c>
      <c r="R1583">
        <f>IF(XLOOKUP([@categorie],tbl_RegulriTVA[categorie],tbl_RegulriTVA[cota_legala],-1)&lt;&gt;[@cota_tva],"TVA GRESIT","")</f>
        <v/>
      </c>
      <c r="S1583">
        <f>IF([@data_scadentei]&lt;[@data_factura],"SCADENTA INAINTEA FACTURII","")</f>
        <v/>
      </c>
      <c r="T1583">
        <f>IF(NETWORKDAYS.INTL([@data_factura],[@data_factura],1,tbl_SarbatoriLegale[data])=0,"ZI NELUCRATOARE","")</f>
        <v/>
      </c>
      <c r="U1583">
        <f>IF([@motiv_anomalie]="","OK","DE INVESTIGAT")</f>
        <v/>
      </c>
      <c r="V1583">
        <f>TEXTJOIN("; ",TRUE,[@flag_oras],[@flag_tva],[@flag_scadenta],[@flag_zi])</f>
        <v/>
      </c>
    </row>
    <row r="1584">
      <c r="A1584" t="inlineStr">
        <is>
          <t>F-2025-01583</t>
        </is>
      </c>
      <c r="B1584" s="12" t="n">
        <v>46107</v>
      </c>
      <c r="C1584" t="inlineStr">
        <is>
          <t>SC OMEGA SOFT SRL</t>
        </is>
      </c>
      <c r="D1584" t="inlineStr">
        <is>
          <t>Dolj</t>
        </is>
      </c>
      <c r="E1584" t="inlineStr">
        <is>
          <t>PRD-002</t>
        </is>
      </c>
      <c r="F1584" t="inlineStr">
        <is>
          <t>Multifunctionala laser</t>
        </is>
      </c>
      <c r="G1584" t="inlineStr">
        <is>
          <t>Echipamente birou</t>
        </is>
      </c>
      <c r="H1584" t="n">
        <v>1</v>
      </c>
      <c r="I1584" t="n">
        <v>1130.53</v>
      </c>
      <c r="J1584" t="n">
        <v>1130.53</v>
      </c>
      <c r="K1584" s="13" t="n">
        <v>0.19</v>
      </c>
      <c r="L1584" t="n">
        <v>214.8</v>
      </c>
      <c r="M1584" t="n">
        <v>1345.33</v>
      </c>
      <c r="N1584" t="inlineStr">
        <is>
          <t>RON</t>
        </is>
      </c>
      <c r="O1584" t="inlineStr">
        <is>
          <t>Craiova</t>
        </is>
      </c>
      <c r="P1584" s="12" t="n">
        <v>46137</v>
      </c>
      <c r="Q1584">
        <f>IF(COUNTIF(tbl_Localitati[oras_oficial],[@oras])=0,"ORAS NEALINIAT",IF(XLOOKUP([@oras],tbl_Localitati[oras_oficial],tbl_Localitati[judet],"?")&lt;&gt;[@judet],"JUDET NECORESPUNZATOR",""))</f>
        <v/>
      </c>
      <c r="R1584">
        <f>IF(XLOOKUP([@categorie],tbl_RegulriTVA[categorie],tbl_RegulriTVA[cota_legala],-1)&lt;&gt;[@cota_tva],"TVA GRESIT","")</f>
        <v/>
      </c>
      <c r="S1584">
        <f>IF([@data_scadentei]&lt;[@data_factura],"SCADENTA INAINTEA FACTURII","")</f>
        <v/>
      </c>
      <c r="T1584">
        <f>IF(NETWORKDAYS.INTL([@data_factura],[@data_factura],1,tbl_SarbatoriLegale[data])=0,"ZI NELUCRATOARE","")</f>
        <v/>
      </c>
      <c r="U1584">
        <f>IF([@motiv_anomalie]="","OK","DE INVESTIGAT")</f>
        <v/>
      </c>
      <c r="V1584">
        <f>TEXTJOIN("; ",TRUE,[@flag_oras],[@flag_tva],[@flag_scadenta],[@flag_zi])</f>
        <v/>
      </c>
    </row>
    <row r="1585">
      <c r="A1585" t="inlineStr">
        <is>
          <t>F-2025-01584</t>
        </is>
      </c>
      <c r="B1585" s="12" t="n">
        <v>46259</v>
      </c>
      <c r="C1585" t="inlineStr">
        <is>
          <t>SC RAPID LOGISTIC SA</t>
        </is>
      </c>
      <c r="D1585" t="inlineStr">
        <is>
          <t>Prahova</t>
        </is>
      </c>
      <c r="E1585" t="inlineStr">
        <is>
          <t>PRD-005</t>
        </is>
      </c>
      <c r="F1585" t="inlineStr">
        <is>
          <t>Videoproiector sala</t>
        </is>
      </c>
      <c r="G1585" t="inlineStr">
        <is>
          <t>Echipamente birou</t>
        </is>
      </c>
      <c r="H1585" t="n">
        <v>3</v>
      </c>
      <c r="I1585" t="n">
        <v>241.05</v>
      </c>
      <c r="J1585" t="n">
        <v>723.15</v>
      </c>
      <c r="K1585" s="13" t="n">
        <v>0.19</v>
      </c>
      <c r="L1585" t="n">
        <v>137.4</v>
      </c>
      <c r="M1585" t="n">
        <v>860.55</v>
      </c>
      <c r="N1585" t="inlineStr">
        <is>
          <t>RON</t>
        </is>
      </c>
      <c r="O1585" t="inlineStr">
        <is>
          <t>Ploiești</t>
        </is>
      </c>
      <c r="P1585" s="12" t="n">
        <v>46289</v>
      </c>
      <c r="Q1585">
        <f>IF(COUNTIF(tbl_Localitati[oras_oficial],[@oras])=0,"ORAS NEALINIAT",IF(XLOOKUP([@oras],tbl_Localitati[oras_oficial],tbl_Localitati[judet],"?")&lt;&gt;[@judet],"JUDET NECORESPUNZATOR",""))</f>
        <v/>
      </c>
      <c r="R1585">
        <f>IF(XLOOKUP([@categorie],tbl_RegulriTVA[categorie],tbl_RegulriTVA[cota_legala],-1)&lt;&gt;[@cota_tva],"TVA GRESIT","")</f>
        <v/>
      </c>
      <c r="S1585">
        <f>IF([@data_scadentei]&lt;[@data_factura],"SCADENTA INAINTEA FACTURII","")</f>
        <v/>
      </c>
      <c r="T1585">
        <f>IF(NETWORKDAYS.INTL([@data_factura],[@data_factura],1,tbl_SarbatoriLegale[data])=0,"ZI NELUCRATOARE","")</f>
        <v/>
      </c>
      <c r="U1585">
        <f>IF([@motiv_anomalie]="","OK","DE INVESTIGAT")</f>
        <v/>
      </c>
      <c r="V1585">
        <f>TEXTJOIN("; ",TRUE,[@flag_oras],[@flag_tva],[@flag_scadenta],[@flag_zi])</f>
        <v/>
      </c>
    </row>
    <row r="1586">
      <c r="A1586" t="inlineStr">
        <is>
          <t>F-2025-01585</t>
        </is>
      </c>
      <c r="B1586" s="12" t="n">
        <v>46267</v>
      </c>
      <c r="C1586" t="inlineStr">
        <is>
          <t>SC DACTECH SOLUTIONS SRL</t>
        </is>
      </c>
      <c r="D1586" t="inlineStr">
        <is>
          <t>Argeș</t>
        </is>
      </c>
      <c r="E1586" t="inlineStr">
        <is>
          <t>PRD-010</t>
        </is>
      </c>
      <c r="F1586" t="inlineStr">
        <is>
          <t>Licenta ERP contabilitate</t>
        </is>
      </c>
      <c r="G1586" t="inlineStr">
        <is>
          <t>Licențe software</t>
        </is>
      </c>
      <c r="H1586" t="n">
        <v>100</v>
      </c>
      <c r="I1586" t="n">
        <v>362.5</v>
      </c>
      <c r="J1586" t="n">
        <v>36250</v>
      </c>
      <c r="K1586" s="13" t="n">
        <v>0.19</v>
      </c>
      <c r="L1586" t="n">
        <v>6887.5</v>
      </c>
      <c r="M1586" t="n">
        <v>43137.5</v>
      </c>
      <c r="N1586" t="inlineStr">
        <is>
          <t>RON</t>
        </is>
      </c>
      <c r="O1586" t="inlineStr">
        <is>
          <t>Pitești</t>
        </is>
      </c>
      <c r="P1586" s="12" t="n">
        <v>46327</v>
      </c>
      <c r="Q1586">
        <f>IF(COUNTIF(tbl_Localitati[oras_oficial],[@oras])=0,"ORAS NEALINIAT",IF(XLOOKUP([@oras],tbl_Localitati[oras_oficial],tbl_Localitati[judet],"?")&lt;&gt;[@judet],"JUDET NECORESPUNZATOR",""))</f>
        <v/>
      </c>
      <c r="R1586">
        <f>IF(XLOOKUP([@categorie],tbl_RegulriTVA[categorie],tbl_RegulriTVA[cota_legala],-1)&lt;&gt;[@cota_tva],"TVA GRESIT","")</f>
        <v/>
      </c>
      <c r="S1586">
        <f>IF([@data_scadentei]&lt;[@data_factura],"SCADENTA INAINTEA FACTURII","")</f>
        <v/>
      </c>
      <c r="T1586">
        <f>IF(NETWORKDAYS.INTL([@data_factura],[@data_factura],1,tbl_SarbatoriLegale[data])=0,"ZI NELUCRATOARE","")</f>
        <v/>
      </c>
      <c r="U1586">
        <f>IF([@motiv_anomalie]="","OK","DE INVESTIGAT")</f>
        <v/>
      </c>
      <c r="V1586">
        <f>TEXTJOIN("; ",TRUE,[@flag_oras],[@flag_tva],[@flag_scadenta],[@flag_zi])</f>
        <v/>
      </c>
    </row>
    <row r="1587">
      <c r="A1587" t="inlineStr">
        <is>
          <t>F-2025-01586</t>
        </is>
      </c>
      <c r="B1587" s="12" t="n">
        <v>46097</v>
      </c>
      <c r="C1587" t="inlineStr">
        <is>
          <t>SC AROMET TRADING SRL</t>
        </is>
      </c>
      <c r="D1587" t="inlineStr">
        <is>
          <t>Alba</t>
        </is>
      </c>
      <c r="E1587" t="inlineStr">
        <is>
          <t>PRD-002</t>
        </is>
      </c>
      <c r="F1587" t="inlineStr">
        <is>
          <t>Tocator documente</t>
        </is>
      </c>
      <c r="G1587" t="inlineStr">
        <is>
          <t>Echipamente birou</t>
        </is>
      </c>
      <c r="H1587" t="n">
        <v>1</v>
      </c>
      <c r="I1587" t="n">
        <v>1107</v>
      </c>
      <c r="J1587" t="n">
        <v>1107</v>
      </c>
      <c r="K1587" s="13" t="n">
        <v>0.19</v>
      </c>
      <c r="L1587" t="n">
        <v>210.33</v>
      </c>
      <c r="M1587" t="n">
        <v>1317.33</v>
      </c>
      <c r="N1587" t="inlineStr">
        <is>
          <t>RON</t>
        </is>
      </c>
      <c r="O1587" t="inlineStr">
        <is>
          <t>Alba Iulia</t>
        </is>
      </c>
      <c r="P1587" s="12" t="n">
        <v>46112</v>
      </c>
      <c r="Q1587">
        <f>IF(COUNTIF(tbl_Localitati[oras_oficial],[@oras])=0,"ORAS NEALINIAT",IF(XLOOKUP([@oras],tbl_Localitati[oras_oficial],tbl_Localitati[judet],"?")&lt;&gt;[@judet],"JUDET NECORESPUNZATOR",""))</f>
        <v/>
      </c>
      <c r="R1587">
        <f>IF(XLOOKUP([@categorie],tbl_RegulriTVA[categorie],tbl_RegulriTVA[cota_legala],-1)&lt;&gt;[@cota_tva],"TVA GRESIT","")</f>
        <v/>
      </c>
      <c r="S1587">
        <f>IF([@data_scadentei]&lt;[@data_factura],"SCADENTA INAINTEA FACTURII","")</f>
        <v/>
      </c>
      <c r="T1587">
        <f>IF(NETWORKDAYS.INTL([@data_factura],[@data_factura],1,tbl_SarbatoriLegale[data])=0,"ZI NELUCRATOARE","")</f>
        <v/>
      </c>
      <c r="U1587">
        <f>IF([@motiv_anomalie]="","OK","DE INVESTIGAT")</f>
        <v/>
      </c>
      <c r="V1587">
        <f>TEXTJOIN("; ",TRUE,[@flag_oras],[@flag_tva],[@flag_scadenta],[@flag_zi])</f>
        <v/>
      </c>
    </row>
    <row r="1588">
      <c r="A1588" t="inlineStr">
        <is>
          <t>F-2025-01587</t>
        </is>
      </c>
      <c r="B1588" s="12" t="n">
        <v>46135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Server rack 1U</t>
        </is>
      </c>
      <c r="G1588" t="inlineStr">
        <is>
          <t>Hardware IT</t>
        </is>
      </c>
      <c r="H1588" t="n">
        <v>5</v>
      </c>
      <c r="I1588" t="n">
        <v>771.67</v>
      </c>
      <c r="J1588" t="n">
        <v>3858.35</v>
      </c>
      <c r="K1588" s="13" t="n">
        <v>0.19</v>
      </c>
      <c r="L1588" t="n">
        <v>733.09</v>
      </c>
      <c r="M1588" t="n">
        <v>4591.44</v>
      </c>
      <c r="N1588" t="inlineStr">
        <is>
          <t>RON</t>
        </is>
      </c>
      <c r="O1588" t="inlineStr">
        <is>
          <t>Sibiu</t>
        </is>
      </c>
      <c r="P1588" s="12" t="n">
        <v>46150</v>
      </c>
      <c r="Q1588">
        <f>IF(COUNTIF(tbl_Localitati[oras_oficial],[@oras])=0,"ORAS NEALINIAT",IF(XLOOKUP([@oras],tbl_Localitati[oras_oficial],tbl_Localitati[judet],"?")&lt;&gt;[@judet],"JUDET NECORESPUNZATOR",""))</f>
        <v/>
      </c>
      <c r="R1588">
        <f>IF(XLOOKUP([@categorie],tbl_RegulriTVA[categorie],tbl_RegulriTVA[cota_legala],-1)&lt;&gt;[@cota_tva],"TVA GRESIT","")</f>
        <v/>
      </c>
      <c r="S1588">
        <f>IF([@data_scadentei]&lt;[@data_factura],"SCADENTA INAINTEA FACTURII","")</f>
        <v/>
      </c>
      <c r="T1588">
        <f>IF(NETWORKDAYS.INTL([@data_factura],[@data_factura],1,tbl_SarbatoriLegale[data])=0,"ZI NELUCRATOARE","")</f>
        <v/>
      </c>
      <c r="U1588">
        <f>IF([@motiv_anomalie]="","OK","DE INVESTIGAT")</f>
        <v/>
      </c>
      <c r="V1588">
        <f>TEXTJOIN("; ",TRUE,[@flag_oras],[@flag_tva],[@flag_scadenta],[@flag_zi])</f>
        <v/>
      </c>
    </row>
    <row r="1589">
      <c r="A1589" t="inlineStr">
        <is>
          <t>F-2025-01588</t>
        </is>
      </c>
      <c r="B1589" s="12" t="n">
        <v>46196</v>
      </c>
      <c r="C1589" t="inlineStr">
        <is>
          <t>SC RAPID LOGISTIC SA</t>
        </is>
      </c>
      <c r="D1589" t="inlineStr">
        <is>
          <t>Prahova</t>
        </is>
      </c>
      <c r="E1589" t="inlineStr">
        <is>
          <t>PRD-008</t>
        </is>
      </c>
      <c r="F1589" t="inlineStr">
        <is>
          <t>Ceai cutie 100buc</t>
        </is>
      </c>
      <c r="G1589" t="inlineStr">
        <is>
          <t>Alimente</t>
        </is>
      </c>
      <c r="H1589" t="n">
        <v>1</v>
      </c>
      <c r="I1589" t="n">
        <v>440.65</v>
      </c>
      <c r="J1589" t="n">
        <v>440.65</v>
      </c>
      <c r="K1589" s="13" t="n">
        <v>0.09</v>
      </c>
      <c r="L1589" t="n">
        <v>39.66</v>
      </c>
      <c r="M1589" t="n">
        <v>480.31</v>
      </c>
      <c r="N1589" t="inlineStr">
        <is>
          <t>RON</t>
        </is>
      </c>
      <c r="O1589" t="inlineStr">
        <is>
          <t>Ploiești</t>
        </is>
      </c>
      <c r="P1589" s="12" t="n">
        <v>46226</v>
      </c>
      <c r="Q1589">
        <f>IF(COUNTIF(tbl_Localitati[oras_oficial],[@oras])=0,"ORAS NEALINIAT",IF(XLOOKUP([@oras],tbl_Localitati[oras_oficial],tbl_Localitati[judet],"?")&lt;&gt;[@judet],"JUDET NECORESPUNZATOR",""))</f>
        <v/>
      </c>
      <c r="R1589">
        <f>IF(XLOOKUP([@categorie],tbl_RegulriTVA[categorie],tbl_RegulriTVA[cota_legala],-1)&lt;&gt;[@cota_tva],"TVA GRESIT","")</f>
        <v/>
      </c>
      <c r="S1589">
        <f>IF([@data_scadentei]&lt;[@data_factura],"SCADENTA INAINTEA FACTURII","")</f>
        <v/>
      </c>
      <c r="T1589">
        <f>IF(NETWORKDAYS.INTL([@data_factura],[@data_factura],1,tbl_SarbatoriLegale[data])=0,"ZI NELUCRATOARE","")</f>
        <v/>
      </c>
      <c r="U1589">
        <f>IF([@motiv_anomalie]="","OK","DE INVESTIGAT")</f>
        <v/>
      </c>
      <c r="V1589">
        <f>TEXTJOIN("; ",TRUE,[@flag_oras],[@flag_tva],[@flag_scadenta],[@flag_zi])</f>
        <v/>
      </c>
    </row>
    <row r="1590">
      <c r="A1590" t="inlineStr">
        <is>
          <t>F-2025-01589</t>
        </is>
      </c>
      <c r="B1590" s="12" t="n">
        <v>46148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Statie de lucru desktop</t>
        </is>
      </c>
      <c r="G1590" t="inlineStr">
        <is>
          <t>Hardware IT</t>
        </is>
      </c>
      <c r="H1590" t="n">
        <v>3</v>
      </c>
      <c r="I1590" t="n">
        <v>244.75</v>
      </c>
      <c r="J1590" t="n">
        <v>734.25</v>
      </c>
      <c r="K1590" s="13" t="n">
        <v>0.19</v>
      </c>
      <c r="L1590" t="n">
        <v>139.51</v>
      </c>
      <c r="M1590" t="n">
        <v>873.76</v>
      </c>
      <c r="N1590" t="inlineStr">
        <is>
          <t>RON</t>
        </is>
      </c>
      <c r="O1590" t="inlineStr">
        <is>
          <t>Sibiu</t>
        </is>
      </c>
      <c r="P1590" s="12" t="n">
        <v>46163</v>
      </c>
      <c r="Q1590">
        <f>IF(COUNTIF(tbl_Localitati[oras_oficial],[@oras])=0,"ORAS NEALINIAT",IF(XLOOKUP([@oras],tbl_Localitati[oras_oficial],tbl_Localitati[judet],"?")&lt;&gt;[@judet],"JUDET NECORESPUNZATOR",""))</f>
        <v/>
      </c>
      <c r="R1590">
        <f>IF(XLOOKUP([@categorie],tbl_RegulriTVA[categorie],tbl_RegulriTVA[cota_legala],-1)&lt;&gt;[@cota_tva],"TVA GRESIT","")</f>
        <v/>
      </c>
      <c r="S1590">
        <f>IF([@data_scadentei]&lt;[@data_factura],"SCADENTA INAINTEA FACTURII","")</f>
        <v/>
      </c>
      <c r="T1590">
        <f>IF(NETWORKDAYS.INTL([@data_factura],[@data_factura],1,tbl_SarbatoriLegale[data])=0,"ZI NELUCRATOARE","")</f>
        <v/>
      </c>
      <c r="U1590">
        <f>IF([@motiv_anomalie]="","OK","DE INVESTIGAT")</f>
        <v/>
      </c>
      <c r="V1590">
        <f>TEXTJOIN("; ",TRUE,[@flag_oras],[@flag_tva],[@flag_scadenta],[@flag_zi])</f>
        <v/>
      </c>
    </row>
    <row r="1591">
      <c r="A1591" t="inlineStr">
        <is>
          <t>F-2025-01590</t>
        </is>
      </c>
      <c r="B1591" s="12" t="n">
        <v>46386</v>
      </c>
      <c r="C1591" t="inlineStr">
        <is>
          <t>SC RAPID LOGISTIC SA</t>
        </is>
      </c>
      <c r="D1591" t="inlineStr">
        <is>
          <t>Prahova</t>
        </is>
      </c>
      <c r="E1591" t="inlineStr">
        <is>
          <t>PRD-005</t>
        </is>
      </c>
      <c r="F1591" t="inlineStr">
        <is>
          <t>Laptop business 15"</t>
        </is>
      </c>
      <c r="G1591" t="inlineStr">
        <is>
          <t>Hardware IT</t>
        </is>
      </c>
      <c r="H1591" t="n">
        <v>2</v>
      </c>
      <c r="I1591" t="n">
        <v>252.34</v>
      </c>
      <c r="J1591" t="n">
        <v>504.68</v>
      </c>
      <c r="K1591" s="13" t="n">
        <v>0.19</v>
      </c>
      <c r="L1591" t="n">
        <v>95.89</v>
      </c>
      <c r="M1591" t="n">
        <v>600.5700000000001</v>
      </c>
      <c r="N1591" t="inlineStr">
        <is>
          <t>RON</t>
        </is>
      </c>
      <c r="O1591" t="inlineStr">
        <is>
          <t>Ploiești</t>
        </is>
      </c>
      <c r="P1591" s="12" t="n">
        <v>46431</v>
      </c>
      <c r="Q1591">
        <f>IF(COUNTIF(tbl_Localitati[oras_oficial],[@oras])=0,"ORAS NEALINIAT",IF(XLOOKUP([@oras],tbl_Localitati[oras_oficial],tbl_Localitati[judet],"?")&lt;&gt;[@judet],"JUDET NECORESPUNZATOR",""))</f>
        <v/>
      </c>
      <c r="R1591">
        <f>IF(XLOOKUP([@categorie],tbl_RegulriTVA[categorie],tbl_RegulriTVA[cota_legala],-1)&lt;&gt;[@cota_tva],"TVA GRESIT","")</f>
        <v/>
      </c>
      <c r="S1591">
        <f>IF([@data_scadentei]&lt;[@data_factura],"SCADENTA INAINTEA FACTURII","")</f>
        <v/>
      </c>
      <c r="T1591">
        <f>IF(NETWORKDAYS.INTL([@data_factura],[@data_factura],1,tbl_SarbatoriLegale[data])=0,"ZI NELUCRATOARE","")</f>
        <v/>
      </c>
      <c r="U1591">
        <f>IF([@motiv_anomalie]="","OK","DE INVESTIGAT")</f>
        <v/>
      </c>
      <c r="V1591">
        <f>TEXTJOIN("; ",TRUE,[@flag_oras],[@flag_tva],[@flag_scadenta],[@flag_zi])</f>
        <v/>
      </c>
    </row>
    <row r="1592">
      <c r="A1592" t="inlineStr">
        <is>
          <t>F-2025-01591</t>
        </is>
      </c>
      <c r="B1592" s="12" t="n">
        <v>46386</v>
      </c>
      <c r="C1592" t="inlineStr">
        <is>
          <t>SC INTEGROMED SA</t>
        </is>
      </c>
      <c r="D1592" t="inlineStr">
        <is>
          <t>Cluj</t>
        </is>
      </c>
      <c r="E1592" t="inlineStr">
        <is>
          <t>PRD-006</t>
        </is>
      </c>
      <c r="F1592" t="inlineStr">
        <is>
          <t>Monitor 27" 4K</t>
        </is>
      </c>
      <c r="G1592" t="inlineStr">
        <is>
          <t>Hardware IT</t>
        </is>
      </c>
      <c r="H1592" t="n">
        <v>10</v>
      </c>
      <c r="I1592" t="n">
        <v>764.91</v>
      </c>
      <c r="J1592" t="n">
        <v>7649.1</v>
      </c>
      <c r="K1592" s="13" t="n">
        <v>0.19</v>
      </c>
      <c r="L1592" t="n">
        <v>1453.33</v>
      </c>
      <c r="M1592" t="n">
        <v>9102.43</v>
      </c>
      <c r="N1592" t="inlineStr">
        <is>
          <t>RON</t>
        </is>
      </c>
      <c r="O1592" t="inlineStr">
        <is>
          <t>Cluj-Napoca</t>
        </is>
      </c>
      <c r="P1592" s="12" t="n">
        <v>46401</v>
      </c>
      <c r="Q1592">
        <f>IF(COUNTIF(tbl_Localitati[oras_oficial],[@oras])=0,"ORAS NEALINIAT",IF(XLOOKUP([@oras],tbl_Localitati[oras_oficial],tbl_Localitati[judet],"?")&lt;&gt;[@judet],"JUDET NECORESPUNZATOR",""))</f>
        <v/>
      </c>
      <c r="R1592">
        <f>IF(XLOOKUP([@categorie],tbl_RegulriTVA[categorie],tbl_RegulriTVA[cota_legala],-1)&lt;&gt;[@cota_tva],"TVA GRESIT","")</f>
        <v/>
      </c>
      <c r="S1592">
        <f>IF([@data_scadentei]&lt;[@data_factura],"SCADENTA INAINTEA FACTURII","")</f>
        <v/>
      </c>
      <c r="T1592">
        <f>IF(NETWORKDAYS.INTL([@data_factura],[@data_factura],1,tbl_SarbatoriLegale[data])=0,"ZI NELUCRATOARE","")</f>
        <v/>
      </c>
      <c r="U1592">
        <f>IF([@motiv_anomalie]="","OK","DE INVESTIGAT")</f>
        <v/>
      </c>
      <c r="V1592">
        <f>TEXTJOIN("; ",TRUE,[@flag_oras],[@flag_tva],[@flag_scadenta],[@flag_zi])</f>
        <v/>
      </c>
    </row>
    <row r="1593">
      <c r="A1593" t="inlineStr">
        <is>
          <t>F-2025-01592</t>
        </is>
      </c>
      <c r="B1593" s="12" t="n">
        <v>46073</v>
      </c>
      <c r="C1593" t="inlineStr">
        <is>
          <t>SC NORDIS DISTRIBUTIE SRL</t>
        </is>
      </c>
      <c r="D1593" t="inlineStr">
        <is>
          <t>Constanța</t>
        </is>
      </c>
      <c r="E1593" t="inlineStr">
        <is>
          <t>PRD-004</t>
        </is>
      </c>
      <c r="F1593" t="inlineStr">
        <is>
          <t>Abonament suita cloud</t>
        </is>
      </c>
      <c r="G1593" t="inlineStr">
        <is>
          <t>Licențe software</t>
        </is>
      </c>
      <c r="H1593" t="n">
        <v>1</v>
      </c>
      <c r="I1593" t="n">
        <v>928.91</v>
      </c>
      <c r="J1593" t="n">
        <v>928.91</v>
      </c>
      <c r="K1593" s="13" t="n">
        <v>0.19</v>
      </c>
      <c r="L1593" t="n">
        <v>176.49</v>
      </c>
      <c r="M1593" t="n">
        <v>1105.4</v>
      </c>
      <c r="N1593" t="inlineStr">
        <is>
          <t>EUR</t>
        </is>
      </c>
      <c r="O1593" t="inlineStr">
        <is>
          <t>Mangalia</t>
        </is>
      </c>
      <c r="P1593" s="12" t="n">
        <v>46133</v>
      </c>
      <c r="Q1593">
        <f>IF(COUNTIF(tbl_Localitati[oras_oficial],[@oras])=0,"ORAS NEALINIAT",IF(XLOOKUP([@oras],tbl_Localitati[oras_oficial],tbl_Localitati[judet],"?")&lt;&gt;[@judet],"JUDET NECORESPUNZATOR",""))</f>
        <v/>
      </c>
      <c r="R1593">
        <f>IF(XLOOKUP([@categorie],tbl_RegulriTVA[categorie],tbl_RegulriTVA[cota_legala],-1)&lt;&gt;[@cota_tva],"TVA GRESIT","")</f>
        <v/>
      </c>
      <c r="S1593">
        <f>IF([@data_scadentei]&lt;[@data_factura],"SCADENTA INAINTEA FACTURII","")</f>
        <v/>
      </c>
      <c r="T1593">
        <f>IF(NETWORKDAYS.INTL([@data_factura],[@data_factura],1,tbl_SarbatoriLegale[data])=0,"ZI NELUCRATOARE","")</f>
        <v/>
      </c>
      <c r="U1593">
        <f>IF([@motiv_anomalie]="","OK","DE INVESTIGAT")</f>
        <v/>
      </c>
      <c r="V1593">
        <f>TEXTJOIN("; ",TRUE,[@flag_oras],[@flag_tva],[@flag_scadenta],[@flag_zi])</f>
        <v/>
      </c>
    </row>
    <row r="1594">
      <c r="A1594" t="inlineStr">
        <is>
          <t>F-2025-01593</t>
        </is>
      </c>
      <c r="B1594" s="12" t="n">
        <v>46031</v>
      </c>
      <c r="C1594" t="inlineStr">
        <is>
          <t>SC DACTECH SOLUTIONS SRL</t>
        </is>
      </c>
      <c r="D1594" t="inlineStr">
        <is>
          <t>Argeș</t>
        </is>
      </c>
      <c r="E1594" t="inlineStr">
        <is>
          <t>PRD-008</t>
        </is>
      </c>
      <c r="F1594" t="inlineStr">
        <is>
          <t>Trusa prim ajutor</t>
        </is>
      </c>
      <c r="G1594" t="inlineStr">
        <is>
          <t>Produse farmaceutice</t>
        </is>
      </c>
      <c r="H1594" t="n">
        <v>10</v>
      </c>
      <c r="I1594" t="n">
        <v>468.44</v>
      </c>
      <c r="J1594" t="n">
        <v>4684.4</v>
      </c>
      <c r="K1594" s="13" t="n">
        <v>0.09</v>
      </c>
      <c r="L1594" t="n">
        <v>421.6</v>
      </c>
      <c r="M1594" t="n">
        <v>5106</v>
      </c>
      <c r="N1594" t="inlineStr">
        <is>
          <t>RON</t>
        </is>
      </c>
      <c r="O1594" t="inlineStr">
        <is>
          <t>Pitești</t>
        </is>
      </c>
      <c r="P1594" s="12" t="n">
        <v>46061</v>
      </c>
      <c r="Q1594">
        <f>IF(COUNTIF(tbl_Localitati[oras_oficial],[@oras])=0,"ORAS NEALINIAT",IF(XLOOKUP([@oras],tbl_Localitati[oras_oficial],tbl_Localitati[judet],"?")&lt;&gt;[@judet],"JUDET NECORESPUNZATOR",""))</f>
        <v/>
      </c>
      <c r="R1594">
        <f>IF(XLOOKUP([@categorie],tbl_RegulriTVA[categorie],tbl_RegulriTVA[cota_legala],-1)&lt;&gt;[@cota_tva],"TVA GRESIT","")</f>
        <v/>
      </c>
      <c r="S1594">
        <f>IF([@data_scadentei]&lt;[@data_factura],"SCADENTA INAINTEA FACTURII","")</f>
        <v/>
      </c>
      <c r="T1594">
        <f>IF(NETWORKDAYS.INTL([@data_factura],[@data_factura],1,tbl_SarbatoriLegale[data])=0,"ZI NELUCRATOARE","")</f>
        <v/>
      </c>
      <c r="U1594">
        <f>IF([@motiv_anomalie]="","OK","DE INVESTIGAT")</f>
        <v/>
      </c>
      <c r="V1594">
        <f>TEXTJOIN("; ",TRUE,[@flag_oras],[@flag_tva],[@flag_scadenta],[@flag_zi])</f>
        <v/>
      </c>
    </row>
    <row r="1595">
      <c r="A1595" t="inlineStr">
        <is>
          <t>F-2025-01594</t>
        </is>
      </c>
      <c r="B1595" s="12" t="n">
        <v>46034</v>
      </c>
      <c r="C1595" t="inlineStr">
        <is>
          <t>SC NORDIS DISTRIBUTIE SRL</t>
        </is>
      </c>
      <c r="D1595" t="inlineStr">
        <is>
          <t>Constanța</t>
        </is>
      </c>
      <c r="E1595" t="inlineStr">
        <is>
          <t>PRD-009</t>
        </is>
      </c>
      <c r="F1595" t="inlineStr">
        <is>
          <t>Statie de lucru desktop</t>
        </is>
      </c>
      <c r="G1595" t="inlineStr">
        <is>
          <t>Hardware IT</t>
        </is>
      </c>
      <c r="H1595" t="n">
        <v>5</v>
      </c>
      <c r="I1595" t="n">
        <v>26.97</v>
      </c>
      <c r="J1595" t="n">
        <v>134.85</v>
      </c>
      <c r="K1595" s="13" t="n">
        <v>0.19</v>
      </c>
      <c r="L1595" t="n">
        <v>25.62</v>
      </c>
      <c r="M1595" t="n">
        <v>160.47</v>
      </c>
      <c r="N1595" t="inlineStr">
        <is>
          <t>RON</t>
        </is>
      </c>
      <c r="O1595" t="inlineStr">
        <is>
          <t>Mangalia</t>
        </is>
      </c>
      <c r="P1595" s="12" t="n">
        <v>46064</v>
      </c>
      <c r="Q1595">
        <f>IF(COUNTIF(tbl_Localitati[oras_oficial],[@oras])=0,"ORAS NEALINIAT",IF(XLOOKUP([@oras],tbl_Localitati[oras_oficial],tbl_Localitati[judet],"?")&lt;&gt;[@judet],"JUDET NECORESPUNZATOR",""))</f>
        <v/>
      </c>
      <c r="R1595">
        <f>IF(XLOOKUP([@categorie],tbl_RegulriTVA[categorie],tbl_RegulriTVA[cota_legala],-1)&lt;&gt;[@cota_tva],"TVA GRESIT","")</f>
        <v/>
      </c>
      <c r="S1595">
        <f>IF([@data_scadentei]&lt;[@data_factura],"SCADENTA INAINTEA FACTURII","")</f>
        <v/>
      </c>
      <c r="T1595">
        <f>IF(NETWORKDAYS.INTL([@data_factura],[@data_factura],1,tbl_SarbatoriLegale[data])=0,"ZI NELUCRATOARE","")</f>
        <v/>
      </c>
      <c r="U1595">
        <f>IF([@motiv_anomalie]="","OK","DE INVESTIGAT")</f>
        <v/>
      </c>
      <c r="V1595">
        <f>TEXTJOIN("; ",TRUE,[@flag_oras],[@flag_tva],[@flag_scadenta],[@flag_zi])</f>
        <v/>
      </c>
    </row>
    <row r="1596">
      <c r="A1596" t="inlineStr">
        <is>
          <t>F-2025-01595</t>
        </is>
      </c>
      <c r="B1596" s="12" t="n">
        <v>46184</v>
      </c>
      <c r="C1596" t="inlineStr">
        <is>
          <t>SC SOLARIS ENERGY SRL</t>
        </is>
      </c>
      <c r="D1596" t="inlineStr">
        <is>
          <t>Prahova</t>
        </is>
      </c>
      <c r="E1596" t="inlineStr">
        <is>
          <t>PRD-006</t>
        </is>
      </c>
      <c r="F1596" t="inlineStr">
        <is>
          <t>Abonament suita cloud</t>
        </is>
      </c>
      <c r="G1596" t="inlineStr">
        <is>
          <t>Licențe software</t>
        </is>
      </c>
      <c r="H1596" t="n">
        <v>10</v>
      </c>
      <c r="I1596" t="n">
        <v>750.61</v>
      </c>
      <c r="J1596" t="n">
        <v>7506.1</v>
      </c>
      <c r="K1596" s="13" t="n">
        <v>0.19</v>
      </c>
      <c r="L1596" t="n">
        <v>1426.16</v>
      </c>
      <c r="M1596" t="n">
        <v>8932.26</v>
      </c>
      <c r="N1596" t="inlineStr">
        <is>
          <t>RON</t>
        </is>
      </c>
      <c r="O1596" t="inlineStr">
        <is>
          <t>Câmpina</t>
        </is>
      </c>
      <c r="P1596" s="12" t="n">
        <v>46214</v>
      </c>
      <c r="Q1596">
        <f>IF(COUNTIF(tbl_Localitati[oras_oficial],[@oras])=0,"ORAS NEALINIAT",IF(XLOOKUP([@oras],tbl_Localitati[oras_oficial],tbl_Localitati[judet],"?")&lt;&gt;[@judet],"JUDET NECORESPUNZATOR",""))</f>
        <v/>
      </c>
      <c r="R1596">
        <f>IF(XLOOKUP([@categorie],tbl_RegulriTVA[categorie],tbl_RegulriTVA[cota_legala],-1)&lt;&gt;[@cota_tva],"TVA GRESIT","")</f>
        <v/>
      </c>
      <c r="S1596">
        <f>IF([@data_scadentei]&lt;[@data_factura],"SCADENTA INAINTEA FACTURII","")</f>
        <v/>
      </c>
      <c r="T1596">
        <f>IF(NETWORKDAYS.INTL([@data_factura],[@data_factura],1,tbl_SarbatoriLegale[data])=0,"ZI NELUCRATOARE","")</f>
        <v/>
      </c>
      <c r="U1596">
        <f>IF([@motiv_anomalie]="","OK","DE INVESTIGAT")</f>
        <v/>
      </c>
      <c r="V1596">
        <f>TEXTJOIN("; ",TRUE,[@flag_oras],[@flag_tva],[@flag_scadenta],[@flag_zi])</f>
        <v/>
      </c>
    </row>
    <row r="1597">
      <c r="A1597" t="inlineStr">
        <is>
          <t>F-2025-01596</t>
        </is>
      </c>
      <c r="B1597" s="12" t="n">
        <v>46199</v>
      </c>
      <c r="C1597" t="inlineStr">
        <is>
          <t>SC INTEGROMED SA</t>
        </is>
      </c>
      <c r="D1597" t="inlineStr">
        <is>
          <t>Cluj</t>
        </is>
      </c>
      <c r="E1597" t="inlineStr">
        <is>
          <t>PRD-007</t>
        </is>
      </c>
      <c r="F1597" t="inlineStr">
        <is>
          <t>Licenta Office 365 anuala</t>
        </is>
      </c>
      <c r="G1597" t="inlineStr">
        <is>
          <t>Licențe software</t>
        </is>
      </c>
      <c r="H1597" t="n">
        <v>10</v>
      </c>
      <c r="I1597" t="n">
        <v>173.7</v>
      </c>
      <c r="J1597" t="n">
        <v>1737</v>
      </c>
      <c r="K1597" s="13" t="n">
        <v>0.19</v>
      </c>
      <c r="L1597" t="n">
        <v>330.03</v>
      </c>
      <c r="M1597" t="n">
        <v>2067.03</v>
      </c>
      <c r="N1597" t="inlineStr">
        <is>
          <t>RON</t>
        </is>
      </c>
      <c r="O1597" t="inlineStr">
        <is>
          <t>Cluj-Napoca</t>
        </is>
      </c>
      <c r="P1597" s="12" t="n">
        <v>46259</v>
      </c>
      <c r="Q1597">
        <f>IF(COUNTIF(tbl_Localitati[oras_oficial],[@oras])=0,"ORAS NEALINIAT",IF(XLOOKUP([@oras],tbl_Localitati[oras_oficial],tbl_Localitati[judet],"?")&lt;&gt;[@judet],"JUDET NECORESPUNZATOR",""))</f>
        <v/>
      </c>
      <c r="R1597">
        <f>IF(XLOOKUP([@categorie],tbl_RegulriTVA[categorie],tbl_RegulriTVA[cota_legala],-1)&lt;&gt;[@cota_tva],"TVA GRESIT","")</f>
        <v/>
      </c>
      <c r="S1597">
        <f>IF([@data_scadentei]&lt;[@data_factura],"SCADENTA INAINTEA FACTURII","")</f>
        <v/>
      </c>
      <c r="T1597">
        <f>IF(NETWORKDAYS.INTL([@data_factura],[@data_factura],1,tbl_SarbatoriLegale[data])=0,"ZI NELUCRATOARE","")</f>
        <v/>
      </c>
      <c r="U1597">
        <f>IF([@motiv_anomalie]="","OK","DE INVESTIGAT")</f>
        <v/>
      </c>
      <c r="V1597">
        <f>TEXTJOIN("; ",TRUE,[@flag_oras],[@flag_tva],[@flag_scadenta],[@flag_zi])</f>
        <v/>
      </c>
    </row>
    <row r="1598">
      <c r="A1598" t="inlineStr">
        <is>
          <t>F-2025-01597</t>
        </is>
      </c>
      <c r="B1598" s="12" t="n">
        <v>46057</v>
      </c>
      <c r="C1598" t="inlineStr">
        <is>
          <t>SC VECTOR CONSULT SRL</t>
        </is>
      </c>
      <c r="D1598" t="inlineStr">
        <is>
          <t>Timiș</t>
        </is>
      </c>
      <c r="E1598" t="inlineStr">
        <is>
          <t>PRD-010</t>
        </is>
      </c>
      <c r="F1598" t="inlineStr">
        <is>
          <t>Licenta Office 365 anuala</t>
        </is>
      </c>
      <c r="G1598" t="inlineStr">
        <is>
          <t>Licențe software</t>
        </is>
      </c>
      <c r="H1598" t="n">
        <v>5</v>
      </c>
      <c r="I1598" t="n">
        <v>336.73</v>
      </c>
      <c r="J1598" t="n">
        <v>1683.65</v>
      </c>
      <c r="K1598" s="13" t="n">
        <v>0.19</v>
      </c>
      <c r="L1598" t="n">
        <v>319.89</v>
      </c>
      <c r="M1598" t="n">
        <v>2003.54</v>
      </c>
      <c r="N1598" t="inlineStr">
        <is>
          <t>RON</t>
        </is>
      </c>
      <c r="O1598" t="inlineStr">
        <is>
          <t>Timișoara</t>
        </is>
      </c>
      <c r="P1598" s="12" t="n">
        <v>46087</v>
      </c>
      <c r="Q1598">
        <f>IF(COUNTIF(tbl_Localitati[oras_oficial],[@oras])=0,"ORAS NEALINIAT",IF(XLOOKUP([@oras],tbl_Localitati[oras_oficial],tbl_Localitati[judet],"?")&lt;&gt;[@judet],"JUDET NECORESPUNZATOR",""))</f>
        <v/>
      </c>
      <c r="R1598">
        <f>IF(XLOOKUP([@categorie],tbl_RegulriTVA[categorie],tbl_RegulriTVA[cota_legala],-1)&lt;&gt;[@cota_tva],"TVA GRESIT","")</f>
        <v/>
      </c>
      <c r="S1598">
        <f>IF([@data_scadentei]&lt;[@data_factura],"SCADENTA INAINTEA FACTURII","")</f>
        <v/>
      </c>
      <c r="T1598">
        <f>IF(NETWORKDAYS.INTL([@data_factura],[@data_factura],1,tbl_SarbatoriLegale[data])=0,"ZI NELUCRATOARE","")</f>
        <v/>
      </c>
      <c r="U1598">
        <f>IF([@motiv_anomalie]="","OK","DE INVESTIGAT")</f>
        <v/>
      </c>
      <c r="V1598">
        <f>TEXTJOIN("; ",TRUE,[@flag_oras],[@flag_tva],[@flag_scadenta],[@flag_zi])</f>
        <v/>
      </c>
    </row>
    <row r="1599">
      <c r="A1599" t="inlineStr">
        <is>
          <t>F-2025-01598</t>
        </is>
      </c>
      <c r="B1599" s="12" t="n">
        <v>46311</v>
      </c>
      <c r="C1599" t="inlineStr">
        <is>
          <t>SC AROMET TRADING SRL</t>
        </is>
      </c>
      <c r="D1599" t="inlineStr">
        <is>
          <t>Alba</t>
        </is>
      </c>
      <c r="E1599" t="inlineStr">
        <is>
          <t>PRD-010</t>
        </is>
      </c>
      <c r="F1599" t="inlineStr">
        <is>
          <t>Licenta Office 365 anuala</t>
        </is>
      </c>
      <c r="G1599" t="inlineStr">
        <is>
          <t>Licențe software</t>
        </is>
      </c>
      <c r="H1599" t="n">
        <v>5</v>
      </c>
      <c r="I1599" t="n">
        <v>339.61</v>
      </c>
      <c r="J1599" t="n">
        <v>1698.05</v>
      </c>
      <c r="K1599" s="13" t="n">
        <v>0.19</v>
      </c>
      <c r="L1599" t="n">
        <v>322.63</v>
      </c>
      <c r="M1599" t="n">
        <v>2020.68</v>
      </c>
      <c r="N1599" t="inlineStr">
        <is>
          <t>RON</t>
        </is>
      </c>
      <c r="O1599" t="inlineStr">
        <is>
          <t>Alba Iulia</t>
        </is>
      </c>
      <c r="P1599" s="12" t="n">
        <v>46304</v>
      </c>
      <c r="Q1599">
        <f>IF(COUNTIF(tbl_Localitati[oras_oficial],[@oras])=0,"ORAS NEALINIAT",IF(XLOOKUP([@oras],tbl_Localitati[oras_oficial],tbl_Localitati[judet],"?")&lt;&gt;[@judet],"JUDET NECORESPUNZATOR",""))</f>
        <v/>
      </c>
      <c r="R1599">
        <f>IF(XLOOKUP([@categorie],tbl_RegulriTVA[categorie],tbl_RegulriTVA[cota_legala],-1)&lt;&gt;[@cota_tva],"TVA GRESIT","")</f>
        <v/>
      </c>
      <c r="S1599">
        <f>IF([@data_scadentei]&lt;[@data_factura],"SCADENTA INAINTEA FACTURII","")</f>
        <v/>
      </c>
      <c r="T1599">
        <f>IF(NETWORKDAYS.INTL([@data_factura],[@data_factura],1,tbl_SarbatoriLegale[data])=0,"ZI NELUCRATOARE","")</f>
        <v/>
      </c>
      <c r="U1599">
        <f>IF([@motiv_anomalie]="","OK","DE INVESTIGAT")</f>
        <v/>
      </c>
      <c r="V1599">
        <f>TEXTJOIN("; ",TRUE,[@flag_oras],[@flag_tva],[@flag_scadenta],[@flag_zi])</f>
        <v/>
      </c>
    </row>
    <row r="1600">
      <c r="A1600" t="inlineStr">
        <is>
          <t>F-2025-01599</t>
        </is>
      </c>
      <c r="B1600" s="12" t="n">
        <v>46203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Audit infrastructura</t>
        </is>
      </c>
      <c r="G1600" t="inlineStr">
        <is>
          <t>Servicii consultanță</t>
        </is>
      </c>
      <c r="H1600" t="n">
        <v>50</v>
      </c>
      <c r="I1600" t="n">
        <v>347.38</v>
      </c>
      <c r="J1600" t="n">
        <v>17369</v>
      </c>
      <c r="K1600" s="13" t="n">
        <v>0.19</v>
      </c>
      <c r="L1600" t="n">
        <v>3300.11</v>
      </c>
      <c r="M1600" t="n">
        <v>20669.11</v>
      </c>
      <c r="N1600" t="inlineStr">
        <is>
          <t>RON</t>
        </is>
      </c>
      <c r="O1600" t="inlineStr">
        <is>
          <t>Sibiu</t>
        </is>
      </c>
      <c r="P1600" s="12" t="n">
        <v>46233</v>
      </c>
      <c r="Q1600">
        <f>IF(COUNTIF(tbl_Localitati[oras_oficial],[@oras])=0,"ORAS NEALINIAT",IF(XLOOKUP([@oras],tbl_Localitati[oras_oficial],tbl_Localitati[judet],"?")&lt;&gt;[@judet],"JUDET NECORESPUNZATOR",""))</f>
        <v/>
      </c>
      <c r="R1600">
        <f>IF(XLOOKUP([@categorie],tbl_RegulriTVA[categorie],tbl_RegulriTVA[cota_legala],-1)&lt;&gt;[@cota_tva],"TVA GRESIT","")</f>
        <v/>
      </c>
      <c r="S1600">
        <f>IF([@data_scadentei]&lt;[@data_factura],"SCADENTA INAINTEA FACTURII","")</f>
        <v/>
      </c>
      <c r="T1600">
        <f>IF(NETWORKDAYS.INTL([@data_factura],[@data_factura],1,tbl_SarbatoriLegale[data])=0,"ZI NELUCRATOARE","")</f>
        <v/>
      </c>
      <c r="U1600">
        <f>IF([@motiv_anomalie]="","OK","DE INVESTIGAT")</f>
        <v/>
      </c>
      <c r="V1600">
        <f>TEXTJOIN("; ",TRUE,[@flag_oras],[@flag_tva],[@flag_scadenta],[@flag_zi])</f>
        <v/>
      </c>
    </row>
    <row r="1601">
      <c r="A1601" t="inlineStr">
        <is>
          <t>F-2025-01600</t>
        </is>
      </c>
      <c r="B1601" s="12" t="n">
        <v>46328</v>
      </c>
      <c r="C1601" t="inlineStr">
        <is>
          <t>SC DACTECH SOLUTIONS SRL</t>
        </is>
      </c>
      <c r="D1601" t="inlineStr">
        <is>
          <t>Argeș</t>
        </is>
      </c>
      <c r="E1601" t="inlineStr">
        <is>
          <t>PRD-002</t>
        </is>
      </c>
      <c r="F1601" t="inlineStr">
        <is>
          <t>Licenta Office 365 anuala</t>
        </is>
      </c>
      <c r="G1601" t="inlineStr">
        <is>
          <t>Licențe software</t>
        </is>
      </c>
      <c r="H1601" t="n">
        <v>10</v>
      </c>
      <c r="I1601" t="n">
        <v>1073.53</v>
      </c>
      <c r="J1601" t="n">
        <v>10735.3</v>
      </c>
      <c r="K1601" s="13" t="n">
        <v>0.19</v>
      </c>
      <c r="L1601" t="n">
        <v>2039.71</v>
      </c>
      <c r="M1601" t="n">
        <v>12775.01</v>
      </c>
      <c r="N1601" t="inlineStr">
        <is>
          <t>RON</t>
        </is>
      </c>
      <c r="O1601" t="inlineStr">
        <is>
          <t>Pitești</t>
        </is>
      </c>
      <c r="P1601" s="12" t="n">
        <v>46358</v>
      </c>
      <c r="Q1601">
        <f>IF(COUNTIF(tbl_Localitati[oras_oficial],[@oras])=0,"ORAS NEALINIAT",IF(XLOOKUP([@oras],tbl_Localitati[oras_oficial],tbl_Localitati[judet],"?")&lt;&gt;[@judet],"JUDET NECORESPUNZATOR",""))</f>
        <v/>
      </c>
      <c r="R1601">
        <f>IF(XLOOKUP([@categorie],tbl_RegulriTVA[categorie],tbl_RegulriTVA[cota_legala],-1)&lt;&gt;[@cota_tva],"TVA GRESIT","")</f>
        <v/>
      </c>
      <c r="S1601">
        <f>IF([@data_scadentei]&lt;[@data_factura],"SCADENTA INAINTEA FACTURII","")</f>
        <v/>
      </c>
      <c r="T1601">
        <f>IF(NETWORKDAYS.INTL([@data_factura],[@data_factura],1,tbl_SarbatoriLegale[data])=0,"ZI NELUCRATOARE","")</f>
        <v/>
      </c>
      <c r="U1601">
        <f>IF([@motiv_anomalie]="","OK","DE INVESTIGAT")</f>
        <v/>
      </c>
      <c r="V1601">
        <f>TEXTJOIN("; ",TRUE,[@flag_oras],[@flag_tva],[@flag_scadenta],[@flag_zi])</f>
        <v/>
      </c>
    </row>
    <row r="1602">
      <c r="A1602" t="inlineStr">
        <is>
          <t>F-2025-01601</t>
        </is>
      </c>
      <c r="B1602" s="12" t="n">
        <v>46387</v>
      </c>
      <c r="C1602" t="inlineStr">
        <is>
          <t>SC NORDIS DISTRIBUTIE SRL</t>
        </is>
      </c>
      <c r="D1602" t="inlineStr">
        <is>
          <t>Constanța</t>
        </is>
      </c>
      <c r="E1602" t="inlineStr">
        <is>
          <t>PRD-009</t>
        </is>
      </c>
      <c r="F1602" t="inlineStr">
        <is>
          <t>Statie de lucru desktop</t>
        </is>
      </c>
      <c r="G1602" t="inlineStr">
        <is>
          <t>Hardware IT</t>
        </is>
      </c>
      <c r="H1602" t="n">
        <v>5</v>
      </c>
      <c r="I1602" t="n">
        <v>28.15</v>
      </c>
      <c r="J1602" t="n">
        <v>140.75</v>
      </c>
      <c r="K1602" s="13" t="n">
        <v>0.19</v>
      </c>
      <c r="L1602" t="n">
        <v>26.74</v>
      </c>
      <c r="M1602" t="n">
        <v>167.49</v>
      </c>
      <c r="N1602" t="inlineStr">
        <is>
          <t>RON</t>
        </is>
      </c>
      <c r="O1602" t="inlineStr">
        <is>
          <t>Mangalia</t>
        </is>
      </c>
      <c r="P1602" s="12" t="n">
        <v>46447</v>
      </c>
      <c r="Q1602">
        <f>IF(COUNTIF(tbl_Localitati[oras_oficial],[@oras])=0,"ORAS NEALINIAT",IF(XLOOKUP([@oras],tbl_Localitati[oras_oficial],tbl_Localitati[judet],"?")&lt;&gt;[@judet],"JUDET NECORESPUNZATOR",""))</f>
        <v/>
      </c>
      <c r="R1602">
        <f>IF(XLOOKUP([@categorie],tbl_RegulriTVA[categorie],tbl_RegulriTVA[cota_legala],-1)&lt;&gt;[@cota_tva],"TVA GRESIT","")</f>
        <v/>
      </c>
      <c r="S1602">
        <f>IF([@data_scadentei]&lt;[@data_factura],"SCADENTA INAINTEA FACTURII","")</f>
        <v/>
      </c>
      <c r="T1602">
        <f>IF(NETWORKDAYS.INTL([@data_factura],[@data_factura],1,tbl_SarbatoriLegale[data])=0,"ZI NELUCRATOARE","")</f>
        <v/>
      </c>
      <c r="U1602">
        <f>IF([@motiv_anomalie]="","OK","DE INVESTIGAT")</f>
        <v/>
      </c>
      <c r="V1602">
        <f>TEXTJOIN("; ",TRUE,[@flag_oras],[@flag_tva],[@flag_scadenta],[@flag_zi])</f>
        <v/>
      </c>
    </row>
    <row r="1603">
      <c r="A1603" t="inlineStr">
        <is>
          <t>F-2025-01602</t>
        </is>
      </c>
      <c r="B1603" s="12" t="n">
        <v>46310</v>
      </c>
      <c r="C1603" t="inlineStr">
        <is>
          <t>SC METALPLAST INVEST SA</t>
        </is>
      </c>
      <c r="D1603" t="inlineStr">
        <is>
          <t>Cluj</t>
        </is>
      </c>
      <c r="E1603" t="inlineStr">
        <is>
          <t>PRD-007</t>
        </is>
      </c>
      <c r="F1603" t="inlineStr">
        <is>
          <t>Tocator documente</t>
        </is>
      </c>
      <c r="G1603" t="inlineStr">
        <is>
          <t>Echipamente birou</t>
        </is>
      </c>
      <c r="H1603" t="n">
        <v>25</v>
      </c>
      <c r="I1603" t="n">
        <v>178.83</v>
      </c>
      <c r="J1603" t="n">
        <v>4470.75</v>
      </c>
      <c r="K1603" s="13" t="n">
        <v>0.19</v>
      </c>
      <c r="L1603" t="n">
        <v>849.4400000000001</v>
      </c>
      <c r="M1603" t="n">
        <v>5320.19</v>
      </c>
      <c r="N1603" t="inlineStr">
        <is>
          <t>RON</t>
        </is>
      </c>
      <c r="O1603" t="inlineStr">
        <is>
          <t>Turda</t>
        </is>
      </c>
      <c r="P1603" s="12" t="n">
        <v>46340</v>
      </c>
      <c r="Q1603">
        <f>IF(COUNTIF(tbl_Localitati[oras_oficial],[@oras])=0,"ORAS NEALINIAT",IF(XLOOKUP([@oras],tbl_Localitati[oras_oficial],tbl_Localitati[judet],"?")&lt;&gt;[@judet],"JUDET NECORESPUNZATOR",""))</f>
        <v/>
      </c>
      <c r="R1603">
        <f>IF(XLOOKUP([@categorie],tbl_RegulriTVA[categorie],tbl_RegulriTVA[cota_legala],-1)&lt;&gt;[@cota_tva],"TVA GRESIT","")</f>
        <v/>
      </c>
      <c r="S1603">
        <f>IF([@data_scadentei]&lt;[@data_factura],"SCADENTA INAINTEA FACTURII","")</f>
        <v/>
      </c>
      <c r="T1603">
        <f>IF(NETWORKDAYS.INTL([@data_factura],[@data_factura],1,tbl_SarbatoriLegale[data])=0,"ZI NELUCRATOARE","")</f>
        <v/>
      </c>
      <c r="U1603">
        <f>IF([@motiv_anomalie]="","OK","DE INVESTIGAT")</f>
        <v/>
      </c>
      <c r="V1603">
        <f>TEXTJOIN("; ",TRUE,[@flag_oras],[@flag_tva],[@flag_scadenta],[@flag_zi])</f>
        <v/>
      </c>
    </row>
    <row r="1604">
      <c r="A1604" t="inlineStr">
        <is>
          <t>F-2025-01603</t>
        </is>
      </c>
      <c r="B1604" s="12" t="n">
        <v>46041</v>
      </c>
      <c r="C1604" t="inlineStr">
        <is>
          <t>SC METALPLAST INVEST SA</t>
        </is>
      </c>
      <c r="D1604" t="inlineStr">
        <is>
          <t>Cluj</t>
        </is>
      </c>
      <c r="E1604" t="inlineStr">
        <is>
          <t>PRD-002</t>
        </is>
      </c>
      <c r="F1604" t="inlineStr">
        <is>
          <t>Termometru digital</t>
        </is>
      </c>
      <c r="G1604" t="inlineStr">
        <is>
          <t>Produse farmaceutice</t>
        </is>
      </c>
      <c r="H1604" t="n">
        <v>1</v>
      </c>
      <c r="I1604" t="n">
        <v>1089.32</v>
      </c>
      <c r="J1604" t="n">
        <v>1089.32</v>
      </c>
      <c r="K1604" s="13" t="n">
        <v>0.09</v>
      </c>
      <c r="L1604" t="n">
        <v>98.04000000000001</v>
      </c>
      <c r="M1604" t="n">
        <v>1187.36</v>
      </c>
      <c r="N1604" t="inlineStr">
        <is>
          <t>RON</t>
        </is>
      </c>
      <c r="O1604" t="inlineStr">
        <is>
          <t>Turda</t>
        </is>
      </c>
      <c r="P1604" s="12" t="n">
        <v>46071</v>
      </c>
      <c r="Q1604">
        <f>IF(COUNTIF(tbl_Localitati[oras_oficial],[@oras])=0,"ORAS NEALINIAT",IF(XLOOKUP([@oras],tbl_Localitati[oras_oficial],tbl_Localitati[judet],"?")&lt;&gt;[@judet],"JUDET NECORESPUNZATOR",""))</f>
        <v/>
      </c>
      <c r="R1604">
        <f>IF(XLOOKUP([@categorie],tbl_RegulriTVA[categorie],tbl_RegulriTVA[cota_legala],-1)&lt;&gt;[@cota_tva],"TVA GRESIT","")</f>
        <v/>
      </c>
      <c r="S1604">
        <f>IF([@data_scadentei]&lt;[@data_factura],"SCADENTA INAINTEA FACTURII","")</f>
        <v/>
      </c>
      <c r="T1604">
        <f>IF(NETWORKDAYS.INTL([@data_factura],[@data_factura],1,tbl_SarbatoriLegale[data])=0,"ZI NELUCRATOARE","")</f>
        <v/>
      </c>
      <c r="U1604">
        <f>IF([@motiv_anomalie]="","OK","DE INVESTIGAT")</f>
        <v/>
      </c>
      <c r="V1604">
        <f>TEXTJOIN("; ",TRUE,[@flag_oras],[@flag_tva],[@flag_scadenta],[@flag_zi])</f>
        <v/>
      </c>
    </row>
    <row r="1605">
      <c r="A1605" t="inlineStr">
        <is>
          <t>F-2025-01604</t>
        </is>
      </c>
      <c r="B1605" s="12" t="n">
        <v>46310</v>
      </c>
      <c r="C1605" t="inlineStr">
        <is>
          <t>SC SOLARIS ENERGY SRL</t>
        </is>
      </c>
      <c r="D1605" t="inlineStr">
        <is>
          <t>Prahova</t>
        </is>
      </c>
      <c r="E1605" t="inlineStr">
        <is>
          <t>PRD-005</t>
        </is>
      </c>
      <c r="F1605" t="inlineStr">
        <is>
          <t>Dezinfectant maini 5L</t>
        </is>
      </c>
      <c r="G1605" t="inlineStr">
        <is>
          <t>Produse farmaceutice</t>
        </is>
      </c>
      <c r="H1605" t="n">
        <v>2</v>
      </c>
      <c r="I1605" t="n">
        <v>240.95</v>
      </c>
      <c r="J1605" t="n">
        <v>481.9</v>
      </c>
      <c r="K1605" s="13" t="n">
        <v>0.09</v>
      </c>
      <c r="L1605" t="n">
        <v>43.37</v>
      </c>
      <c r="M1605" t="n">
        <v>525.27</v>
      </c>
      <c r="N1605" t="inlineStr">
        <is>
          <t>RON</t>
        </is>
      </c>
      <c r="O1605" t="inlineStr">
        <is>
          <t>Câmpina</t>
        </is>
      </c>
      <c r="P1605" s="12" t="n">
        <v>46325</v>
      </c>
      <c r="Q1605">
        <f>IF(COUNTIF(tbl_Localitati[oras_oficial],[@oras])=0,"ORAS NEALINIAT",IF(XLOOKUP([@oras],tbl_Localitati[oras_oficial],tbl_Localitati[judet],"?")&lt;&gt;[@judet],"JUDET NECORESPUNZATOR",""))</f>
        <v/>
      </c>
      <c r="R1605">
        <f>IF(XLOOKUP([@categorie],tbl_RegulriTVA[categorie],tbl_RegulriTVA[cota_legala],-1)&lt;&gt;[@cota_tva],"TVA GRESIT","")</f>
        <v/>
      </c>
      <c r="S1605">
        <f>IF([@data_scadentei]&lt;[@data_factura],"SCADENTA INAINTEA FACTURII","")</f>
        <v/>
      </c>
      <c r="T1605">
        <f>IF(NETWORKDAYS.INTL([@data_factura],[@data_factura],1,tbl_SarbatoriLegale[data])=0,"ZI NELUCRATOARE","")</f>
        <v/>
      </c>
      <c r="U1605">
        <f>IF([@motiv_anomalie]="","OK","DE INVESTIGAT")</f>
        <v/>
      </c>
      <c r="V1605">
        <f>TEXTJOIN("; ",TRUE,[@flag_oras],[@flag_tva],[@flag_scadenta],[@flag_zi])</f>
        <v/>
      </c>
    </row>
    <row r="1606">
      <c r="A1606" t="inlineStr">
        <is>
          <t>F-2025-01605</t>
        </is>
      </c>
      <c r="B1606" s="12" t="n">
        <v>46171</v>
      </c>
      <c r="C1606" t="inlineStr">
        <is>
          <t>SC DACTECH SOLUTIONS SRL</t>
        </is>
      </c>
      <c r="D1606" t="inlineStr">
        <is>
          <t>Argeș</t>
        </is>
      </c>
      <c r="E1606" t="inlineStr">
        <is>
          <t>PRD-004</t>
        </is>
      </c>
      <c r="F1606" t="inlineStr">
        <is>
          <t>Videoproiector sala</t>
        </is>
      </c>
      <c r="G1606" t="inlineStr">
        <is>
          <t>Echipamente birou</t>
        </is>
      </c>
      <c r="H1606" t="n">
        <v>2</v>
      </c>
      <c r="I1606" t="n">
        <v>935.76</v>
      </c>
      <c r="J1606" t="n">
        <v>1871.52</v>
      </c>
      <c r="K1606" s="13" t="n">
        <v>0.19</v>
      </c>
      <c r="L1606" t="n">
        <v>355.59</v>
      </c>
      <c r="M1606" t="n">
        <v>2227.11</v>
      </c>
      <c r="N1606" t="inlineStr">
        <is>
          <t>RON</t>
        </is>
      </c>
      <c r="O1606" t="inlineStr">
        <is>
          <t>Pitești</t>
        </is>
      </c>
      <c r="P1606" s="12" t="n">
        <v>46231</v>
      </c>
      <c r="Q1606">
        <f>IF(COUNTIF(tbl_Localitati[oras_oficial],[@oras])=0,"ORAS NEALINIAT",IF(XLOOKUP([@oras],tbl_Localitati[oras_oficial],tbl_Localitati[judet],"?")&lt;&gt;[@judet],"JUDET NECORESPUNZATOR",""))</f>
        <v/>
      </c>
      <c r="R1606">
        <f>IF(XLOOKUP([@categorie],tbl_RegulriTVA[categorie],tbl_RegulriTVA[cota_legala],-1)&lt;&gt;[@cota_tva],"TVA GRESIT","")</f>
        <v/>
      </c>
      <c r="S1606">
        <f>IF([@data_scadentei]&lt;[@data_factura],"SCADENTA INAINTEA FACTURII","")</f>
        <v/>
      </c>
      <c r="T1606">
        <f>IF(NETWORKDAYS.INTL([@data_factura],[@data_factura],1,tbl_SarbatoriLegale[data])=0,"ZI NELUCRATOARE","")</f>
        <v/>
      </c>
      <c r="U1606">
        <f>IF([@motiv_anomalie]="","OK","DE INVESTIGAT")</f>
        <v/>
      </c>
      <c r="V1606">
        <f>TEXTJOIN("; ",TRUE,[@flag_oras],[@flag_tva],[@flag_scadenta],[@flag_zi])</f>
        <v/>
      </c>
    </row>
    <row r="1607">
      <c r="A1607" t="inlineStr">
        <is>
          <t>F-2025-01606</t>
        </is>
      </c>
      <c r="B1607" s="12" t="n">
        <v>46085</v>
      </c>
      <c r="C1607" t="inlineStr">
        <is>
          <t>SC UNIFOOD DISTRIBUTION SA</t>
        </is>
      </c>
      <c r="D1607" t="inlineStr">
        <is>
          <t>Sibiu</t>
        </is>
      </c>
      <c r="E1607" t="inlineStr">
        <is>
          <t>PRD-008</t>
        </is>
      </c>
      <c r="F1607" t="inlineStr">
        <is>
          <t>Licenta Office 365 anuala</t>
        </is>
      </c>
      <c r="G1607" t="inlineStr">
        <is>
          <t>Licențe software</t>
        </is>
      </c>
      <c r="H1607" t="n">
        <v>5</v>
      </c>
      <c r="I1607" t="n">
        <v>455.85</v>
      </c>
      <c r="J1607" t="n">
        <v>2279.25</v>
      </c>
      <c r="K1607" s="13" t="n">
        <v>0.19</v>
      </c>
      <c r="L1607" t="n">
        <v>433.06</v>
      </c>
      <c r="M1607" t="n">
        <v>2712.31</v>
      </c>
      <c r="N1607" t="inlineStr">
        <is>
          <t>RON</t>
        </is>
      </c>
      <c r="O1607" t="inlineStr">
        <is>
          <t>Mediaș</t>
        </is>
      </c>
      <c r="P1607" s="12" t="n">
        <v>46145</v>
      </c>
      <c r="Q1607">
        <f>IF(COUNTIF(tbl_Localitati[oras_oficial],[@oras])=0,"ORAS NEALINIAT",IF(XLOOKUP([@oras],tbl_Localitati[oras_oficial],tbl_Localitati[judet],"?")&lt;&gt;[@judet],"JUDET NECORESPUNZATOR",""))</f>
        <v/>
      </c>
      <c r="R1607">
        <f>IF(XLOOKUP([@categorie],tbl_RegulriTVA[categorie],tbl_RegulriTVA[cota_legala],-1)&lt;&gt;[@cota_tva],"TVA GRESIT","")</f>
        <v/>
      </c>
      <c r="S1607">
        <f>IF([@data_scadentei]&lt;[@data_factura],"SCADENTA INAINTEA FACTURII","")</f>
        <v/>
      </c>
      <c r="T1607">
        <f>IF(NETWORKDAYS.INTL([@data_factura],[@data_factura],1,tbl_SarbatoriLegale[data])=0,"ZI NELUCRATOARE","")</f>
        <v/>
      </c>
      <c r="U1607">
        <f>IF([@motiv_anomalie]="","OK","DE INVESTIGAT")</f>
        <v/>
      </c>
      <c r="V1607">
        <f>TEXTJOIN("; ",TRUE,[@flag_oras],[@flag_tva],[@flag_scadenta],[@flag_zi])</f>
        <v/>
      </c>
    </row>
    <row r="1608">
      <c r="A1608" t="inlineStr">
        <is>
          <t>F-2025-01607</t>
        </is>
      </c>
      <c r="B1608" s="12" t="n">
        <v>46372</v>
      </c>
      <c r="C1608" t="inlineStr">
        <is>
          <t>SC AROMET TRADING SRL</t>
        </is>
      </c>
      <c r="D1608" t="inlineStr">
        <is>
          <t>Alba</t>
        </is>
      </c>
      <c r="E1608" t="inlineStr">
        <is>
          <t>PRD-003</t>
        </is>
      </c>
      <c r="F1608" t="inlineStr">
        <is>
          <t>Manual proceduri interne</t>
        </is>
      </c>
      <c r="G1608" t="inlineStr">
        <is>
          <t>Cărți și manuale</t>
        </is>
      </c>
      <c r="H1608" t="n">
        <v>1</v>
      </c>
      <c r="I1608" t="n">
        <v>4347.42</v>
      </c>
      <c r="J1608" t="n">
        <v>4347.42</v>
      </c>
      <c r="K1608" s="13" t="n">
        <v>0.05</v>
      </c>
      <c r="L1608" t="n">
        <v>217.37</v>
      </c>
      <c r="M1608" t="n">
        <v>4564.79</v>
      </c>
      <c r="N1608" t="inlineStr">
        <is>
          <t>RON</t>
        </is>
      </c>
      <c r="O1608" t="inlineStr">
        <is>
          <t>Alba Iulia</t>
        </is>
      </c>
      <c r="P1608" s="12" t="n">
        <v>46417</v>
      </c>
      <c r="Q1608">
        <f>IF(COUNTIF(tbl_Localitati[oras_oficial],[@oras])=0,"ORAS NEALINIAT",IF(XLOOKUP([@oras],tbl_Localitati[oras_oficial],tbl_Localitati[judet],"?")&lt;&gt;[@judet],"JUDET NECORESPUNZATOR",""))</f>
        <v/>
      </c>
      <c r="R1608">
        <f>IF(XLOOKUP([@categorie],tbl_RegulriTVA[categorie],tbl_RegulriTVA[cota_legala],-1)&lt;&gt;[@cota_tva],"TVA GRESIT","")</f>
        <v/>
      </c>
      <c r="S1608">
        <f>IF([@data_scadentei]&lt;[@data_factura],"SCADENTA INAINTEA FACTURII","")</f>
        <v/>
      </c>
      <c r="T1608">
        <f>IF(NETWORKDAYS.INTL([@data_factura],[@data_factura],1,tbl_SarbatoriLegale[data])=0,"ZI NELUCRATOARE","")</f>
        <v/>
      </c>
      <c r="U1608">
        <f>IF([@motiv_anomalie]="","OK","DE INVESTIGAT")</f>
        <v/>
      </c>
      <c r="V1608">
        <f>TEXTJOIN("; ",TRUE,[@flag_oras],[@flag_tva],[@flag_scadenta],[@flag_zi])</f>
        <v/>
      </c>
    </row>
    <row r="1609">
      <c r="A1609" t="inlineStr">
        <is>
          <t>F-2025-01608</t>
        </is>
      </c>
      <c r="B1609" s="12" t="n">
        <v>46206</v>
      </c>
      <c r="C1609" t="inlineStr">
        <is>
          <t>SC METALPLAST INVEST SA</t>
        </is>
      </c>
      <c r="D1609" t="inlineStr">
        <is>
          <t>Cluj</t>
        </is>
      </c>
      <c r="E1609" t="inlineStr">
        <is>
          <t>PRD-005</t>
        </is>
      </c>
      <c r="F1609" t="inlineStr">
        <is>
          <t>Licenta ERP contabilitate</t>
        </is>
      </c>
      <c r="G1609" t="inlineStr">
        <is>
          <t>Licențe software</t>
        </is>
      </c>
      <c r="H1609" t="n">
        <v>1</v>
      </c>
      <c r="I1609" t="n">
        <v>249.36</v>
      </c>
      <c r="J1609" t="n">
        <v>249.36</v>
      </c>
      <c r="K1609" s="13" t="n">
        <v>0.19</v>
      </c>
      <c r="L1609" t="n">
        <v>47.38</v>
      </c>
      <c r="M1609" t="n">
        <v>296.74</v>
      </c>
      <c r="N1609" t="inlineStr">
        <is>
          <t>RON</t>
        </is>
      </c>
      <c r="O1609" t="inlineStr">
        <is>
          <t>Turda</t>
        </is>
      </c>
      <c r="P1609" s="12" t="n">
        <v>46266</v>
      </c>
      <c r="Q1609">
        <f>IF(COUNTIF(tbl_Localitati[oras_oficial],[@oras])=0,"ORAS NEALINIAT",IF(XLOOKUP([@oras],tbl_Localitati[oras_oficial],tbl_Localitati[judet],"?")&lt;&gt;[@judet],"JUDET NECORESPUNZATOR",""))</f>
        <v/>
      </c>
      <c r="R1609">
        <f>IF(XLOOKUP([@categorie],tbl_RegulriTVA[categorie],tbl_RegulriTVA[cota_legala],-1)&lt;&gt;[@cota_tva],"TVA GRESIT","")</f>
        <v/>
      </c>
      <c r="S1609">
        <f>IF([@data_scadentei]&lt;[@data_factura],"SCADENTA INAINTEA FACTURII","")</f>
        <v/>
      </c>
      <c r="T1609">
        <f>IF(NETWORKDAYS.INTL([@data_factura],[@data_factura],1,tbl_SarbatoriLegale[data])=0,"ZI NELUCRATOARE","")</f>
        <v/>
      </c>
      <c r="U1609">
        <f>IF([@motiv_anomalie]="","OK","DE INVESTIGAT")</f>
        <v/>
      </c>
      <c r="V1609">
        <f>TEXTJOIN("; ",TRUE,[@flag_oras],[@flag_tva],[@flag_scadenta],[@flag_zi])</f>
        <v/>
      </c>
    </row>
    <row r="1610">
      <c r="A1610" t="inlineStr">
        <is>
          <t>F-2025-01609</t>
        </is>
      </c>
      <c r="B1610" s="12" t="n">
        <v>46162</v>
      </c>
      <c r="C1610" t="inlineStr">
        <is>
          <t>SC DACTECH SOLUTIONS SRL</t>
        </is>
      </c>
      <c r="D1610" t="inlineStr">
        <is>
          <t>Argeș</t>
        </is>
      </c>
      <c r="E1610" t="inlineStr">
        <is>
          <t>PRD-008</t>
        </is>
      </c>
      <c r="F1610" t="inlineStr">
        <is>
          <t>Statie de lucru desktop</t>
        </is>
      </c>
      <c r="G1610" t="inlineStr">
        <is>
          <t>Hardware IT</t>
        </is>
      </c>
      <c r="H1610" t="n">
        <v>25</v>
      </c>
      <c r="I1610" t="n">
        <v>466.41</v>
      </c>
      <c r="J1610" t="n">
        <v>11660.25</v>
      </c>
      <c r="K1610" s="13" t="n">
        <v>0.19</v>
      </c>
      <c r="L1610" t="n">
        <v>2215.45</v>
      </c>
      <c r="M1610" t="n">
        <v>13875.7</v>
      </c>
      <c r="N1610" t="inlineStr">
        <is>
          <t>RON</t>
        </is>
      </c>
      <c r="O1610" t="inlineStr">
        <is>
          <t>Pitești</t>
        </is>
      </c>
      <c r="P1610" s="12" t="n">
        <v>46177</v>
      </c>
      <c r="Q1610">
        <f>IF(COUNTIF(tbl_Localitati[oras_oficial],[@oras])=0,"ORAS NEALINIAT",IF(XLOOKUP([@oras],tbl_Localitati[oras_oficial],tbl_Localitati[judet],"?")&lt;&gt;[@judet],"JUDET NECORESPUNZATOR",""))</f>
        <v/>
      </c>
      <c r="R1610">
        <f>IF(XLOOKUP([@categorie],tbl_RegulriTVA[categorie],tbl_RegulriTVA[cota_legala],-1)&lt;&gt;[@cota_tva],"TVA GRESIT","")</f>
        <v/>
      </c>
      <c r="S1610">
        <f>IF([@data_scadentei]&lt;[@data_factura],"SCADENTA INAINTEA FACTURII","")</f>
        <v/>
      </c>
      <c r="T1610">
        <f>IF(NETWORKDAYS.INTL([@data_factura],[@data_factura],1,tbl_SarbatoriLegale[data])=0,"ZI NELUCRATOARE","")</f>
        <v/>
      </c>
      <c r="U1610">
        <f>IF([@motiv_anomalie]="","OK","DE INVESTIGAT")</f>
        <v/>
      </c>
      <c r="V1610">
        <f>TEXTJOIN("; ",TRUE,[@flag_oras],[@flag_tva],[@flag_scadenta],[@flag_zi])</f>
        <v/>
      </c>
    </row>
    <row r="1611">
      <c r="A1611" t="inlineStr">
        <is>
          <t>F-2025-01610</t>
        </is>
      </c>
      <c r="B1611" s="12" t="n">
        <v>46113</v>
      </c>
      <c r="C1611" t="inlineStr">
        <is>
          <t>SC INTEGROMED SA</t>
        </is>
      </c>
      <c r="D1611" t="inlineStr">
        <is>
          <t>Cluj</t>
        </is>
      </c>
      <c r="E1611" t="inlineStr">
        <is>
          <t>PRD-004</t>
        </is>
      </c>
      <c r="F1611" t="inlineStr">
        <is>
          <t>Server rack 1U</t>
        </is>
      </c>
      <c r="G1611" t="inlineStr">
        <is>
          <t>Hardware IT</t>
        </is>
      </c>
      <c r="H1611" t="n">
        <v>5</v>
      </c>
      <c r="I1611" t="n">
        <v>909.95</v>
      </c>
      <c r="J1611" t="n">
        <v>4549.75</v>
      </c>
      <c r="K1611" s="13" t="n">
        <v>0.19</v>
      </c>
      <c r="L1611" t="n">
        <v>864.45</v>
      </c>
      <c r="M1611" t="n">
        <v>5414.2</v>
      </c>
      <c r="N1611" t="inlineStr">
        <is>
          <t>RON</t>
        </is>
      </c>
      <c r="O1611" t="inlineStr">
        <is>
          <t>Cluj-Napoca</t>
        </is>
      </c>
      <c r="P1611" s="12" t="n">
        <v>46173</v>
      </c>
      <c r="Q1611">
        <f>IF(COUNTIF(tbl_Localitati[oras_oficial],[@oras])=0,"ORAS NEALINIAT",IF(XLOOKUP([@oras],tbl_Localitati[oras_oficial],tbl_Localitati[judet],"?")&lt;&gt;[@judet],"JUDET NECORESPUNZATOR",""))</f>
        <v/>
      </c>
      <c r="R1611">
        <f>IF(XLOOKUP([@categorie],tbl_RegulriTVA[categorie],tbl_RegulriTVA[cota_legala],-1)&lt;&gt;[@cota_tva],"TVA GRESIT","")</f>
        <v/>
      </c>
      <c r="S1611">
        <f>IF([@data_scadentei]&lt;[@data_factura],"SCADENTA INAINTEA FACTURII","")</f>
        <v/>
      </c>
      <c r="T1611">
        <f>IF(NETWORKDAYS.INTL([@data_factura],[@data_factura],1,tbl_SarbatoriLegale[data])=0,"ZI NELUCRATOARE","")</f>
        <v/>
      </c>
      <c r="U1611">
        <f>IF([@motiv_anomalie]="","OK","DE INVESTIGAT")</f>
        <v/>
      </c>
      <c r="V1611">
        <f>TEXTJOIN("; ",TRUE,[@flag_oras],[@flag_tva],[@flag_scadenta],[@flag_zi])</f>
        <v/>
      </c>
    </row>
    <row r="1612">
      <c r="A1612" t="inlineStr">
        <is>
          <t>F-2025-01611</t>
        </is>
      </c>
      <c r="B1612" s="12" t="n">
        <v>46034</v>
      </c>
      <c r="C1612" t="inlineStr">
        <is>
          <t>SC AROMET TRADING SRL</t>
        </is>
      </c>
      <c r="D1612" t="inlineStr">
        <is>
          <t>Prahova</t>
        </is>
      </c>
      <c r="E1612" t="inlineStr">
        <is>
          <t>PRD-007</t>
        </is>
      </c>
      <c r="F1612" t="inlineStr">
        <is>
          <t>Licenta ERP contabilitate</t>
        </is>
      </c>
      <c r="G1612" t="inlineStr">
        <is>
          <t>Licențe software</t>
        </is>
      </c>
      <c r="H1612" t="n">
        <v>10</v>
      </c>
      <c r="I1612" t="n">
        <v>173.15</v>
      </c>
      <c r="J1612" t="n">
        <v>1731.5</v>
      </c>
      <c r="K1612" s="13" t="n">
        <v>0.19</v>
      </c>
      <c r="L1612" t="n">
        <v>328.99</v>
      </c>
      <c r="M1612" t="n">
        <v>2060.49</v>
      </c>
      <c r="N1612" t="inlineStr">
        <is>
          <t>RON</t>
        </is>
      </c>
      <c r="O1612" t="inlineStr">
        <is>
          <t>Alba Iulia</t>
        </is>
      </c>
      <c r="P1612" s="12" t="n">
        <v>46064</v>
      </c>
      <c r="Q1612">
        <f>IF(COUNTIF(tbl_Localitati[oras_oficial],[@oras])=0,"ORAS NEALINIAT",IF(XLOOKUP([@oras],tbl_Localitati[oras_oficial],tbl_Localitati[judet],"?")&lt;&gt;[@judet],"JUDET NECORESPUNZATOR",""))</f>
        <v/>
      </c>
      <c r="R1612">
        <f>IF(XLOOKUP([@categorie],tbl_RegulriTVA[categorie],tbl_RegulriTVA[cota_legala],-1)&lt;&gt;[@cota_tva],"TVA GRESIT","")</f>
        <v/>
      </c>
      <c r="S1612">
        <f>IF([@data_scadentei]&lt;[@data_factura],"SCADENTA INAINTEA FACTURII","")</f>
        <v/>
      </c>
      <c r="T1612">
        <f>IF(NETWORKDAYS.INTL([@data_factura],[@data_factura],1,tbl_SarbatoriLegale[data])=0,"ZI NELUCRATOARE","")</f>
        <v/>
      </c>
      <c r="U1612">
        <f>IF([@motiv_anomalie]="","OK","DE INVESTIGAT")</f>
        <v/>
      </c>
      <c r="V1612">
        <f>TEXTJOIN("; ",TRUE,[@flag_oras],[@flag_tva],[@flag_scadenta],[@flag_zi])</f>
        <v/>
      </c>
    </row>
    <row r="1613">
      <c r="A1613" t="inlineStr">
        <is>
          <t>F-2025-01612</t>
        </is>
      </c>
      <c r="B1613" s="12" t="n">
        <v>46071</v>
      </c>
      <c r="C1613" t="inlineStr">
        <is>
          <t>SC FARMAVITAL DISTRIBUTIE SA</t>
        </is>
      </c>
      <c r="D1613" t="inlineStr">
        <is>
          <t>Bihor</t>
        </is>
      </c>
      <c r="E1613" t="inlineStr">
        <is>
          <t>PRD-009</t>
        </is>
      </c>
      <c r="F1613" t="inlineStr">
        <is>
          <t>Audit infrastructura</t>
        </is>
      </c>
      <c r="G1613" t="inlineStr">
        <is>
          <t>Servicii consultanță</t>
        </is>
      </c>
      <c r="H1613" t="n">
        <v>50</v>
      </c>
      <c r="I1613" t="n">
        <v>28.47</v>
      </c>
      <c r="J1613" t="n">
        <v>1423.5</v>
      </c>
      <c r="K1613" s="13" t="n">
        <v>0.19</v>
      </c>
      <c r="L1613" t="n">
        <v>270.46</v>
      </c>
      <c r="M1613" t="n">
        <v>1693.96</v>
      </c>
      <c r="N1613" t="inlineStr">
        <is>
          <t>RON</t>
        </is>
      </c>
      <c r="O1613" t="inlineStr">
        <is>
          <t>Oradea</t>
        </is>
      </c>
      <c r="P1613" s="12" t="n">
        <v>46101</v>
      </c>
      <c r="Q1613">
        <f>IF(COUNTIF(tbl_Localitati[oras_oficial],[@oras])=0,"ORAS NEALINIAT",IF(XLOOKUP([@oras],tbl_Localitati[oras_oficial],tbl_Localitati[judet],"?")&lt;&gt;[@judet],"JUDET NECORESPUNZATOR",""))</f>
        <v/>
      </c>
      <c r="R1613">
        <f>IF(XLOOKUP([@categorie],tbl_RegulriTVA[categorie],tbl_RegulriTVA[cota_legala],-1)&lt;&gt;[@cota_tva],"TVA GRESIT","")</f>
        <v/>
      </c>
      <c r="S1613">
        <f>IF([@data_scadentei]&lt;[@data_factura],"SCADENTA INAINTEA FACTURII","")</f>
        <v/>
      </c>
      <c r="T1613">
        <f>IF(NETWORKDAYS.INTL([@data_factura],[@data_factura],1,tbl_SarbatoriLegale[data])=0,"ZI NELUCRATOARE","")</f>
        <v/>
      </c>
      <c r="U1613">
        <f>IF([@motiv_anomalie]="","OK","DE INVESTIGAT")</f>
        <v/>
      </c>
      <c r="V1613">
        <f>TEXTJOIN("; ",TRUE,[@flag_oras],[@flag_tva],[@flag_scadenta],[@flag_zi])</f>
        <v/>
      </c>
    </row>
    <row r="1614">
      <c r="A1614" t="inlineStr">
        <is>
          <t>F-2025-01613</t>
        </is>
      </c>
      <c r="B1614" s="12" t="n">
        <v>46386</v>
      </c>
      <c r="C1614" t="inlineStr">
        <is>
          <t>SC NORDIS DISTRIBUTIE SRL</t>
        </is>
      </c>
      <c r="D1614" t="inlineStr">
        <is>
          <t>Constanța</t>
        </is>
      </c>
      <c r="E1614" t="inlineStr">
        <is>
          <t>PRD-003</t>
        </is>
      </c>
      <c r="F1614" t="inlineStr">
        <is>
          <t>Switch gigabit 24p</t>
        </is>
      </c>
      <c r="G1614" t="inlineStr">
        <is>
          <t>Hardware IT</t>
        </is>
      </c>
      <c r="H1614" t="n">
        <v>2</v>
      </c>
      <c r="I1614" t="n">
        <v>4009.16</v>
      </c>
      <c r="J1614" t="n">
        <v>8018.32</v>
      </c>
      <c r="K1614" s="13" t="n">
        <v>0.19</v>
      </c>
      <c r="L1614" t="n">
        <v>1523.48</v>
      </c>
      <c r="M1614" t="n">
        <v>9541.799999999999</v>
      </c>
      <c r="N1614" t="inlineStr">
        <is>
          <t>RON</t>
        </is>
      </c>
      <c r="O1614" t="inlineStr">
        <is>
          <t>Mangalia</t>
        </is>
      </c>
      <c r="P1614" s="12" t="n">
        <v>46401</v>
      </c>
      <c r="Q1614">
        <f>IF(COUNTIF(tbl_Localitati[oras_oficial],[@oras])=0,"ORAS NEALINIAT",IF(XLOOKUP([@oras],tbl_Localitati[oras_oficial],tbl_Localitati[judet],"?")&lt;&gt;[@judet],"JUDET NECORESPUNZATOR",""))</f>
        <v/>
      </c>
      <c r="R1614">
        <f>IF(XLOOKUP([@categorie],tbl_RegulriTVA[categorie],tbl_RegulriTVA[cota_legala],-1)&lt;&gt;[@cota_tva],"TVA GRESIT","")</f>
        <v/>
      </c>
      <c r="S1614">
        <f>IF([@data_scadentei]&lt;[@data_factura],"SCADENTA INAINTEA FACTURII","")</f>
        <v/>
      </c>
      <c r="T1614">
        <f>IF(NETWORKDAYS.INTL([@data_factura],[@data_factura],1,tbl_SarbatoriLegale[data])=0,"ZI NELUCRATOARE","")</f>
        <v/>
      </c>
      <c r="U1614">
        <f>IF([@motiv_anomalie]="","OK","DE INVESTIGAT")</f>
        <v/>
      </c>
      <c r="V1614">
        <f>TEXTJOIN("; ",TRUE,[@flag_oras],[@flag_tva],[@flag_scadenta],[@flag_zi])</f>
        <v/>
      </c>
    </row>
    <row r="1615">
      <c r="A1615" t="inlineStr">
        <is>
          <t>F-2025-01614</t>
        </is>
      </c>
      <c r="B1615" s="12" t="n">
        <v>46204</v>
      </c>
      <c r="C1615" t="inlineStr">
        <is>
          <t>SC OMEGA SOFT SRL</t>
        </is>
      </c>
      <c r="D1615" t="inlineStr">
        <is>
          <t>Dolj</t>
        </is>
      </c>
      <c r="E1615" t="inlineStr">
        <is>
          <t>PRD-008</t>
        </is>
      </c>
      <c r="F1615" t="inlineStr">
        <is>
          <t>Dezinfectant maini 5L</t>
        </is>
      </c>
      <c r="G1615" t="inlineStr">
        <is>
          <t>Produse farmaceutice</t>
        </is>
      </c>
      <c r="H1615" t="n">
        <v>5</v>
      </c>
      <c r="I1615" t="n">
        <v>456.09</v>
      </c>
      <c r="J1615" t="n">
        <v>2280.45</v>
      </c>
      <c r="K1615" s="13" t="n">
        <v>0.09</v>
      </c>
      <c r="L1615" t="n">
        <v>205.24</v>
      </c>
      <c r="M1615" t="n">
        <v>2485.69</v>
      </c>
      <c r="N1615" t="inlineStr">
        <is>
          <t>RON</t>
        </is>
      </c>
      <c r="O1615" t="inlineStr">
        <is>
          <t>Craiova</t>
        </is>
      </c>
      <c r="P1615" s="12" t="n">
        <v>46264</v>
      </c>
      <c r="Q1615">
        <f>IF(COUNTIF(tbl_Localitati[oras_oficial],[@oras])=0,"ORAS NEALINIAT",IF(XLOOKUP([@oras],tbl_Localitati[oras_oficial],tbl_Localitati[judet],"?")&lt;&gt;[@judet],"JUDET NECORESPUNZATOR",""))</f>
        <v/>
      </c>
      <c r="R1615">
        <f>IF(XLOOKUP([@categorie],tbl_RegulriTVA[categorie],tbl_RegulriTVA[cota_legala],-1)&lt;&gt;[@cota_tva],"TVA GRESIT","")</f>
        <v/>
      </c>
      <c r="S1615">
        <f>IF([@data_scadentei]&lt;[@data_factura],"SCADENTA INAINTEA FACTURII","")</f>
        <v/>
      </c>
      <c r="T1615">
        <f>IF(NETWORKDAYS.INTL([@data_factura],[@data_factura],1,tbl_SarbatoriLegale[data])=0,"ZI NELUCRATOARE","")</f>
        <v/>
      </c>
      <c r="U1615">
        <f>IF([@motiv_anomalie]="","OK","DE INVESTIGAT")</f>
        <v/>
      </c>
      <c r="V1615">
        <f>TEXTJOIN("; ",TRUE,[@flag_oras],[@flag_tva],[@flag_scadenta],[@flag_zi])</f>
        <v/>
      </c>
    </row>
    <row r="1616">
      <c r="A1616" t="inlineStr">
        <is>
          <t>F-2025-01615</t>
        </is>
      </c>
      <c r="B1616" s="12" t="n">
        <v>46310</v>
      </c>
      <c r="C1616" t="inlineStr">
        <is>
          <t>SC AROMET TRADING SRL</t>
        </is>
      </c>
      <c r="D1616" t="inlineStr">
        <is>
          <t>Alba</t>
        </is>
      </c>
      <c r="E1616" t="inlineStr">
        <is>
          <t>PRD-007</t>
        </is>
      </c>
      <c r="F1616" t="inlineStr">
        <is>
          <t>Licenta antivirus enterprise</t>
        </is>
      </c>
      <c r="G1616" t="inlineStr">
        <is>
          <t>Licențe software</t>
        </is>
      </c>
      <c r="H1616" t="n">
        <v>1</v>
      </c>
      <c r="I1616" t="n">
        <v>187.19</v>
      </c>
      <c r="J1616" t="n">
        <v>187.19</v>
      </c>
      <c r="K1616" s="13" t="n">
        <v>0.19</v>
      </c>
      <c r="L1616" t="n">
        <v>35.57</v>
      </c>
      <c r="M1616" t="n">
        <v>222.76</v>
      </c>
      <c r="N1616" t="inlineStr">
        <is>
          <t>RON</t>
        </is>
      </c>
      <c r="O1616" t="inlineStr">
        <is>
          <t>Bv</t>
        </is>
      </c>
      <c r="P1616" s="12" t="n">
        <v>46325</v>
      </c>
      <c r="Q1616">
        <f>IF(COUNTIF(tbl_Localitati[oras_oficial],[@oras])=0,"ORAS NEALINIAT",IF(XLOOKUP([@oras],tbl_Localitati[oras_oficial],tbl_Localitati[judet],"?")&lt;&gt;[@judet],"JUDET NECORESPUNZATOR",""))</f>
        <v/>
      </c>
      <c r="R1616">
        <f>IF(XLOOKUP([@categorie],tbl_RegulriTVA[categorie],tbl_RegulriTVA[cota_legala],-1)&lt;&gt;[@cota_tva],"TVA GRESIT","")</f>
        <v/>
      </c>
      <c r="S1616">
        <f>IF([@data_scadentei]&lt;[@data_factura],"SCADENTA INAINTEA FACTURII","")</f>
        <v/>
      </c>
      <c r="T1616">
        <f>IF(NETWORKDAYS.INTL([@data_factura],[@data_factura],1,tbl_SarbatoriLegale[data])=0,"ZI NELUCRATOARE","")</f>
        <v/>
      </c>
      <c r="U1616">
        <f>IF([@motiv_anomalie]="","OK","DE INVESTIGAT")</f>
        <v/>
      </c>
      <c r="V1616">
        <f>TEXTJOIN("; ",TRUE,[@flag_oras],[@flag_tva],[@flag_scadenta],[@flag_zi])</f>
        <v/>
      </c>
    </row>
    <row r="1617">
      <c r="A1617" t="inlineStr">
        <is>
          <t>F-2025-01616</t>
        </is>
      </c>
      <c r="B1617" s="12" t="n">
        <v>46212</v>
      </c>
      <c r="C1617" t="inlineStr">
        <is>
          <t>SC INTEGROMED SA</t>
        </is>
      </c>
      <c r="D1617" t="inlineStr">
        <is>
          <t>Cluj</t>
        </is>
      </c>
      <c r="E1617" t="inlineStr">
        <is>
          <t>PRD-008</t>
        </is>
      </c>
      <c r="F1617" t="inlineStr">
        <is>
          <t>Switch gigabit 24p</t>
        </is>
      </c>
      <c r="G1617" t="inlineStr">
        <is>
          <t>Hardware IT</t>
        </is>
      </c>
      <c r="H1617" t="n">
        <v>5</v>
      </c>
      <c r="I1617" t="n">
        <v>447.77</v>
      </c>
      <c r="J1617" t="n">
        <v>2238.85</v>
      </c>
      <c r="K1617" s="13" t="n">
        <v>0.19</v>
      </c>
      <c r="L1617" t="n">
        <v>425.38</v>
      </c>
      <c r="M1617" t="n">
        <v>2664.23</v>
      </c>
      <c r="N1617" t="inlineStr">
        <is>
          <t>RON</t>
        </is>
      </c>
      <c r="O1617" t="inlineStr">
        <is>
          <t>Cluj-Napoca</t>
        </is>
      </c>
      <c r="P1617" s="12" t="n">
        <v>46207</v>
      </c>
      <c r="Q1617">
        <f>IF(COUNTIF(tbl_Localitati[oras_oficial],[@oras])=0,"ORAS NEALINIAT",IF(XLOOKUP([@oras],tbl_Localitati[oras_oficial],tbl_Localitati[judet],"?")&lt;&gt;[@judet],"JUDET NECORESPUNZATOR",""))</f>
        <v/>
      </c>
      <c r="R1617">
        <f>IF(XLOOKUP([@categorie],tbl_RegulriTVA[categorie],tbl_RegulriTVA[cota_legala],-1)&lt;&gt;[@cota_tva],"TVA GRESIT","")</f>
        <v/>
      </c>
      <c r="S1617">
        <f>IF([@data_scadentei]&lt;[@data_factura],"SCADENTA INAINTEA FACTURII","")</f>
        <v/>
      </c>
      <c r="T1617">
        <f>IF(NETWORKDAYS.INTL([@data_factura],[@data_factura],1,tbl_SarbatoriLegale[data])=0,"ZI NELUCRATOARE","")</f>
        <v/>
      </c>
      <c r="U1617">
        <f>IF([@motiv_anomalie]="","OK","DE INVESTIGAT")</f>
        <v/>
      </c>
      <c r="V1617">
        <f>TEXTJOIN("; ",TRUE,[@flag_oras],[@flag_tva],[@flag_scadenta],[@flag_zi])</f>
        <v/>
      </c>
    </row>
    <row r="1618">
      <c r="A1618" t="inlineStr">
        <is>
          <t>F-2025-01617</t>
        </is>
      </c>
      <c r="B1618" s="12" t="n">
        <v>46371</v>
      </c>
      <c r="C1618" t="inlineStr">
        <is>
          <t>SC AROMET TRADING SRL</t>
        </is>
      </c>
      <c r="D1618" t="inlineStr">
        <is>
          <t>Alba</t>
        </is>
      </c>
      <c r="E1618" t="inlineStr">
        <is>
          <t>PRD-004</t>
        </is>
      </c>
      <c r="F1618" t="inlineStr">
        <is>
          <t>Licenta Office 365 anuala</t>
        </is>
      </c>
      <c r="G1618" t="inlineStr">
        <is>
          <t>Licențe software</t>
        </is>
      </c>
      <c r="H1618" t="n">
        <v>2</v>
      </c>
      <c r="I1618" t="n">
        <v>875.13</v>
      </c>
      <c r="J1618" t="n">
        <v>1750.26</v>
      </c>
      <c r="K1618" s="13" t="n">
        <v>0.19</v>
      </c>
      <c r="L1618" t="n">
        <v>332.55</v>
      </c>
      <c r="M1618" t="n">
        <v>2082.81</v>
      </c>
      <c r="N1618" t="inlineStr">
        <is>
          <t>RON</t>
        </is>
      </c>
      <c r="O1618" t="inlineStr">
        <is>
          <t>Alba Iulia</t>
        </is>
      </c>
      <c r="P1618" s="12" t="n">
        <v>46431</v>
      </c>
      <c r="Q1618">
        <f>IF(COUNTIF(tbl_Localitati[oras_oficial],[@oras])=0,"ORAS NEALINIAT",IF(XLOOKUP([@oras],tbl_Localitati[oras_oficial],tbl_Localitati[judet],"?")&lt;&gt;[@judet],"JUDET NECORESPUNZATOR",""))</f>
        <v/>
      </c>
      <c r="R1618">
        <f>IF(XLOOKUP([@categorie],tbl_RegulriTVA[categorie],tbl_RegulriTVA[cota_legala],-1)&lt;&gt;[@cota_tva],"TVA GRESIT","")</f>
        <v/>
      </c>
      <c r="S1618">
        <f>IF([@data_scadentei]&lt;[@data_factura],"SCADENTA INAINTEA FACTURII","")</f>
        <v/>
      </c>
      <c r="T1618">
        <f>IF(NETWORKDAYS.INTL([@data_factura],[@data_factura],1,tbl_SarbatoriLegale[data])=0,"ZI NELUCRATOARE","")</f>
        <v/>
      </c>
      <c r="U1618">
        <f>IF([@motiv_anomalie]="","OK","DE INVESTIGAT")</f>
        <v/>
      </c>
      <c r="V1618">
        <f>TEXTJOIN("; ",TRUE,[@flag_oras],[@flag_tva],[@flag_scadenta],[@flag_zi])</f>
        <v/>
      </c>
    </row>
    <row r="1619">
      <c r="A1619" t="inlineStr">
        <is>
          <t>F-2025-01618</t>
        </is>
      </c>
      <c r="B1619" s="12" t="n">
        <v>46161</v>
      </c>
      <c r="C1619" t="inlineStr">
        <is>
          <t>SC AROMET TRADING SRL</t>
        </is>
      </c>
      <c r="D1619" t="inlineStr">
        <is>
          <t>Alba</t>
        </is>
      </c>
      <c r="E1619" t="inlineStr">
        <is>
          <t>PRD-001</t>
        </is>
      </c>
      <c r="F1619" t="inlineStr">
        <is>
          <t>Statie de lucru desktop</t>
        </is>
      </c>
      <c r="G1619" t="inlineStr">
        <is>
          <t>Hardware IT</t>
        </is>
      </c>
      <c r="H1619" t="n">
        <v>5</v>
      </c>
      <c r="I1619" t="n">
        <v>2461.19</v>
      </c>
      <c r="J1619" t="n">
        <v>12305.95</v>
      </c>
      <c r="K1619" s="13" t="n">
        <v>0.19</v>
      </c>
      <c r="L1619" t="n">
        <v>2338.13</v>
      </c>
      <c r="M1619" t="n">
        <v>14644.08</v>
      </c>
      <c r="N1619" t="inlineStr">
        <is>
          <t>EUR</t>
        </is>
      </c>
      <c r="O1619" t="inlineStr">
        <is>
          <t>Alba Iulia</t>
        </is>
      </c>
      <c r="P1619" s="12" t="n">
        <v>46221</v>
      </c>
      <c r="Q1619">
        <f>IF(COUNTIF(tbl_Localitati[oras_oficial],[@oras])=0,"ORAS NEALINIAT",IF(XLOOKUP([@oras],tbl_Localitati[oras_oficial],tbl_Localitati[judet],"?")&lt;&gt;[@judet],"JUDET NECORESPUNZATOR",""))</f>
        <v/>
      </c>
      <c r="R1619">
        <f>IF(XLOOKUP([@categorie],tbl_RegulriTVA[categorie],tbl_RegulriTVA[cota_legala],-1)&lt;&gt;[@cota_tva],"TVA GRESIT","")</f>
        <v/>
      </c>
      <c r="S1619">
        <f>IF([@data_scadentei]&lt;[@data_factura],"SCADENTA INAINTEA FACTURII","")</f>
        <v/>
      </c>
      <c r="T1619">
        <f>IF(NETWORKDAYS.INTL([@data_factura],[@data_factura],1,tbl_SarbatoriLegale[data])=0,"ZI NELUCRATOARE","")</f>
        <v/>
      </c>
      <c r="U1619">
        <f>IF([@motiv_anomalie]="","OK","DE INVESTIGAT")</f>
        <v/>
      </c>
      <c r="V1619">
        <f>TEXTJOIN("; ",TRUE,[@flag_oras],[@flag_tva],[@flag_scadenta],[@flag_zi])</f>
        <v/>
      </c>
    </row>
    <row r="1620">
      <c r="A1620" t="inlineStr">
        <is>
          <t>F-2025-01619</t>
        </is>
      </c>
      <c r="B1620" s="12" t="n">
        <v>46226</v>
      </c>
      <c r="C1620" t="inlineStr">
        <is>
          <t>SC DACTECH SOLUTIONS SRL</t>
        </is>
      </c>
      <c r="D1620" t="inlineStr">
        <is>
          <t>Argeș</t>
        </is>
      </c>
      <c r="E1620" t="inlineStr">
        <is>
          <t>PRD-005</t>
        </is>
      </c>
      <c r="F1620" t="inlineStr">
        <is>
          <t>Dezinfectant maini 5L</t>
        </is>
      </c>
      <c r="G1620" t="inlineStr">
        <is>
          <t>Produse farmaceutice</t>
        </is>
      </c>
      <c r="H1620" t="n">
        <v>1</v>
      </c>
      <c r="I1620" t="n">
        <v>251.7</v>
      </c>
      <c r="J1620" t="n">
        <v>251.7</v>
      </c>
      <c r="K1620" s="13" t="n">
        <v>0.09</v>
      </c>
      <c r="L1620" t="n">
        <v>22.65</v>
      </c>
      <c r="M1620" t="n">
        <v>274.35</v>
      </c>
      <c r="N1620" t="inlineStr">
        <is>
          <t>RON</t>
        </is>
      </c>
      <c r="O1620" t="inlineStr">
        <is>
          <t>Pitești</t>
        </is>
      </c>
      <c r="P1620" s="12" t="n">
        <v>46241</v>
      </c>
      <c r="Q1620">
        <f>IF(COUNTIF(tbl_Localitati[oras_oficial],[@oras])=0,"ORAS NEALINIAT",IF(XLOOKUP([@oras],tbl_Localitati[oras_oficial],tbl_Localitati[judet],"?")&lt;&gt;[@judet],"JUDET NECORESPUNZATOR",""))</f>
        <v/>
      </c>
      <c r="R1620">
        <f>IF(XLOOKUP([@categorie],tbl_RegulriTVA[categorie],tbl_RegulriTVA[cota_legala],-1)&lt;&gt;[@cota_tva],"TVA GRESIT","")</f>
        <v/>
      </c>
      <c r="S1620">
        <f>IF([@data_scadentei]&lt;[@data_factura],"SCADENTA INAINTEA FACTURII","")</f>
        <v/>
      </c>
      <c r="T1620">
        <f>IF(NETWORKDAYS.INTL([@data_factura],[@data_factura],1,tbl_SarbatoriLegale[data])=0,"ZI NELUCRATOARE","")</f>
        <v/>
      </c>
      <c r="U1620">
        <f>IF([@motiv_anomalie]="","OK","DE INVESTIGAT")</f>
        <v/>
      </c>
      <c r="V1620">
        <f>TEXTJOIN("; ",TRUE,[@flag_oras],[@flag_tva],[@flag_scadenta],[@flag_zi])</f>
        <v/>
      </c>
    </row>
    <row r="1621">
      <c r="A1621" t="inlineStr">
        <is>
          <t>F-2025-01620</t>
        </is>
      </c>
      <c r="B1621" s="12" t="n">
        <v>46112</v>
      </c>
      <c r="C1621" t="inlineStr">
        <is>
          <t>SC AROMET TRADING SRL</t>
        </is>
      </c>
      <c r="D1621" t="inlineStr">
        <is>
          <t>Alba</t>
        </is>
      </c>
      <c r="E1621" t="inlineStr">
        <is>
          <t>PRD-009</t>
        </is>
      </c>
      <c r="F1621" t="inlineStr">
        <is>
          <t>Videoproiector sala</t>
        </is>
      </c>
      <c r="G1621" t="inlineStr">
        <is>
          <t>Echipamente birou</t>
        </is>
      </c>
      <c r="H1621" t="n">
        <v>5</v>
      </c>
      <c r="I1621" t="n">
        <v>26.99</v>
      </c>
      <c r="J1621" t="n">
        <v>134.95</v>
      </c>
      <c r="K1621" s="13" t="n">
        <v>0.19</v>
      </c>
      <c r="L1621" t="n">
        <v>25.64</v>
      </c>
      <c r="M1621" t="n">
        <v>160.59</v>
      </c>
      <c r="N1621" t="inlineStr">
        <is>
          <t>RON</t>
        </is>
      </c>
      <c r="O1621" t="inlineStr">
        <is>
          <t>Alba Iulia</t>
        </is>
      </c>
      <c r="P1621" s="12" t="n">
        <v>46142</v>
      </c>
      <c r="Q1621">
        <f>IF(COUNTIF(tbl_Localitati[oras_oficial],[@oras])=0,"ORAS NEALINIAT",IF(XLOOKUP([@oras],tbl_Localitati[oras_oficial],tbl_Localitati[judet],"?")&lt;&gt;[@judet],"JUDET NECORESPUNZATOR",""))</f>
        <v/>
      </c>
      <c r="R1621">
        <f>IF(XLOOKUP([@categorie],tbl_RegulriTVA[categorie],tbl_RegulriTVA[cota_legala],-1)&lt;&gt;[@cota_tva],"TVA GRESIT","")</f>
        <v/>
      </c>
      <c r="S1621">
        <f>IF([@data_scadentei]&lt;[@data_factura],"SCADENTA INAINTEA FACTURII","")</f>
        <v/>
      </c>
      <c r="T1621">
        <f>IF(NETWORKDAYS.INTL([@data_factura],[@data_factura],1,tbl_SarbatoriLegale[data])=0,"ZI NELUCRATOARE","")</f>
        <v/>
      </c>
      <c r="U1621">
        <f>IF([@motiv_anomalie]="","OK","DE INVESTIGAT")</f>
        <v/>
      </c>
      <c r="V1621">
        <f>TEXTJOIN("; ",TRUE,[@flag_oras],[@flag_tva],[@flag_scadenta],[@flag_zi])</f>
        <v/>
      </c>
    </row>
    <row r="1622">
      <c r="A1622" t="inlineStr">
        <is>
          <t>F-2025-01621</t>
        </is>
      </c>
      <c r="B1622" s="12" t="n">
        <v>46296</v>
      </c>
      <c r="C1622" t="inlineStr">
        <is>
          <t>SC SOLARIS ENERGY SRL</t>
        </is>
      </c>
      <c r="D1622" t="inlineStr">
        <is>
          <t>Prahova</t>
        </is>
      </c>
      <c r="E1622" t="inlineStr">
        <is>
          <t>PRD-001</t>
        </is>
      </c>
      <c r="F1622" t="inlineStr">
        <is>
          <t>Multifunctionala laser</t>
        </is>
      </c>
      <c r="G1622" t="inlineStr">
        <is>
          <t>Echipamente birou</t>
        </is>
      </c>
      <c r="H1622" t="n">
        <v>1</v>
      </c>
      <c r="I1622" t="n">
        <v>2350.38</v>
      </c>
      <c r="J1622" t="n">
        <v>2350.38</v>
      </c>
      <c r="K1622" s="13" t="n">
        <v>0.19</v>
      </c>
      <c r="L1622" t="n">
        <v>446.57</v>
      </c>
      <c r="M1622" t="n">
        <v>2796.95</v>
      </c>
      <c r="N1622" t="inlineStr">
        <is>
          <t>RON</t>
        </is>
      </c>
      <c r="O1622" t="inlineStr">
        <is>
          <t>Câmpina</t>
        </is>
      </c>
      <c r="P1622" s="12" t="n">
        <v>46326</v>
      </c>
      <c r="Q1622">
        <f>IF(COUNTIF(tbl_Localitati[oras_oficial],[@oras])=0,"ORAS NEALINIAT",IF(XLOOKUP([@oras],tbl_Localitati[oras_oficial],tbl_Localitati[judet],"?")&lt;&gt;[@judet],"JUDET NECORESPUNZATOR",""))</f>
        <v/>
      </c>
      <c r="R1622">
        <f>IF(XLOOKUP([@categorie],tbl_RegulriTVA[categorie],tbl_RegulriTVA[cota_legala],-1)&lt;&gt;[@cota_tva],"TVA GRESIT","")</f>
        <v/>
      </c>
      <c r="S1622">
        <f>IF([@data_scadentei]&lt;[@data_factura],"SCADENTA INAINTEA FACTURII","")</f>
        <v/>
      </c>
      <c r="T1622">
        <f>IF(NETWORKDAYS.INTL([@data_factura],[@data_factura],1,tbl_SarbatoriLegale[data])=0,"ZI NELUCRATOARE","")</f>
        <v/>
      </c>
      <c r="U1622">
        <f>IF([@motiv_anomalie]="","OK","DE INVESTIGAT")</f>
        <v/>
      </c>
      <c r="V1622">
        <f>TEXTJOIN("; ",TRUE,[@flag_oras],[@flag_tva],[@flag_scadenta],[@flag_zi])</f>
        <v/>
      </c>
    </row>
    <row r="1623">
      <c r="A1623" t="inlineStr">
        <is>
          <t>F-2025-01622</t>
        </is>
      </c>
      <c r="B1623" s="12" t="n">
        <v>46168</v>
      </c>
      <c r="C1623" t="inlineStr">
        <is>
          <t>SC OMEGA SOFT SRL</t>
        </is>
      </c>
      <c r="D1623" t="inlineStr">
        <is>
          <t>Dolj</t>
        </is>
      </c>
      <c r="E1623" t="inlineStr">
        <is>
          <t>PRD-007</t>
        </is>
      </c>
      <c r="F1623" t="inlineStr">
        <is>
          <t>Dezinfectant maini 5L</t>
        </is>
      </c>
      <c r="G1623" t="inlineStr">
        <is>
          <t>Produse farmaceutice</t>
        </is>
      </c>
      <c r="H1623" t="n">
        <v>5</v>
      </c>
      <c r="I1623" t="n">
        <v>171.66</v>
      </c>
      <c r="J1623" t="n">
        <v>858.3</v>
      </c>
      <c r="K1623" s="13" t="n">
        <v>0.09</v>
      </c>
      <c r="L1623" t="n">
        <v>77.25</v>
      </c>
      <c r="M1623" t="n">
        <v>935.55</v>
      </c>
      <c r="N1623" t="inlineStr">
        <is>
          <t>RON</t>
        </is>
      </c>
      <c r="O1623" t="inlineStr">
        <is>
          <t>Craiova</t>
        </is>
      </c>
      <c r="P1623" s="12" t="n">
        <v>46198</v>
      </c>
      <c r="Q1623">
        <f>IF(COUNTIF(tbl_Localitati[oras_oficial],[@oras])=0,"ORAS NEALINIAT",IF(XLOOKUP([@oras],tbl_Localitati[oras_oficial],tbl_Localitati[judet],"?")&lt;&gt;[@judet],"JUDET NECORESPUNZATOR",""))</f>
        <v/>
      </c>
      <c r="R1623">
        <f>IF(XLOOKUP([@categorie],tbl_RegulriTVA[categorie],tbl_RegulriTVA[cota_legala],-1)&lt;&gt;[@cota_tva],"TVA GRESIT","")</f>
        <v/>
      </c>
      <c r="S1623">
        <f>IF([@data_scadentei]&lt;[@data_factura],"SCADENTA INAINTEA FACTURII","")</f>
        <v/>
      </c>
      <c r="T1623">
        <f>IF(NETWORKDAYS.INTL([@data_factura],[@data_factura],1,tbl_SarbatoriLegale[data])=0,"ZI NELUCRATOARE","")</f>
        <v/>
      </c>
      <c r="U1623">
        <f>IF([@motiv_anomalie]="","OK","DE INVESTIGAT")</f>
        <v/>
      </c>
      <c r="V1623">
        <f>TEXTJOIN("; ",TRUE,[@flag_oras],[@flag_tva],[@flag_scadenta],[@flag_zi])</f>
        <v/>
      </c>
    </row>
    <row r="1624">
      <c r="A1624" t="inlineStr">
        <is>
          <t>F-2025-01623</t>
        </is>
      </c>
      <c r="B1624" s="12" t="n">
        <v>46359</v>
      </c>
      <c r="C1624" t="inlineStr">
        <is>
          <t>SC RAPID LOGISTIC SA</t>
        </is>
      </c>
      <c r="D1624" t="inlineStr">
        <is>
          <t>Prahova</t>
        </is>
      </c>
      <c r="E1624" t="inlineStr">
        <is>
          <t>PRD-005</t>
        </is>
      </c>
      <c r="F1624" t="inlineStr">
        <is>
          <t>Abonament suita cloud</t>
        </is>
      </c>
      <c r="G1624" t="inlineStr">
        <is>
          <t>Licențe software</t>
        </is>
      </c>
      <c r="H1624" t="n">
        <v>2</v>
      </c>
      <c r="I1624" t="n">
        <v>241.4</v>
      </c>
      <c r="J1624" t="n">
        <v>482.8</v>
      </c>
      <c r="K1624" s="13" t="n">
        <v>0.19</v>
      </c>
      <c r="L1624" t="n">
        <v>91.73</v>
      </c>
      <c r="M1624" t="n">
        <v>574.53</v>
      </c>
      <c r="N1624" t="inlineStr">
        <is>
          <t>RON</t>
        </is>
      </c>
      <c r="O1624" t="inlineStr">
        <is>
          <t>Ploiești</t>
        </is>
      </c>
      <c r="P1624" s="12" t="n">
        <v>46374</v>
      </c>
      <c r="Q1624">
        <f>IF(COUNTIF(tbl_Localitati[oras_oficial],[@oras])=0,"ORAS NEALINIAT",IF(XLOOKUP([@oras],tbl_Localitati[oras_oficial],tbl_Localitati[judet],"?")&lt;&gt;[@judet],"JUDET NECORESPUNZATOR",""))</f>
        <v/>
      </c>
      <c r="R1624">
        <f>IF(XLOOKUP([@categorie],tbl_RegulriTVA[categorie],tbl_RegulriTVA[cota_legala],-1)&lt;&gt;[@cota_tva],"TVA GRESIT","")</f>
        <v/>
      </c>
      <c r="S1624">
        <f>IF([@data_scadentei]&lt;[@data_factura],"SCADENTA INAINTEA FACTURII","")</f>
        <v/>
      </c>
      <c r="T1624">
        <f>IF(NETWORKDAYS.INTL([@data_factura],[@data_factura],1,tbl_SarbatoriLegale[data])=0,"ZI NELUCRATOARE","")</f>
        <v/>
      </c>
      <c r="U1624">
        <f>IF([@motiv_anomalie]="","OK","DE INVESTIGAT")</f>
        <v/>
      </c>
      <c r="V1624">
        <f>TEXTJOIN("; ",TRUE,[@flag_oras],[@flag_tva],[@flag_scadenta],[@flag_zi])</f>
        <v/>
      </c>
    </row>
    <row r="1625">
      <c r="A1625" t="inlineStr">
        <is>
          <t>F-2025-01624</t>
        </is>
      </c>
      <c r="B1625" s="12" t="n">
        <v>46191</v>
      </c>
      <c r="C1625" t="inlineStr">
        <is>
          <t>SC DACTECH SOLUTIONS SRL</t>
        </is>
      </c>
      <c r="D1625" t="inlineStr">
        <is>
          <t>Argeș</t>
        </is>
      </c>
      <c r="E1625" t="inlineStr">
        <is>
          <t>PRD-009</t>
        </is>
      </c>
      <c r="F1625" t="inlineStr">
        <is>
          <t>Masti protectie cutie</t>
        </is>
      </c>
      <c r="G1625" t="inlineStr">
        <is>
          <t>Produse farmaceutice</t>
        </is>
      </c>
      <c r="H1625" t="n">
        <v>20</v>
      </c>
      <c r="I1625" t="n">
        <v>27.45</v>
      </c>
      <c r="J1625" t="n">
        <v>549</v>
      </c>
      <c r="K1625" s="13" t="n">
        <v>0.09</v>
      </c>
      <c r="L1625" t="n">
        <v>49.41</v>
      </c>
      <c r="M1625" t="n">
        <v>598.41</v>
      </c>
      <c r="N1625" t="inlineStr">
        <is>
          <t>RON</t>
        </is>
      </c>
      <c r="O1625" t="inlineStr">
        <is>
          <t>Pitești</t>
        </is>
      </c>
      <c r="P1625" s="12" t="n">
        <v>46236</v>
      </c>
      <c r="Q1625">
        <f>IF(COUNTIF(tbl_Localitati[oras_oficial],[@oras])=0,"ORAS NEALINIAT",IF(XLOOKUP([@oras],tbl_Localitati[oras_oficial],tbl_Localitati[judet],"?")&lt;&gt;[@judet],"JUDET NECORESPUNZATOR",""))</f>
        <v/>
      </c>
      <c r="R1625">
        <f>IF(XLOOKUP([@categorie],tbl_RegulriTVA[categorie],tbl_RegulriTVA[cota_legala],-1)&lt;&gt;[@cota_tva],"TVA GRESIT","")</f>
        <v/>
      </c>
      <c r="S1625">
        <f>IF([@data_scadentei]&lt;[@data_factura],"SCADENTA INAINTEA FACTURII","")</f>
        <v/>
      </c>
      <c r="T1625">
        <f>IF(NETWORKDAYS.INTL([@data_factura],[@data_factura],1,tbl_SarbatoriLegale[data])=0,"ZI NELUCRATOARE","")</f>
        <v/>
      </c>
      <c r="U1625">
        <f>IF([@motiv_anomalie]="","OK","DE INVESTIGAT")</f>
        <v/>
      </c>
      <c r="V1625">
        <f>TEXTJOIN("; ",TRUE,[@flag_oras],[@flag_tva],[@flag_scadenta],[@flag_zi])</f>
        <v/>
      </c>
    </row>
    <row r="1626">
      <c r="A1626" t="inlineStr">
        <is>
          <t>F-2025-01625</t>
        </is>
      </c>
      <c r="B1626" s="12" t="n">
        <v>46283</v>
      </c>
      <c r="C1626" t="inlineStr">
        <is>
          <t>SC AROMET TRADING SRL</t>
        </is>
      </c>
      <c r="D1626" t="inlineStr">
        <is>
          <t>Alba</t>
        </is>
      </c>
      <c r="E1626" t="inlineStr">
        <is>
          <t>PRD-005</t>
        </is>
      </c>
      <c r="F1626" t="inlineStr">
        <is>
          <t>Audit infrastructura</t>
        </is>
      </c>
      <c r="G1626" t="inlineStr">
        <is>
          <t>Servicii consultanță</t>
        </is>
      </c>
      <c r="H1626" t="n">
        <v>2</v>
      </c>
      <c r="I1626" t="n">
        <v>241.21</v>
      </c>
      <c r="J1626" t="n">
        <v>482.42</v>
      </c>
      <c r="K1626" s="13" t="n">
        <v>0.19</v>
      </c>
      <c r="L1626" t="n">
        <v>91.66</v>
      </c>
      <c r="M1626" t="n">
        <v>574.08</v>
      </c>
      <c r="N1626" t="inlineStr">
        <is>
          <t>RON</t>
        </is>
      </c>
      <c r="O1626" t="inlineStr">
        <is>
          <t>Alba Iulia</t>
        </is>
      </c>
      <c r="P1626" s="12" t="n">
        <v>46313</v>
      </c>
      <c r="Q1626">
        <f>IF(COUNTIF(tbl_Localitati[oras_oficial],[@oras])=0,"ORAS NEALINIAT",IF(XLOOKUP([@oras],tbl_Localitati[oras_oficial],tbl_Localitati[judet],"?")&lt;&gt;[@judet],"JUDET NECORESPUNZATOR",""))</f>
        <v/>
      </c>
      <c r="R1626">
        <f>IF(XLOOKUP([@categorie],tbl_RegulriTVA[categorie],tbl_RegulriTVA[cota_legala],-1)&lt;&gt;[@cota_tva],"TVA GRESIT","")</f>
        <v/>
      </c>
      <c r="S1626">
        <f>IF([@data_scadentei]&lt;[@data_factura],"SCADENTA INAINTEA FACTURII","")</f>
        <v/>
      </c>
      <c r="T1626">
        <f>IF(NETWORKDAYS.INTL([@data_factura],[@data_factura],1,tbl_SarbatoriLegale[data])=0,"ZI NELUCRATOARE","")</f>
        <v/>
      </c>
      <c r="U1626">
        <f>IF([@motiv_anomalie]="","OK","DE INVESTIGAT")</f>
        <v/>
      </c>
      <c r="V1626">
        <f>TEXTJOIN("; ",TRUE,[@flag_oras],[@flag_tva],[@flag_scadenta],[@flag_zi])</f>
        <v/>
      </c>
    </row>
    <row r="1627">
      <c r="A1627" t="inlineStr">
        <is>
          <t>F-2025-01626</t>
        </is>
      </c>
      <c r="B1627" s="12" t="n">
        <v>46094</v>
      </c>
      <c r="C1627" t="inlineStr">
        <is>
          <t>SC DACTECH SOLUTIONS SRL</t>
        </is>
      </c>
      <c r="D1627" t="inlineStr">
        <is>
          <t>Argeș</t>
        </is>
      </c>
      <c r="E1627" t="inlineStr">
        <is>
          <t>PRD-007</t>
        </is>
      </c>
      <c r="F1627" t="inlineStr">
        <is>
          <t>Suport tehnic anual</t>
        </is>
      </c>
      <c r="G1627" t="inlineStr">
        <is>
          <t>Servicii consultanță</t>
        </is>
      </c>
      <c r="H1627" t="n">
        <v>5</v>
      </c>
      <c r="I1627" t="n">
        <v>184.99</v>
      </c>
      <c r="J1627" t="n">
        <v>924.95</v>
      </c>
      <c r="K1627" s="13" t="n">
        <v>0.19</v>
      </c>
      <c r="L1627" t="n">
        <v>175.74</v>
      </c>
      <c r="M1627" t="n">
        <v>1100.69</v>
      </c>
      <c r="N1627" t="inlineStr">
        <is>
          <t>RON</t>
        </is>
      </c>
      <c r="O1627" t="inlineStr">
        <is>
          <t>Pitești</t>
        </is>
      </c>
      <c r="P1627" s="12" t="n">
        <v>46139</v>
      </c>
      <c r="Q1627">
        <f>IF(COUNTIF(tbl_Localitati[oras_oficial],[@oras])=0,"ORAS NEALINIAT",IF(XLOOKUP([@oras],tbl_Localitati[oras_oficial],tbl_Localitati[judet],"?")&lt;&gt;[@judet],"JUDET NECORESPUNZATOR",""))</f>
        <v/>
      </c>
      <c r="R1627">
        <f>IF(XLOOKUP([@categorie],tbl_RegulriTVA[categorie],tbl_RegulriTVA[cota_legala],-1)&lt;&gt;[@cota_tva],"TVA GRESIT","")</f>
        <v/>
      </c>
      <c r="S1627">
        <f>IF([@data_scadentei]&lt;[@data_factura],"SCADENTA INAINTEA FACTURII","")</f>
        <v/>
      </c>
      <c r="T1627">
        <f>IF(NETWORKDAYS.INTL([@data_factura],[@data_factura],1,tbl_SarbatoriLegale[data])=0,"ZI NELUCRATOARE","")</f>
        <v/>
      </c>
      <c r="U1627">
        <f>IF([@motiv_anomalie]="","OK","DE INVESTIGAT")</f>
        <v/>
      </c>
      <c r="V1627">
        <f>TEXTJOIN("; ",TRUE,[@flag_oras],[@flag_tva],[@flag_scadenta],[@flag_zi])</f>
        <v/>
      </c>
    </row>
    <row r="1628">
      <c r="A1628" t="inlineStr">
        <is>
          <t>F-2025-01627</t>
        </is>
      </c>
      <c r="B1628" s="12" t="n">
        <v>46296</v>
      </c>
      <c r="C1628" t="inlineStr">
        <is>
          <t>SC DACTECH SOLUTIONS SRL</t>
        </is>
      </c>
      <c r="D1628" t="inlineStr">
        <is>
          <t>Argeș</t>
        </is>
      </c>
      <c r="E1628" t="inlineStr">
        <is>
          <t>PRD-005</t>
        </is>
      </c>
      <c r="F1628" t="inlineStr">
        <is>
          <t>Licenta ERP contabilitate</t>
        </is>
      </c>
      <c r="G1628" t="inlineStr">
        <is>
          <t>Licențe software</t>
        </is>
      </c>
      <c r="H1628" t="n">
        <v>1</v>
      </c>
      <c r="I1628" t="n">
        <v>261.41</v>
      </c>
      <c r="J1628" t="n">
        <v>261.41</v>
      </c>
      <c r="K1628" s="13" t="n">
        <v>0.19</v>
      </c>
      <c r="L1628" t="n">
        <v>49.67</v>
      </c>
      <c r="M1628" t="n">
        <v>311.08</v>
      </c>
      <c r="N1628" t="inlineStr">
        <is>
          <t>RON</t>
        </is>
      </c>
      <c r="O1628" t="inlineStr">
        <is>
          <t>Pitești</t>
        </is>
      </c>
      <c r="P1628" s="12" t="n">
        <v>46326</v>
      </c>
      <c r="Q1628">
        <f>IF(COUNTIF(tbl_Localitati[oras_oficial],[@oras])=0,"ORAS NEALINIAT",IF(XLOOKUP([@oras],tbl_Localitati[oras_oficial],tbl_Localitati[judet],"?")&lt;&gt;[@judet],"JUDET NECORESPUNZATOR",""))</f>
        <v/>
      </c>
      <c r="R1628">
        <f>IF(XLOOKUP([@categorie],tbl_RegulriTVA[categorie],tbl_RegulriTVA[cota_legala],-1)&lt;&gt;[@cota_tva],"TVA GRESIT","")</f>
        <v/>
      </c>
      <c r="S1628">
        <f>IF([@data_scadentei]&lt;[@data_factura],"SCADENTA INAINTEA FACTURII","")</f>
        <v/>
      </c>
      <c r="T1628">
        <f>IF(NETWORKDAYS.INTL([@data_factura],[@data_factura],1,tbl_SarbatoriLegale[data])=0,"ZI NELUCRATOARE","")</f>
        <v/>
      </c>
      <c r="U1628">
        <f>IF([@motiv_anomalie]="","OK","DE INVESTIGAT")</f>
        <v/>
      </c>
      <c r="V1628">
        <f>TEXTJOIN("; ",TRUE,[@flag_oras],[@flag_tva],[@flag_scadenta],[@flag_zi])</f>
        <v/>
      </c>
    </row>
    <row r="1629">
      <c r="A1629" t="inlineStr">
        <is>
          <t>F-2025-01628</t>
        </is>
      </c>
      <c r="B1629" s="12" t="n">
        <v>46365</v>
      </c>
      <c r="C1629" t="inlineStr">
        <is>
          <t>SC DACTECH SOLUTIONS SRL</t>
        </is>
      </c>
      <c r="D1629" t="inlineStr">
        <is>
          <t>Argeș</t>
        </is>
      </c>
      <c r="E1629" t="inlineStr">
        <is>
          <t>PRD-004</t>
        </is>
      </c>
      <c r="F1629" t="inlineStr">
        <is>
          <t>Audit infrastructura</t>
        </is>
      </c>
      <c r="G1629" t="inlineStr">
        <is>
          <t>Servicii consultanță</t>
        </is>
      </c>
      <c r="H1629" t="n">
        <v>1</v>
      </c>
      <c r="I1629" t="n">
        <v>894.78</v>
      </c>
      <c r="J1629" t="n">
        <v>894.78</v>
      </c>
      <c r="K1629" s="13" t="n">
        <v>0.19</v>
      </c>
      <c r="L1629" t="n">
        <v>170.01</v>
      </c>
      <c r="M1629" t="n">
        <v>1064.79</v>
      </c>
      <c r="N1629" t="inlineStr">
        <is>
          <t>RON</t>
        </is>
      </c>
      <c r="O1629" t="inlineStr">
        <is>
          <t>Pitești</t>
        </is>
      </c>
      <c r="P1629" s="12" t="n">
        <v>46410</v>
      </c>
      <c r="Q1629">
        <f>IF(COUNTIF(tbl_Localitati[oras_oficial],[@oras])=0,"ORAS NEALINIAT",IF(XLOOKUP([@oras],tbl_Localitati[oras_oficial],tbl_Localitati[judet],"?")&lt;&gt;[@judet],"JUDET NECORESPUNZATOR",""))</f>
        <v/>
      </c>
      <c r="R1629">
        <f>IF(XLOOKUP([@categorie],tbl_RegulriTVA[categorie],tbl_RegulriTVA[cota_legala],-1)&lt;&gt;[@cota_tva],"TVA GRESIT","")</f>
        <v/>
      </c>
      <c r="S1629">
        <f>IF([@data_scadentei]&lt;[@data_factura],"SCADENTA INAINTEA FACTURII","")</f>
        <v/>
      </c>
      <c r="T1629">
        <f>IF(NETWORKDAYS.INTL([@data_factura],[@data_factura],1,tbl_SarbatoriLegale[data])=0,"ZI NELUCRATOARE","")</f>
        <v/>
      </c>
      <c r="U1629">
        <f>IF([@motiv_anomalie]="","OK","DE INVESTIGAT")</f>
        <v/>
      </c>
      <c r="V1629">
        <f>TEXTJOIN("; ",TRUE,[@flag_oras],[@flag_tva],[@flag_scadenta],[@flag_zi])</f>
        <v/>
      </c>
    </row>
    <row r="1630">
      <c r="A1630" t="inlineStr">
        <is>
          <t>F-2025-01629</t>
        </is>
      </c>
      <c r="B1630" s="12" t="n">
        <v>46224</v>
      </c>
      <c r="C1630" t="inlineStr">
        <is>
          <t>SC ELECTROBUILD SRL</t>
        </is>
      </c>
      <c r="D1630" t="inlineStr">
        <is>
          <t>Bacău</t>
        </is>
      </c>
      <c r="E1630" t="inlineStr">
        <is>
          <t>PRD-003</t>
        </is>
      </c>
      <c r="F1630" t="inlineStr">
        <is>
          <t>Server rack 1U</t>
        </is>
      </c>
      <c r="G1630" t="inlineStr">
        <is>
          <t>Hardware IT</t>
        </is>
      </c>
      <c r="H1630" t="n">
        <v>2</v>
      </c>
      <c r="I1630" t="n">
        <v>4192.86</v>
      </c>
      <c r="J1630" t="n">
        <v>8385.719999999999</v>
      </c>
      <c r="K1630" s="13" t="n">
        <v>0.19</v>
      </c>
      <c r="L1630" t="n">
        <v>1593.29</v>
      </c>
      <c r="M1630" t="n">
        <v>9979.01</v>
      </c>
      <c r="N1630" t="inlineStr">
        <is>
          <t>RON</t>
        </is>
      </c>
      <c r="O1630" t="inlineStr">
        <is>
          <t>Bacău</t>
        </is>
      </c>
      <c r="P1630" s="12" t="n">
        <v>46254</v>
      </c>
      <c r="Q1630">
        <f>IF(COUNTIF(tbl_Localitati[oras_oficial],[@oras])=0,"ORAS NEALINIAT",IF(XLOOKUP([@oras],tbl_Localitati[oras_oficial],tbl_Localitati[judet],"?")&lt;&gt;[@judet],"JUDET NECORESPUNZATOR",""))</f>
        <v/>
      </c>
      <c r="R1630">
        <f>IF(XLOOKUP([@categorie],tbl_RegulriTVA[categorie],tbl_RegulriTVA[cota_legala],-1)&lt;&gt;[@cota_tva],"TVA GRESIT","")</f>
        <v/>
      </c>
      <c r="S1630">
        <f>IF([@data_scadentei]&lt;[@data_factura],"SCADENTA INAINTEA FACTURII","")</f>
        <v/>
      </c>
      <c r="T1630">
        <f>IF(NETWORKDAYS.INTL([@data_factura],[@data_factura],1,tbl_SarbatoriLegale[data])=0,"ZI NELUCRATOARE","")</f>
        <v/>
      </c>
      <c r="U1630">
        <f>IF([@motiv_anomalie]="","OK","DE INVESTIGAT")</f>
        <v/>
      </c>
      <c r="V1630">
        <f>TEXTJOIN("; ",TRUE,[@flag_oras],[@flag_tva],[@flag_scadenta],[@flag_zi])</f>
        <v/>
      </c>
    </row>
    <row r="1631">
      <c r="A1631" t="inlineStr">
        <is>
          <t>F-2025-01630</t>
        </is>
      </c>
      <c r="B1631" s="12" t="n">
        <v>46328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Licenta ERP contabilitate</t>
        </is>
      </c>
      <c r="G1631" t="inlineStr">
        <is>
          <t>Licențe software</t>
        </is>
      </c>
      <c r="H1631" t="n">
        <v>1</v>
      </c>
      <c r="I1631" t="n">
        <v>446.69</v>
      </c>
      <c r="J1631" t="n">
        <v>446.69</v>
      </c>
      <c r="K1631" s="13" t="n">
        <v>0.19</v>
      </c>
      <c r="L1631" t="n">
        <v>84.87</v>
      </c>
      <c r="M1631" t="n">
        <v>531.5599999999999</v>
      </c>
      <c r="N1631" t="inlineStr">
        <is>
          <t>RON</t>
        </is>
      </c>
      <c r="O1631" t="inlineStr">
        <is>
          <t>Sibiu</t>
        </is>
      </c>
      <c r="P1631" s="12" t="n">
        <v>46318</v>
      </c>
      <c r="Q1631">
        <f>IF(COUNTIF(tbl_Localitati[oras_oficial],[@oras])=0,"ORAS NEALINIAT",IF(XLOOKUP([@oras],tbl_Localitati[oras_oficial],tbl_Localitati[judet],"?")&lt;&gt;[@judet],"JUDET NECORESPUNZATOR",""))</f>
        <v/>
      </c>
      <c r="R1631">
        <f>IF(XLOOKUP([@categorie],tbl_RegulriTVA[categorie],tbl_RegulriTVA[cota_legala],-1)&lt;&gt;[@cota_tva],"TVA GRESIT","")</f>
        <v/>
      </c>
      <c r="S1631">
        <f>IF([@data_scadentei]&lt;[@data_factura],"SCADENTA INAINTEA FACTURII","")</f>
        <v/>
      </c>
      <c r="T1631">
        <f>IF(NETWORKDAYS.INTL([@data_factura],[@data_factura],1,tbl_SarbatoriLegale[data])=0,"ZI NELUCRATOARE","")</f>
        <v/>
      </c>
      <c r="U1631">
        <f>IF([@motiv_anomalie]="","OK","DE INVESTIGAT")</f>
        <v/>
      </c>
      <c r="V1631">
        <f>TEXTJOIN("; ",TRUE,[@flag_oras],[@flag_tva],[@flag_scadenta],[@flag_zi])</f>
        <v/>
      </c>
    </row>
    <row r="1632">
      <c r="A1632" t="inlineStr">
        <is>
          <t>F-2025-01631</t>
        </is>
      </c>
      <c r="B1632" s="12" t="n">
        <v>46027</v>
      </c>
      <c r="C1632" t="inlineStr">
        <is>
          <t>SC SOLARIS ENERGY SRL</t>
        </is>
      </c>
      <c r="D1632" t="inlineStr">
        <is>
          <t>Prahova</t>
        </is>
      </c>
      <c r="E1632" t="inlineStr">
        <is>
          <t>PRD-006</t>
        </is>
      </c>
      <c r="F1632" t="inlineStr">
        <is>
          <t>Telefon IP birou</t>
        </is>
      </c>
      <c r="G1632" t="inlineStr">
        <is>
          <t>Echipamente birou</t>
        </is>
      </c>
      <c r="H1632" t="n">
        <v>10</v>
      </c>
      <c r="I1632" t="n">
        <v>751.4</v>
      </c>
      <c r="J1632" t="n">
        <v>7514</v>
      </c>
      <c r="K1632" s="13" t="n">
        <v>0.19</v>
      </c>
      <c r="L1632" t="n">
        <v>1427.66</v>
      </c>
      <c r="M1632" t="n">
        <v>8941.66</v>
      </c>
      <c r="N1632" t="inlineStr">
        <is>
          <t>RON</t>
        </is>
      </c>
      <c r="O1632" t="inlineStr">
        <is>
          <t>Câmpina</t>
        </is>
      </c>
      <c r="P1632" s="12" t="n">
        <v>46087</v>
      </c>
      <c r="Q1632">
        <f>IF(COUNTIF(tbl_Localitati[oras_oficial],[@oras])=0,"ORAS NEALINIAT",IF(XLOOKUP([@oras],tbl_Localitati[oras_oficial],tbl_Localitati[judet],"?")&lt;&gt;[@judet],"JUDET NECORESPUNZATOR",""))</f>
        <v/>
      </c>
      <c r="R1632">
        <f>IF(XLOOKUP([@categorie],tbl_RegulriTVA[categorie],tbl_RegulriTVA[cota_legala],-1)&lt;&gt;[@cota_tva],"TVA GRESIT","")</f>
        <v/>
      </c>
      <c r="S1632">
        <f>IF([@data_scadentei]&lt;[@data_factura],"SCADENTA INAINTEA FACTURII","")</f>
        <v/>
      </c>
      <c r="T1632">
        <f>IF(NETWORKDAYS.INTL([@data_factura],[@data_factura],1,tbl_SarbatoriLegale[data])=0,"ZI NELUCRATOARE","")</f>
        <v/>
      </c>
      <c r="U1632">
        <f>IF([@motiv_anomalie]="","OK","DE INVESTIGAT")</f>
        <v/>
      </c>
      <c r="V1632">
        <f>TEXTJOIN("; ",TRUE,[@flag_oras],[@flag_tva],[@flag_scadenta],[@flag_zi])</f>
        <v/>
      </c>
    </row>
    <row r="1633">
      <c r="A1633" t="inlineStr">
        <is>
          <t>F-2025-01632</t>
        </is>
      </c>
      <c r="B1633" s="12" t="n">
        <v>46094</v>
      </c>
      <c r="C1633" t="inlineStr">
        <is>
          <t>SC OMEGA SOFT SRL</t>
        </is>
      </c>
      <c r="D1633" t="inlineStr">
        <is>
          <t>Dolj</t>
        </is>
      </c>
      <c r="E1633" t="inlineStr">
        <is>
          <t>PRD-005</t>
        </is>
      </c>
      <c r="F1633" t="inlineStr">
        <is>
          <t>Masti protectie cutie</t>
        </is>
      </c>
      <c r="G1633" t="inlineStr">
        <is>
          <t>Produse farmaceutice</t>
        </is>
      </c>
      <c r="H1633" t="n">
        <v>1</v>
      </c>
      <c r="I1633" t="n">
        <v>251.03</v>
      </c>
      <c r="J1633" t="n">
        <v>251.03</v>
      </c>
      <c r="K1633" s="13" t="n">
        <v>0.09</v>
      </c>
      <c r="L1633" t="n">
        <v>22.59</v>
      </c>
      <c r="M1633" t="n">
        <v>273.62</v>
      </c>
      <c r="N1633" t="inlineStr">
        <is>
          <t>RON</t>
        </is>
      </c>
      <c r="O1633" t="inlineStr">
        <is>
          <t>Craiova</t>
        </is>
      </c>
      <c r="P1633" s="12" t="n">
        <v>46109</v>
      </c>
      <c r="Q1633">
        <f>IF(COUNTIF(tbl_Localitati[oras_oficial],[@oras])=0,"ORAS NEALINIAT",IF(XLOOKUP([@oras],tbl_Localitati[oras_oficial],tbl_Localitati[judet],"?")&lt;&gt;[@judet],"JUDET NECORESPUNZATOR",""))</f>
        <v/>
      </c>
      <c r="R1633">
        <f>IF(XLOOKUP([@categorie],tbl_RegulriTVA[categorie],tbl_RegulriTVA[cota_legala],-1)&lt;&gt;[@cota_tva],"TVA GRESIT","")</f>
        <v/>
      </c>
      <c r="S1633">
        <f>IF([@data_scadentei]&lt;[@data_factura],"SCADENTA INAINTEA FACTURII","")</f>
        <v/>
      </c>
      <c r="T1633">
        <f>IF(NETWORKDAYS.INTL([@data_factura],[@data_factura],1,tbl_SarbatoriLegale[data])=0,"ZI NELUCRATOARE","")</f>
        <v/>
      </c>
      <c r="U1633">
        <f>IF([@motiv_anomalie]="","OK","DE INVESTIGAT")</f>
        <v/>
      </c>
      <c r="V1633">
        <f>TEXTJOIN("; ",TRUE,[@flag_oras],[@flag_tva],[@flag_scadenta],[@flag_zi])</f>
        <v/>
      </c>
    </row>
    <row r="1634">
      <c r="A1634" t="inlineStr">
        <is>
          <t>F-2025-01633</t>
        </is>
      </c>
      <c r="B1634" s="12" t="n">
        <v>46255</v>
      </c>
      <c r="C1634" t="inlineStr">
        <is>
          <t>SC OMEGA SOFT SRL</t>
        </is>
      </c>
      <c r="D1634" t="inlineStr">
        <is>
          <t>Dolj</t>
        </is>
      </c>
      <c r="E1634" t="inlineStr">
        <is>
          <t>PRD-005</t>
        </is>
      </c>
      <c r="F1634" t="inlineStr">
        <is>
          <t>Ghid legislatie GDPR</t>
        </is>
      </c>
      <c r="G1634" t="inlineStr">
        <is>
          <t>Cărți și manuale</t>
        </is>
      </c>
      <c r="H1634" t="n">
        <v>2</v>
      </c>
      <c r="I1634" t="n">
        <v>248.74</v>
      </c>
      <c r="J1634" t="n">
        <v>497.48</v>
      </c>
      <c r="K1634" s="13" t="n">
        <v>0.05</v>
      </c>
      <c r="L1634" t="n">
        <v>24.87</v>
      </c>
      <c r="M1634" t="n">
        <v>522.35</v>
      </c>
      <c r="N1634" t="inlineStr">
        <is>
          <t>RON</t>
        </is>
      </c>
      <c r="O1634" t="inlineStr">
        <is>
          <t>Craiova</t>
        </is>
      </c>
      <c r="P1634" s="12" t="n">
        <v>46285</v>
      </c>
      <c r="Q1634">
        <f>IF(COUNTIF(tbl_Localitati[oras_oficial],[@oras])=0,"ORAS NEALINIAT",IF(XLOOKUP([@oras],tbl_Localitati[oras_oficial],tbl_Localitati[judet],"?")&lt;&gt;[@judet],"JUDET NECORESPUNZATOR",""))</f>
        <v/>
      </c>
      <c r="R1634">
        <f>IF(XLOOKUP([@categorie],tbl_RegulriTVA[categorie],tbl_RegulriTVA[cota_legala],-1)&lt;&gt;[@cota_tva],"TVA GRESIT","")</f>
        <v/>
      </c>
      <c r="S1634">
        <f>IF([@data_scadentei]&lt;[@data_factura],"SCADENTA INAINTEA FACTURII","")</f>
        <v/>
      </c>
      <c r="T1634">
        <f>IF(NETWORKDAYS.INTL([@data_factura],[@data_factura],1,tbl_SarbatoriLegale[data])=0,"ZI NELUCRATOARE","")</f>
        <v/>
      </c>
      <c r="U1634">
        <f>IF([@motiv_anomalie]="","OK","DE INVESTIGAT")</f>
        <v/>
      </c>
      <c r="V1634">
        <f>TEXTJOIN("; ",TRUE,[@flag_oras],[@flag_tva],[@flag_scadenta],[@flag_zi])</f>
        <v/>
      </c>
    </row>
    <row r="1635">
      <c r="A1635" t="inlineStr">
        <is>
          <t>F-2025-01634</t>
        </is>
      </c>
      <c r="B1635" s="12" t="n">
        <v>46051</v>
      </c>
      <c r="C1635" t="inlineStr">
        <is>
          <t>SC RAPID LOGISTIC SA</t>
        </is>
      </c>
      <c r="D1635" t="inlineStr">
        <is>
          <t>Prahova</t>
        </is>
      </c>
      <c r="E1635" t="inlineStr">
        <is>
          <t>PRD-009</t>
        </is>
      </c>
      <c r="F1635" t="inlineStr">
        <is>
          <t>Termometru digital</t>
        </is>
      </c>
      <c r="G1635" t="inlineStr">
        <is>
          <t>Produse farmaceutice</t>
        </is>
      </c>
      <c r="H1635" t="n">
        <v>10</v>
      </c>
      <c r="I1635" t="n">
        <v>28.85</v>
      </c>
      <c r="J1635" t="n">
        <v>288.5</v>
      </c>
      <c r="K1635" s="13" t="n">
        <v>0.09</v>
      </c>
      <c r="L1635" t="n">
        <v>25.96</v>
      </c>
      <c r="M1635" t="n">
        <v>314.46</v>
      </c>
      <c r="N1635" t="inlineStr">
        <is>
          <t>RON</t>
        </is>
      </c>
      <c r="O1635" t="inlineStr">
        <is>
          <t>Ploiești</t>
        </is>
      </c>
      <c r="P1635" s="12" t="n">
        <v>46111</v>
      </c>
      <c r="Q1635">
        <f>IF(COUNTIF(tbl_Localitati[oras_oficial],[@oras])=0,"ORAS NEALINIAT",IF(XLOOKUP([@oras],tbl_Localitati[oras_oficial],tbl_Localitati[judet],"?")&lt;&gt;[@judet],"JUDET NECORESPUNZATOR",""))</f>
        <v/>
      </c>
      <c r="R1635">
        <f>IF(XLOOKUP([@categorie],tbl_RegulriTVA[categorie],tbl_RegulriTVA[cota_legala],-1)&lt;&gt;[@cota_tva],"TVA GRESIT","")</f>
        <v/>
      </c>
      <c r="S1635">
        <f>IF([@data_scadentei]&lt;[@data_factura],"SCADENTA INAINTEA FACTURII","")</f>
        <v/>
      </c>
      <c r="T1635">
        <f>IF(NETWORKDAYS.INTL([@data_factura],[@data_factura],1,tbl_SarbatoriLegale[data])=0,"ZI NELUCRATOARE","")</f>
        <v/>
      </c>
      <c r="U1635">
        <f>IF([@motiv_anomalie]="","OK","DE INVESTIGAT")</f>
        <v/>
      </c>
      <c r="V1635">
        <f>TEXTJOIN("; ",TRUE,[@flag_oras],[@flag_tva],[@flag_scadenta],[@flag_zi])</f>
        <v/>
      </c>
    </row>
    <row r="1636">
      <c r="A1636" t="inlineStr">
        <is>
          <t>F-2025-01635</t>
        </is>
      </c>
      <c r="B1636" s="12" t="n">
        <v>46223</v>
      </c>
      <c r="C1636" t="inlineStr">
        <is>
          <t>SC SOLARIS ENERGY SRL</t>
        </is>
      </c>
      <c r="D1636" t="inlineStr">
        <is>
          <t>Prahova</t>
        </is>
      </c>
      <c r="E1636" t="inlineStr">
        <is>
          <t>PRD-010</t>
        </is>
      </c>
      <c r="F1636" t="inlineStr">
        <is>
          <t>Server rack 1U</t>
        </is>
      </c>
      <c r="G1636" t="inlineStr">
        <is>
          <t>Hardware IT</t>
        </is>
      </c>
      <c r="H1636" t="n">
        <v>50</v>
      </c>
      <c r="I1636" t="n">
        <v>358.06</v>
      </c>
      <c r="J1636" t="n">
        <v>17903</v>
      </c>
      <c r="K1636" s="13" t="n">
        <v>0.19</v>
      </c>
      <c r="L1636" t="n">
        <v>3401.57</v>
      </c>
      <c r="M1636" t="n">
        <v>21304.57</v>
      </c>
      <c r="N1636" t="inlineStr">
        <is>
          <t>RON</t>
        </is>
      </c>
      <c r="O1636" t="inlineStr">
        <is>
          <t>Câmpina</t>
        </is>
      </c>
      <c r="P1636" s="12" t="n">
        <v>46283</v>
      </c>
      <c r="Q1636">
        <f>IF(COUNTIF(tbl_Localitati[oras_oficial],[@oras])=0,"ORAS NEALINIAT",IF(XLOOKUP([@oras],tbl_Localitati[oras_oficial],tbl_Localitati[judet],"?")&lt;&gt;[@judet],"JUDET NECORESPUNZATOR",""))</f>
        <v/>
      </c>
      <c r="R1636">
        <f>IF(XLOOKUP([@categorie],tbl_RegulriTVA[categorie],tbl_RegulriTVA[cota_legala],-1)&lt;&gt;[@cota_tva],"TVA GRESIT","")</f>
        <v/>
      </c>
      <c r="S1636">
        <f>IF([@data_scadentei]&lt;[@data_factura],"SCADENTA INAINTEA FACTURII","")</f>
        <v/>
      </c>
      <c r="T1636">
        <f>IF(NETWORKDAYS.INTL([@data_factura],[@data_factura],1,tbl_SarbatoriLegale[data])=0,"ZI NELUCRATOARE","")</f>
        <v/>
      </c>
      <c r="U1636">
        <f>IF([@motiv_anomalie]="","OK","DE INVESTIGAT")</f>
        <v/>
      </c>
      <c r="V1636">
        <f>TEXTJOIN("; ",TRUE,[@flag_oras],[@flag_tva],[@flag_scadenta],[@flag_zi])</f>
        <v/>
      </c>
    </row>
    <row r="1637">
      <c r="A1637" t="inlineStr">
        <is>
          <t>F-2025-01636</t>
        </is>
      </c>
      <c r="B1637" s="12" t="n">
        <v>46232</v>
      </c>
      <c r="C1637" t="inlineStr">
        <is>
          <t>SC PROVITA MEDICAL SRL</t>
        </is>
      </c>
      <c r="D1637" t="inlineStr">
        <is>
          <t>Mureș</t>
        </is>
      </c>
      <c r="E1637" t="inlineStr">
        <is>
          <t>PRD-001</t>
        </is>
      </c>
      <c r="F1637" t="inlineStr">
        <is>
          <t>Ghid legislatie GDPR</t>
        </is>
      </c>
      <c r="G1637" t="inlineStr">
        <is>
          <t>Cărți și manuale</t>
        </is>
      </c>
      <c r="H1637" t="n">
        <v>3</v>
      </c>
      <c r="I1637" t="n">
        <v>2440.85</v>
      </c>
      <c r="J1637" t="n">
        <v>7322.55</v>
      </c>
      <c r="K1637" s="13" t="n">
        <v>0.05</v>
      </c>
      <c r="L1637" t="n">
        <v>366.13</v>
      </c>
      <c r="M1637" t="n">
        <v>7688.68</v>
      </c>
      <c r="N1637" t="inlineStr">
        <is>
          <t>RON</t>
        </is>
      </c>
      <c r="O1637" t="inlineStr">
        <is>
          <t>Târgu Mureș</t>
        </is>
      </c>
      <c r="P1637" s="12" t="n">
        <v>46262</v>
      </c>
      <c r="Q1637">
        <f>IF(COUNTIF(tbl_Localitati[oras_oficial],[@oras])=0,"ORAS NEALINIAT",IF(XLOOKUP([@oras],tbl_Localitati[oras_oficial],tbl_Localitati[judet],"?")&lt;&gt;[@judet],"JUDET NECORESPUNZATOR",""))</f>
        <v/>
      </c>
      <c r="R1637">
        <f>IF(XLOOKUP([@categorie],tbl_RegulriTVA[categorie],tbl_RegulriTVA[cota_legala],-1)&lt;&gt;[@cota_tva],"TVA GRESIT","")</f>
        <v/>
      </c>
      <c r="S1637">
        <f>IF([@data_scadentei]&lt;[@data_factura],"SCADENTA INAINTEA FACTURII","")</f>
        <v/>
      </c>
      <c r="T1637">
        <f>IF(NETWORKDAYS.INTL([@data_factura],[@data_factura],1,tbl_SarbatoriLegale[data])=0,"ZI NELUCRATOARE","")</f>
        <v/>
      </c>
      <c r="U1637">
        <f>IF([@motiv_anomalie]="","OK","DE INVESTIGAT")</f>
        <v/>
      </c>
      <c r="V1637">
        <f>TEXTJOIN("; ",TRUE,[@flag_oras],[@flag_tva],[@flag_scadenta],[@flag_zi])</f>
        <v/>
      </c>
    </row>
    <row r="1638">
      <c r="A1638" t="inlineStr">
        <is>
          <t>F-2025-01637</t>
        </is>
      </c>
      <c r="B1638" s="12" t="n">
        <v>46181</v>
      </c>
      <c r="C1638" t="inlineStr">
        <is>
          <t>SC DACTECH SOLUTIONS SRL</t>
        </is>
      </c>
      <c r="D1638" t="inlineStr">
        <is>
          <t>Argeș</t>
        </is>
      </c>
      <c r="E1638" t="inlineStr">
        <is>
          <t>PRD-006</t>
        </is>
      </c>
      <c r="F1638" t="inlineStr">
        <is>
          <t>Licenta ERP contabilitate</t>
        </is>
      </c>
      <c r="G1638" t="inlineStr">
        <is>
          <t>Licențe software</t>
        </is>
      </c>
      <c r="H1638" t="n">
        <v>5</v>
      </c>
      <c r="I1638" t="n">
        <v>747.3</v>
      </c>
      <c r="J1638" t="n">
        <v>3736.5</v>
      </c>
      <c r="K1638" s="13" t="n">
        <v>0.19</v>
      </c>
      <c r="L1638" t="n">
        <v>709.9400000000001</v>
      </c>
      <c r="M1638" t="n">
        <v>4446.44</v>
      </c>
      <c r="N1638" t="inlineStr">
        <is>
          <t>RON</t>
        </is>
      </c>
      <c r="O1638" t="inlineStr">
        <is>
          <t>Pitești</t>
        </is>
      </c>
      <c r="P1638" s="12" t="n">
        <v>46241</v>
      </c>
      <c r="Q1638">
        <f>IF(COUNTIF(tbl_Localitati[oras_oficial],[@oras])=0,"ORAS NEALINIAT",IF(XLOOKUP([@oras],tbl_Localitati[oras_oficial],tbl_Localitati[judet],"?")&lt;&gt;[@judet],"JUDET NECORESPUNZATOR",""))</f>
        <v/>
      </c>
      <c r="R1638">
        <f>IF(XLOOKUP([@categorie],tbl_RegulriTVA[categorie],tbl_RegulriTVA[cota_legala],-1)&lt;&gt;[@cota_tva],"TVA GRESIT","")</f>
        <v/>
      </c>
      <c r="S1638">
        <f>IF([@data_scadentei]&lt;[@data_factura],"SCADENTA INAINTEA FACTURII","")</f>
        <v/>
      </c>
      <c r="T1638">
        <f>IF(NETWORKDAYS.INTL([@data_factura],[@data_factura],1,tbl_SarbatoriLegale[data])=0,"ZI NELUCRATOARE","")</f>
        <v/>
      </c>
      <c r="U1638">
        <f>IF([@motiv_anomalie]="","OK","DE INVESTIGAT")</f>
        <v/>
      </c>
      <c r="V1638">
        <f>TEXTJOIN("; ",TRUE,[@flag_oras],[@flag_tva],[@flag_scadenta],[@flag_zi])</f>
        <v/>
      </c>
    </row>
    <row r="1639">
      <c r="A1639" t="inlineStr">
        <is>
          <t>F-2025-01638</t>
        </is>
      </c>
      <c r="B1639" s="12" t="n">
        <v>46063</v>
      </c>
      <c r="C1639" t="inlineStr">
        <is>
          <t>SC OMEGA SOFT SRL</t>
        </is>
      </c>
      <c r="D1639" t="inlineStr">
        <is>
          <t>Dolj</t>
        </is>
      </c>
      <c r="E1639" t="inlineStr">
        <is>
          <t>PRD-005</t>
        </is>
      </c>
      <c r="F1639" t="inlineStr">
        <is>
          <t>Laptop business 15"</t>
        </is>
      </c>
      <c r="G1639" t="inlineStr">
        <is>
          <t>Hardware IT</t>
        </is>
      </c>
      <c r="H1639" t="n">
        <v>2</v>
      </c>
      <c r="I1639" t="n">
        <v>242.22</v>
      </c>
      <c r="J1639" t="n">
        <v>484.44</v>
      </c>
      <c r="K1639" s="13" t="n">
        <v>0.19</v>
      </c>
      <c r="L1639" t="n">
        <v>92.04000000000001</v>
      </c>
      <c r="M1639" t="n">
        <v>576.48</v>
      </c>
      <c r="N1639" t="inlineStr">
        <is>
          <t>RON</t>
        </is>
      </c>
      <c r="O1639" t="inlineStr">
        <is>
          <t>Craiova</t>
        </is>
      </c>
      <c r="P1639" s="12" t="n">
        <v>46108</v>
      </c>
      <c r="Q1639">
        <f>IF(COUNTIF(tbl_Localitati[oras_oficial],[@oras])=0,"ORAS NEALINIAT",IF(XLOOKUP([@oras],tbl_Localitati[oras_oficial],tbl_Localitati[judet],"?")&lt;&gt;[@judet],"JUDET NECORESPUNZATOR",""))</f>
        <v/>
      </c>
      <c r="R1639">
        <f>IF(XLOOKUP([@categorie],tbl_RegulriTVA[categorie],tbl_RegulriTVA[cota_legala],-1)&lt;&gt;[@cota_tva],"TVA GRESIT","")</f>
        <v/>
      </c>
      <c r="S1639">
        <f>IF([@data_scadentei]&lt;[@data_factura],"SCADENTA INAINTEA FACTURII","")</f>
        <v/>
      </c>
      <c r="T1639">
        <f>IF(NETWORKDAYS.INTL([@data_factura],[@data_factura],1,tbl_SarbatoriLegale[data])=0,"ZI NELUCRATOARE","")</f>
        <v/>
      </c>
      <c r="U1639">
        <f>IF([@motiv_anomalie]="","OK","DE INVESTIGAT")</f>
        <v/>
      </c>
      <c r="V1639">
        <f>TEXTJOIN("; ",TRUE,[@flag_oras],[@flag_tva],[@flag_scadenta],[@flag_zi])</f>
        <v/>
      </c>
    </row>
    <row r="1640">
      <c r="A1640" t="inlineStr">
        <is>
          <t>F-2025-01639</t>
        </is>
      </c>
      <c r="B1640" s="12" t="n">
        <v>46332</v>
      </c>
      <c r="C1640" t="inlineStr">
        <is>
          <t>SC METALPLAST INVEST SA</t>
        </is>
      </c>
      <c r="D1640" t="inlineStr">
        <is>
          <t>Cluj</t>
        </is>
      </c>
      <c r="E1640" t="inlineStr">
        <is>
          <t>PRD-010</t>
        </is>
      </c>
      <c r="F1640" t="inlineStr">
        <is>
          <t>Statie de lucru desktop</t>
        </is>
      </c>
      <c r="G1640" t="inlineStr">
        <is>
          <t>Hardware IT</t>
        </is>
      </c>
      <c r="H1640" t="n">
        <v>50</v>
      </c>
      <c r="I1640" t="n">
        <v>338.15</v>
      </c>
      <c r="J1640" t="n">
        <v>16907.5</v>
      </c>
      <c r="K1640" s="13" t="n">
        <v>0.19</v>
      </c>
      <c r="L1640" t="n">
        <v>3212.43</v>
      </c>
      <c r="M1640" t="n">
        <v>20119.93</v>
      </c>
      <c r="N1640" t="inlineStr">
        <is>
          <t>RON</t>
        </is>
      </c>
      <c r="O1640" t="inlineStr">
        <is>
          <t>Turda</t>
        </is>
      </c>
      <c r="P1640" s="12" t="n">
        <v>46362</v>
      </c>
      <c r="Q1640">
        <f>IF(COUNTIF(tbl_Localitati[oras_oficial],[@oras])=0,"ORAS NEALINIAT",IF(XLOOKUP([@oras],tbl_Localitati[oras_oficial],tbl_Localitati[judet],"?")&lt;&gt;[@judet],"JUDET NECORESPUNZATOR",""))</f>
        <v/>
      </c>
      <c r="R1640">
        <f>IF(XLOOKUP([@categorie],tbl_RegulriTVA[categorie],tbl_RegulriTVA[cota_legala],-1)&lt;&gt;[@cota_tva],"TVA GRESIT","")</f>
        <v/>
      </c>
      <c r="S1640">
        <f>IF([@data_scadentei]&lt;[@data_factura],"SCADENTA INAINTEA FACTURII","")</f>
        <v/>
      </c>
      <c r="T1640">
        <f>IF(NETWORKDAYS.INTL([@data_factura],[@data_factura],1,tbl_SarbatoriLegale[data])=0,"ZI NELUCRATOARE","")</f>
        <v/>
      </c>
      <c r="U1640">
        <f>IF([@motiv_anomalie]="","OK","DE INVESTIGAT")</f>
        <v/>
      </c>
      <c r="V1640">
        <f>TEXTJOIN("; ",TRUE,[@flag_oras],[@flag_tva],[@flag_scadenta],[@flag_zi])</f>
        <v/>
      </c>
    </row>
    <row r="1641">
      <c r="A1641" t="inlineStr">
        <is>
          <t>F-2025-01640</t>
        </is>
      </c>
      <c r="B1641" s="12" t="n">
        <v>46100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Server rack 1U</t>
        </is>
      </c>
      <c r="G1641" t="inlineStr">
        <is>
          <t>Hardware IT</t>
        </is>
      </c>
      <c r="H1641" t="n">
        <v>5</v>
      </c>
      <c r="I1641" t="n">
        <v>27.72</v>
      </c>
      <c r="J1641" t="n">
        <v>138.6</v>
      </c>
      <c r="K1641" s="13" t="n">
        <v>0.19</v>
      </c>
      <c r="L1641" t="n">
        <v>26.33</v>
      </c>
      <c r="M1641" t="n">
        <v>164.93</v>
      </c>
      <c r="N1641" t="inlineStr">
        <is>
          <t>RON</t>
        </is>
      </c>
      <c r="O1641" t="inlineStr">
        <is>
          <t>Sibiu</t>
        </is>
      </c>
      <c r="P1641" s="12" t="n">
        <v>46115</v>
      </c>
      <c r="Q1641">
        <f>IF(COUNTIF(tbl_Localitati[oras_oficial],[@oras])=0,"ORAS NEALINIAT",IF(XLOOKUP([@oras],tbl_Localitati[oras_oficial],tbl_Localitati[judet],"?")&lt;&gt;[@judet],"JUDET NECORESPUNZATOR",""))</f>
        <v/>
      </c>
      <c r="R1641">
        <f>IF(XLOOKUP([@categorie],tbl_RegulriTVA[categorie],tbl_RegulriTVA[cota_legala],-1)&lt;&gt;[@cota_tva],"TVA GRESIT","")</f>
        <v/>
      </c>
      <c r="S1641">
        <f>IF([@data_scadentei]&lt;[@data_factura],"SCADENTA INAINTEA FACTURII","")</f>
        <v/>
      </c>
      <c r="T1641">
        <f>IF(NETWORKDAYS.INTL([@data_factura],[@data_factura],1,tbl_SarbatoriLegale[data])=0,"ZI NELUCRATOARE","")</f>
        <v/>
      </c>
      <c r="U1641">
        <f>IF([@motiv_anomalie]="","OK","DE INVESTIGAT")</f>
        <v/>
      </c>
      <c r="V1641">
        <f>TEXTJOIN("; ",TRUE,[@flag_oras],[@flag_tva],[@flag_scadenta],[@flag_zi])</f>
        <v/>
      </c>
    </row>
    <row r="1642">
      <c r="A1642" t="inlineStr">
        <is>
          <t>F-2025-01641</t>
        </is>
      </c>
      <c r="B1642" s="12" t="n">
        <v>46064</v>
      </c>
      <c r="C1642" t="inlineStr">
        <is>
          <t>SC METALPLAST INVEST SA</t>
        </is>
      </c>
      <c r="D1642" t="inlineStr">
        <is>
          <t>Cluj</t>
        </is>
      </c>
      <c r="E1642" t="inlineStr">
        <is>
          <t>PRD-002</t>
        </is>
      </c>
      <c r="F1642" t="inlineStr">
        <is>
          <t>Switch gigabit 24p</t>
        </is>
      </c>
      <c r="G1642" t="inlineStr">
        <is>
          <t>Hardware IT</t>
        </is>
      </c>
      <c r="H1642" t="n">
        <v>5</v>
      </c>
      <c r="I1642" t="n">
        <v>1132.8</v>
      </c>
      <c r="J1642" t="n">
        <v>5664</v>
      </c>
      <c r="K1642" s="13" t="n">
        <v>0.19</v>
      </c>
      <c r="L1642" t="n">
        <v>1076.16</v>
      </c>
      <c r="M1642" t="n">
        <v>6740.16</v>
      </c>
      <c r="N1642" t="inlineStr">
        <is>
          <t>RON</t>
        </is>
      </c>
      <c r="O1642" t="inlineStr">
        <is>
          <t>Turda</t>
        </is>
      </c>
      <c r="P1642" s="12" t="n">
        <v>46079</v>
      </c>
      <c r="Q1642">
        <f>IF(COUNTIF(tbl_Localitati[oras_oficial],[@oras])=0,"ORAS NEALINIAT",IF(XLOOKUP([@oras],tbl_Localitati[oras_oficial],tbl_Localitati[judet],"?")&lt;&gt;[@judet],"JUDET NECORESPUNZATOR",""))</f>
        <v/>
      </c>
      <c r="R1642">
        <f>IF(XLOOKUP([@categorie],tbl_RegulriTVA[categorie],tbl_RegulriTVA[cota_legala],-1)&lt;&gt;[@cota_tva],"TVA GRESIT","")</f>
        <v/>
      </c>
      <c r="S1642">
        <f>IF([@data_scadentei]&lt;[@data_factura],"SCADENTA INAINTEA FACTURII","")</f>
        <v/>
      </c>
      <c r="T1642">
        <f>IF(NETWORKDAYS.INTL([@data_factura],[@data_factura],1,tbl_SarbatoriLegale[data])=0,"ZI NELUCRATOARE","")</f>
        <v/>
      </c>
      <c r="U1642">
        <f>IF([@motiv_anomalie]="","OK","DE INVESTIGAT")</f>
        <v/>
      </c>
      <c r="V1642">
        <f>TEXTJOIN("; ",TRUE,[@flag_oras],[@flag_tva],[@flag_scadenta],[@flag_zi])</f>
        <v/>
      </c>
    </row>
    <row r="1643">
      <c r="A1643" t="inlineStr">
        <is>
          <t>F-2025-01642</t>
        </is>
      </c>
      <c r="B1643" s="12" t="n">
        <v>46335</v>
      </c>
      <c r="C1643" t="inlineStr">
        <is>
          <t>SC DACTECH SOLUTIONS SRL</t>
        </is>
      </c>
      <c r="D1643" t="inlineStr">
        <is>
          <t>Argeș</t>
        </is>
      </c>
      <c r="E1643" t="inlineStr">
        <is>
          <t>PRD-005</t>
        </is>
      </c>
      <c r="F1643" t="inlineStr">
        <is>
          <t>Ceai cutie 100buc</t>
        </is>
      </c>
      <c r="G1643" t="inlineStr">
        <is>
          <t>Alimente</t>
        </is>
      </c>
      <c r="H1643" t="n">
        <v>3</v>
      </c>
      <c r="I1643" t="n">
        <v>261.34</v>
      </c>
      <c r="J1643" t="n">
        <v>784.02</v>
      </c>
      <c r="K1643" s="13" t="n">
        <v>0.09</v>
      </c>
      <c r="L1643" t="n">
        <v>70.56</v>
      </c>
      <c r="M1643" t="n">
        <v>854.58</v>
      </c>
      <c r="N1643" t="inlineStr">
        <is>
          <t>RON</t>
        </is>
      </c>
      <c r="O1643" t="inlineStr">
        <is>
          <t>Pitești</t>
        </is>
      </c>
      <c r="P1643" s="12" t="n">
        <v>46365</v>
      </c>
      <c r="Q1643">
        <f>IF(COUNTIF(tbl_Localitati[oras_oficial],[@oras])=0,"ORAS NEALINIAT",IF(XLOOKUP([@oras],tbl_Localitati[oras_oficial],tbl_Localitati[judet],"?")&lt;&gt;[@judet],"JUDET NECORESPUNZATOR",""))</f>
        <v/>
      </c>
      <c r="R1643">
        <f>IF(XLOOKUP([@categorie],tbl_RegulriTVA[categorie],tbl_RegulriTVA[cota_legala],-1)&lt;&gt;[@cota_tva],"TVA GRESIT","")</f>
        <v/>
      </c>
      <c r="S1643">
        <f>IF([@data_scadentei]&lt;[@data_factura],"SCADENTA INAINTEA FACTURII","")</f>
        <v/>
      </c>
      <c r="T1643">
        <f>IF(NETWORKDAYS.INTL([@data_factura],[@data_factura],1,tbl_SarbatoriLegale[data])=0,"ZI NELUCRATOARE","")</f>
        <v/>
      </c>
      <c r="U1643">
        <f>IF([@motiv_anomalie]="","OK","DE INVESTIGAT")</f>
        <v/>
      </c>
      <c r="V1643">
        <f>TEXTJOIN("; ",TRUE,[@flag_oras],[@flag_tva],[@flag_scadenta],[@flag_zi])</f>
        <v/>
      </c>
    </row>
    <row r="1644">
      <c r="A1644" t="inlineStr">
        <is>
          <t>F-2025-01643</t>
        </is>
      </c>
      <c r="B1644" s="12" t="n">
        <v>46258</v>
      </c>
      <c r="C1644" t="inlineStr">
        <is>
          <t>SC DACTECH SOLUTIONS SRL</t>
        </is>
      </c>
      <c r="D1644" t="inlineStr">
        <is>
          <t>Argeș</t>
        </is>
      </c>
      <c r="E1644" t="inlineStr">
        <is>
          <t>PRD-009</t>
        </is>
      </c>
      <c r="F1644" t="inlineStr">
        <is>
          <t>Suport tehnic anual</t>
        </is>
      </c>
      <c r="G1644" t="inlineStr">
        <is>
          <t>Servicii consultanță</t>
        </is>
      </c>
      <c r="H1644" t="n">
        <v>50</v>
      </c>
      <c r="I1644" t="n">
        <v>26.7</v>
      </c>
      <c r="J1644" t="n">
        <v>1335</v>
      </c>
      <c r="K1644" s="13" t="n">
        <v>0.19</v>
      </c>
      <c r="L1644" t="n">
        <v>253.65</v>
      </c>
      <c r="M1644" t="n">
        <v>1588.65</v>
      </c>
      <c r="N1644" t="inlineStr">
        <is>
          <t>RON</t>
        </is>
      </c>
      <c r="O1644" t="inlineStr">
        <is>
          <t>Pitești</t>
        </is>
      </c>
      <c r="P1644" s="12" t="n">
        <v>46318</v>
      </c>
      <c r="Q1644">
        <f>IF(COUNTIF(tbl_Localitati[oras_oficial],[@oras])=0,"ORAS NEALINIAT",IF(XLOOKUP([@oras],tbl_Localitati[oras_oficial],tbl_Localitati[judet],"?")&lt;&gt;[@judet],"JUDET NECORESPUNZATOR",""))</f>
        <v/>
      </c>
      <c r="R1644">
        <f>IF(XLOOKUP([@categorie],tbl_RegulriTVA[categorie],tbl_RegulriTVA[cota_legala],-1)&lt;&gt;[@cota_tva],"TVA GRESIT","")</f>
        <v/>
      </c>
      <c r="S1644">
        <f>IF([@data_scadentei]&lt;[@data_factura],"SCADENTA INAINTEA FACTURII","")</f>
        <v/>
      </c>
      <c r="T1644">
        <f>IF(NETWORKDAYS.INTL([@data_factura],[@data_factura],1,tbl_SarbatoriLegale[data])=0,"ZI NELUCRATOARE","")</f>
        <v/>
      </c>
      <c r="U1644">
        <f>IF([@motiv_anomalie]="","OK","DE INVESTIGAT")</f>
        <v/>
      </c>
      <c r="V1644">
        <f>TEXTJOIN("; ",TRUE,[@flag_oras],[@flag_tva],[@flag_scadenta],[@flag_zi])</f>
        <v/>
      </c>
    </row>
    <row r="1645">
      <c r="A1645" t="inlineStr">
        <is>
          <t>F-2025-01644</t>
        </is>
      </c>
      <c r="B1645" s="12" t="n">
        <v>46163</v>
      </c>
      <c r="C1645" t="inlineStr">
        <is>
          <t>SC FARMAVITAL DISTRIBUTIE SA</t>
        </is>
      </c>
      <c r="D1645" t="inlineStr">
        <is>
          <t>Bihor</t>
        </is>
      </c>
      <c r="E1645" t="inlineStr">
        <is>
          <t>PRD-009</t>
        </is>
      </c>
      <c r="F1645" t="inlineStr">
        <is>
          <t>Switch gigabit 24p</t>
        </is>
      </c>
      <c r="G1645" t="inlineStr">
        <is>
          <t>Hardware IT</t>
        </is>
      </c>
      <c r="H1645" t="n">
        <v>50</v>
      </c>
      <c r="I1645" t="n">
        <v>27.36</v>
      </c>
      <c r="J1645" t="n">
        <v>1368</v>
      </c>
      <c r="K1645" s="13" t="n">
        <v>0.05</v>
      </c>
      <c r="L1645" t="n">
        <v>68.40000000000001</v>
      </c>
      <c r="M1645" t="n">
        <v>1436.4</v>
      </c>
      <c r="N1645" t="inlineStr">
        <is>
          <t>RON</t>
        </is>
      </c>
      <c r="O1645" t="inlineStr">
        <is>
          <t>Oradea</t>
        </is>
      </c>
      <c r="P1645" s="12" t="n">
        <v>46193</v>
      </c>
      <c r="Q1645">
        <f>IF(COUNTIF(tbl_Localitati[oras_oficial],[@oras])=0,"ORAS NEALINIAT",IF(XLOOKUP([@oras],tbl_Localitati[oras_oficial],tbl_Localitati[judet],"?")&lt;&gt;[@judet],"JUDET NECORESPUNZATOR",""))</f>
        <v/>
      </c>
      <c r="R1645">
        <f>IF(XLOOKUP([@categorie],tbl_RegulriTVA[categorie],tbl_RegulriTVA[cota_legala],-1)&lt;&gt;[@cota_tva],"TVA GRESIT","")</f>
        <v/>
      </c>
      <c r="S1645">
        <f>IF([@data_scadentei]&lt;[@data_factura],"SCADENTA INAINTEA FACTURII","")</f>
        <v/>
      </c>
      <c r="T1645">
        <f>IF(NETWORKDAYS.INTL([@data_factura],[@data_factura],1,tbl_SarbatoriLegale[data])=0,"ZI NELUCRATOARE","")</f>
        <v/>
      </c>
      <c r="U1645">
        <f>IF([@motiv_anomalie]="","OK","DE INVESTIGAT")</f>
        <v/>
      </c>
      <c r="V1645">
        <f>TEXTJOIN("; ",TRUE,[@flag_oras],[@flag_tva],[@flag_scadenta],[@flag_zi])</f>
        <v/>
      </c>
    </row>
    <row r="1646">
      <c r="A1646" t="inlineStr">
        <is>
          <t>F-2025-01645</t>
        </is>
      </c>
      <c r="B1646" s="12" t="n">
        <v>46055</v>
      </c>
      <c r="C1646" t="inlineStr">
        <is>
          <t>SC PROVITA MEDICAL SRL</t>
        </is>
      </c>
      <c r="D1646" t="inlineStr">
        <is>
          <t>Mureș</t>
        </is>
      </c>
      <c r="E1646" t="inlineStr">
        <is>
          <t>PRD-002</t>
        </is>
      </c>
      <c r="F1646" t="inlineStr">
        <is>
          <t>Dezinfectant maini 5L</t>
        </is>
      </c>
      <c r="G1646" t="inlineStr">
        <is>
          <t>Produse farmaceutice</t>
        </is>
      </c>
      <c r="H1646" t="n">
        <v>5</v>
      </c>
      <c r="I1646" t="n">
        <v>1139.09</v>
      </c>
      <c r="J1646" t="n">
        <v>5695.45</v>
      </c>
      <c r="K1646" s="13" t="n">
        <v>0.09</v>
      </c>
      <c r="L1646" t="n">
        <v>512.59</v>
      </c>
      <c r="M1646" t="n">
        <v>6208.04</v>
      </c>
      <c r="N1646" t="inlineStr">
        <is>
          <t>RON</t>
        </is>
      </c>
      <c r="O1646" t="inlineStr">
        <is>
          <t>Târgu Mureș</t>
        </is>
      </c>
      <c r="P1646" s="12" t="n">
        <v>46070</v>
      </c>
      <c r="Q1646">
        <f>IF(COUNTIF(tbl_Localitati[oras_oficial],[@oras])=0,"ORAS NEALINIAT",IF(XLOOKUP([@oras],tbl_Localitati[oras_oficial],tbl_Localitati[judet],"?")&lt;&gt;[@judet],"JUDET NECORESPUNZATOR",""))</f>
        <v/>
      </c>
      <c r="R1646">
        <f>IF(XLOOKUP([@categorie],tbl_RegulriTVA[categorie],tbl_RegulriTVA[cota_legala],-1)&lt;&gt;[@cota_tva],"TVA GRESIT","")</f>
        <v/>
      </c>
      <c r="S1646">
        <f>IF([@data_scadentei]&lt;[@data_factura],"SCADENTA INAINTEA FACTURII","")</f>
        <v/>
      </c>
      <c r="T1646">
        <f>IF(NETWORKDAYS.INTL([@data_factura],[@data_factura],1,tbl_SarbatoriLegale[data])=0,"ZI NELUCRATOARE","")</f>
        <v/>
      </c>
      <c r="U1646">
        <f>IF([@motiv_anomalie]="","OK","DE INVESTIGAT")</f>
        <v/>
      </c>
      <c r="V1646">
        <f>TEXTJOIN("; ",TRUE,[@flag_oras],[@flag_tva],[@flag_scadenta],[@flag_zi])</f>
        <v/>
      </c>
    </row>
    <row r="1647">
      <c r="A1647" t="inlineStr">
        <is>
          <t>F-2025-01646</t>
        </is>
      </c>
      <c r="B1647" s="12" t="n">
        <v>46210</v>
      </c>
      <c r="C1647" t="inlineStr">
        <is>
          <t>SC DACTECH SOLUTIONS SRL</t>
        </is>
      </c>
      <c r="D1647" t="inlineStr">
        <is>
          <t>Argeș</t>
        </is>
      </c>
      <c r="E1647" t="inlineStr">
        <is>
          <t>PRD-006</t>
        </is>
      </c>
      <c r="F1647" t="inlineStr">
        <is>
          <t>Ceai cutie 100buc</t>
        </is>
      </c>
      <c r="G1647" t="inlineStr">
        <is>
          <t>Alimente</t>
        </is>
      </c>
      <c r="H1647" t="n">
        <v>50</v>
      </c>
      <c r="I1647" t="n">
        <v>782.96</v>
      </c>
      <c r="J1647" t="n">
        <v>39148</v>
      </c>
      <c r="K1647" s="13" t="n">
        <v>0.09</v>
      </c>
      <c r="L1647" t="n">
        <v>3523.32</v>
      </c>
      <c r="M1647" t="n">
        <v>42671.32</v>
      </c>
      <c r="N1647" t="inlineStr">
        <is>
          <t>RON</t>
        </is>
      </c>
      <c r="O1647" t="inlineStr">
        <is>
          <t>Pitești</t>
        </is>
      </c>
      <c r="P1647" s="12" t="n">
        <v>46225</v>
      </c>
      <c r="Q1647">
        <f>IF(COUNTIF(tbl_Localitati[oras_oficial],[@oras])=0,"ORAS NEALINIAT",IF(XLOOKUP([@oras],tbl_Localitati[oras_oficial],tbl_Localitati[judet],"?")&lt;&gt;[@judet],"JUDET NECORESPUNZATOR",""))</f>
        <v/>
      </c>
      <c r="R1647">
        <f>IF(XLOOKUP([@categorie],tbl_RegulriTVA[categorie],tbl_RegulriTVA[cota_legala],-1)&lt;&gt;[@cota_tva],"TVA GRESIT","")</f>
        <v/>
      </c>
      <c r="S1647">
        <f>IF([@data_scadentei]&lt;[@data_factura],"SCADENTA INAINTEA FACTURII","")</f>
        <v/>
      </c>
      <c r="T1647">
        <f>IF(NETWORKDAYS.INTL([@data_factura],[@data_factura],1,tbl_SarbatoriLegale[data])=0,"ZI NELUCRATOARE","")</f>
        <v/>
      </c>
      <c r="U1647">
        <f>IF([@motiv_anomalie]="","OK","DE INVESTIGAT")</f>
        <v/>
      </c>
      <c r="V1647">
        <f>TEXTJOIN("; ",TRUE,[@flag_oras],[@flag_tva],[@flag_scadenta],[@flag_zi])</f>
        <v/>
      </c>
    </row>
    <row r="1648">
      <c r="A1648" t="inlineStr">
        <is>
          <t>F-2025-01647</t>
        </is>
      </c>
      <c r="B1648" s="12" t="n">
        <v>46050</v>
      </c>
      <c r="C1648" t="inlineStr">
        <is>
          <t>SC AROMET TRADING SRL</t>
        </is>
      </c>
      <c r="D1648" t="inlineStr">
        <is>
          <t>Alba</t>
        </is>
      </c>
      <c r="E1648" t="inlineStr">
        <is>
          <t>PRD-005</t>
        </is>
      </c>
      <c r="F1648" t="inlineStr">
        <is>
          <t>Ceai cutie 100buc</t>
        </is>
      </c>
      <c r="G1648" t="inlineStr">
        <is>
          <t>Alimente</t>
        </is>
      </c>
      <c r="H1648" t="n">
        <v>2</v>
      </c>
      <c r="I1648" t="n">
        <v>240.16</v>
      </c>
      <c r="J1648" t="n">
        <v>480.32</v>
      </c>
      <c r="K1648" s="13" t="n">
        <v>0.09</v>
      </c>
      <c r="L1648" t="n">
        <v>43.23</v>
      </c>
      <c r="M1648" t="n">
        <v>523.55</v>
      </c>
      <c r="N1648" t="inlineStr">
        <is>
          <t>RON</t>
        </is>
      </c>
      <c r="O1648" t="inlineStr">
        <is>
          <t>Alba Iulia</t>
        </is>
      </c>
      <c r="P1648" s="12" t="n">
        <v>46080</v>
      </c>
      <c r="Q1648">
        <f>IF(COUNTIF(tbl_Localitati[oras_oficial],[@oras])=0,"ORAS NEALINIAT",IF(XLOOKUP([@oras],tbl_Localitati[oras_oficial],tbl_Localitati[judet],"?")&lt;&gt;[@judet],"JUDET NECORESPUNZATOR",""))</f>
        <v/>
      </c>
      <c r="R1648">
        <f>IF(XLOOKUP([@categorie],tbl_RegulriTVA[categorie],tbl_RegulriTVA[cota_legala],-1)&lt;&gt;[@cota_tva],"TVA GRESIT","")</f>
        <v/>
      </c>
      <c r="S1648">
        <f>IF([@data_scadentei]&lt;[@data_factura],"SCADENTA INAINTEA FACTURII","")</f>
        <v/>
      </c>
      <c r="T1648">
        <f>IF(NETWORKDAYS.INTL([@data_factura],[@data_factura],1,tbl_SarbatoriLegale[data])=0,"ZI NELUCRATOARE","")</f>
        <v/>
      </c>
      <c r="U1648">
        <f>IF([@motiv_anomalie]="","OK","DE INVESTIGAT")</f>
        <v/>
      </c>
      <c r="V1648">
        <f>TEXTJOIN("; ",TRUE,[@flag_oras],[@flag_tva],[@flag_scadenta],[@flag_zi])</f>
        <v/>
      </c>
    </row>
    <row r="1649">
      <c r="A1649" t="inlineStr">
        <is>
          <t>F-2025-01648</t>
        </is>
      </c>
      <c r="B1649" s="12" t="n">
        <v>46318</v>
      </c>
      <c r="C1649" t="inlineStr">
        <is>
          <t>SC DACTECH SOLUTIONS SRL</t>
        </is>
      </c>
      <c r="D1649" t="inlineStr">
        <is>
          <t>Argeș</t>
        </is>
      </c>
      <c r="E1649" t="inlineStr">
        <is>
          <t>PRD-007</t>
        </is>
      </c>
      <c r="F1649" t="inlineStr">
        <is>
          <t>Licenta Office 365 anuala</t>
        </is>
      </c>
      <c r="G1649" t="inlineStr">
        <is>
          <t>Licențe software</t>
        </is>
      </c>
      <c r="H1649" t="n">
        <v>10</v>
      </c>
      <c r="I1649" t="n">
        <v>185.44</v>
      </c>
      <c r="J1649" t="n">
        <v>1854.4</v>
      </c>
      <c r="K1649" s="13" t="n">
        <v>0.19</v>
      </c>
      <c r="L1649" t="n">
        <v>352.34</v>
      </c>
      <c r="M1649" t="n">
        <v>2206.74</v>
      </c>
      <c r="N1649" t="inlineStr">
        <is>
          <t>RON</t>
        </is>
      </c>
      <c r="O1649" t="inlineStr">
        <is>
          <t>Pitești</t>
        </is>
      </c>
      <c r="P1649" s="12" t="n">
        <v>46378</v>
      </c>
      <c r="Q1649">
        <f>IF(COUNTIF(tbl_Localitati[oras_oficial],[@oras])=0,"ORAS NEALINIAT",IF(XLOOKUP([@oras],tbl_Localitati[oras_oficial],tbl_Localitati[judet],"?")&lt;&gt;[@judet],"JUDET NECORESPUNZATOR",""))</f>
        <v/>
      </c>
      <c r="R1649">
        <f>IF(XLOOKUP([@categorie],tbl_RegulriTVA[categorie],tbl_RegulriTVA[cota_legala],-1)&lt;&gt;[@cota_tva],"TVA GRESIT","")</f>
        <v/>
      </c>
      <c r="S1649">
        <f>IF([@data_scadentei]&lt;[@data_factura],"SCADENTA INAINTEA FACTURII","")</f>
        <v/>
      </c>
      <c r="T1649">
        <f>IF(NETWORKDAYS.INTL([@data_factura],[@data_factura],1,tbl_SarbatoriLegale[data])=0,"ZI NELUCRATOARE","")</f>
        <v/>
      </c>
      <c r="U1649">
        <f>IF([@motiv_anomalie]="","OK","DE INVESTIGAT")</f>
        <v/>
      </c>
      <c r="V1649">
        <f>TEXTJOIN("; ",TRUE,[@flag_oras],[@flag_tva],[@flag_scadenta],[@flag_zi])</f>
        <v/>
      </c>
    </row>
    <row r="1650">
      <c r="A1650" t="inlineStr">
        <is>
          <t>F-2025-01649</t>
        </is>
      </c>
      <c r="B1650" s="12" t="n">
        <v>46127</v>
      </c>
      <c r="C1650" t="inlineStr">
        <is>
          <t>SC DACTECH SOLUTIONS SRL</t>
        </is>
      </c>
      <c r="D1650" t="inlineStr">
        <is>
          <t>Argeș</t>
        </is>
      </c>
      <c r="E1650" t="inlineStr">
        <is>
          <t>PRD-009</t>
        </is>
      </c>
      <c r="F1650" t="inlineStr">
        <is>
          <t>Cafea boabe 1kg</t>
        </is>
      </c>
      <c r="G1650" t="inlineStr">
        <is>
          <t>Alimente</t>
        </is>
      </c>
      <c r="H1650" t="n">
        <v>20</v>
      </c>
      <c r="I1650" t="n">
        <v>27.37</v>
      </c>
      <c r="J1650" t="n">
        <v>547.4</v>
      </c>
      <c r="K1650" s="13" t="n">
        <v>0.09</v>
      </c>
      <c r="L1650" t="n">
        <v>49.27</v>
      </c>
      <c r="M1650" t="n">
        <v>596.67</v>
      </c>
      <c r="N1650" t="inlineStr">
        <is>
          <t>RON</t>
        </is>
      </c>
      <c r="O1650" t="inlineStr">
        <is>
          <t>Pitești</t>
        </is>
      </c>
      <c r="P1650" s="12" t="n">
        <v>46172</v>
      </c>
      <c r="Q1650">
        <f>IF(COUNTIF(tbl_Localitati[oras_oficial],[@oras])=0,"ORAS NEALINIAT",IF(XLOOKUP([@oras],tbl_Localitati[oras_oficial],tbl_Localitati[judet],"?")&lt;&gt;[@judet],"JUDET NECORESPUNZATOR",""))</f>
        <v/>
      </c>
      <c r="R1650">
        <f>IF(XLOOKUP([@categorie],tbl_RegulriTVA[categorie],tbl_RegulriTVA[cota_legala],-1)&lt;&gt;[@cota_tva],"TVA GRESIT","")</f>
        <v/>
      </c>
      <c r="S1650">
        <f>IF([@data_scadentei]&lt;[@data_factura],"SCADENTA INAINTEA FACTURII","")</f>
        <v/>
      </c>
      <c r="T1650">
        <f>IF(NETWORKDAYS.INTL([@data_factura],[@data_factura],1,tbl_SarbatoriLegale[data])=0,"ZI NELUCRATOARE","")</f>
        <v/>
      </c>
      <c r="U1650">
        <f>IF([@motiv_anomalie]="","OK","DE INVESTIGAT")</f>
        <v/>
      </c>
      <c r="V1650">
        <f>TEXTJOIN("; ",TRUE,[@flag_oras],[@flag_tva],[@flag_scadenta],[@flag_zi])</f>
        <v/>
      </c>
    </row>
    <row r="1651">
      <c r="A1651" t="inlineStr">
        <is>
          <t>F-2025-01650</t>
        </is>
      </c>
      <c r="B1651" s="12" t="n">
        <v>46055</v>
      </c>
      <c r="C1651" t="inlineStr">
        <is>
          <t>SC INTEGROMED SA</t>
        </is>
      </c>
      <c r="D1651" t="inlineStr">
        <is>
          <t>Cluj</t>
        </is>
      </c>
      <c r="E1651" t="inlineStr">
        <is>
          <t>PRD-002</t>
        </is>
      </c>
      <c r="F1651" t="inlineStr">
        <is>
          <t>Trusa prim ajutor</t>
        </is>
      </c>
      <c r="G1651" t="inlineStr">
        <is>
          <t>Produse farmaceutice</t>
        </is>
      </c>
      <c r="H1651" t="n">
        <v>5</v>
      </c>
      <c r="I1651" t="n">
        <v>1075.68</v>
      </c>
      <c r="J1651" t="n">
        <v>5378.4</v>
      </c>
      <c r="K1651" s="13" t="n">
        <v>0.09</v>
      </c>
      <c r="L1651" t="n">
        <v>484.06</v>
      </c>
      <c r="M1651" t="n">
        <v>5862.46</v>
      </c>
      <c r="N1651" t="inlineStr">
        <is>
          <t>RON</t>
        </is>
      </c>
      <c r="O1651" t="inlineStr">
        <is>
          <t>Cluj-Napoca</t>
        </is>
      </c>
      <c r="P1651" s="12" t="n">
        <v>46085</v>
      </c>
      <c r="Q1651">
        <f>IF(COUNTIF(tbl_Localitati[oras_oficial],[@oras])=0,"ORAS NEALINIAT",IF(XLOOKUP([@oras],tbl_Localitati[oras_oficial],tbl_Localitati[judet],"?")&lt;&gt;[@judet],"JUDET NECORESPUNZATOR",""))</f>
        <v/>
      </c>
      <c r="R1651">
        <f>IF(XLOOKUP([@categorie],tbl_RegulriTVA[categorie],tbl_RegulriTVA[cota_legala],-1)&lt;&gt;[@cota_tva],"TVA GRESIT","")</f>
        <v/>
      </c>
      <c r="S1651">
        <f>IF([@data_scadentei]&lt;[@data_factura],"SCADENTA INAINTEA FACTURII","")</f>
        <v/>
      </c>
      <c r="T1651">
        <f>IF(NETWORKDAYS.INTL([@data_factura],[@data_factura],1,tbl_SarbatoriLegale[data])=0,"ZI NELUCRATOARE","")</f>
        <v/>
      </c>
      <c r="U1651">
        <f>IF([@motiv_anomalie]="","OK","DE INVESTIGAT")</f>
        <v/>
      </c>
      <c r="V1651">
        <f>TEXTJOIN("; ",TRUE,[@flag_oras],[@flag_tva],[@flag_scadenta],[@flag_zi])</f>
        <v/>
      </c>
    </row>
    <row r="1652">
      <c r="A1652" t="inlineStr">
        <is>
          <t>F-2025-01651</t>
        </is>
      </c>
      <c r="B1652" s="12" t="n">
        <v>46380</v>
      </c>
      <c r="C1652" t="inlineStr">
        <is>
          <t>SC RAPID LOGISTIC SA</t>
        </is>
      </c>
      <c r="D1652" t="inlineStr">
        <is>
          <t>Prahova</t>
        </is>
      </c>
      <c r="E1652" t="inlineStr">
        <is>
          <t>PRD-005</t>
        </is>
      </c>
      <c r="F1652" t="inlineStr">
        <is>
          <t>Laptop business 15"</t>
        </is>
      </c>
      <c r="G1652" t="inlineStr">
        <is>
          <t>Hardware IT</t>
        </is>
      </c>
      <c r="H1652" t="n">
        <v>3</v>
      </c>
      <c r="I1652" t="n">
        <v>255</v>
      </c>
      <c r="J1652" t="n">
        <v>765</v>
      </c>
      <c r="K1652" s="13" t="n">
        <v>0.19</v>
      </c>
      <c r="L1652" t="n">
        <v>145.35</v>
      </c>
      <c r="M1652" t="n">
        <v>910.35</v>
      </c>
      <c r="N1652" t="inlineStr">
        <is>
          <t>RON</t>
        </is>
      </c>
      <c r="O1652" t="inlineStr">
        <is>
          <t>Ploiești</t>
        </is>
      </c>
      <c r="P1652" s="12" t="n">
        <v>46425</v>
      </c>
      <c r="Q1652">
        <f>IF(COUNTIF(tbl_Localitati[oras_oficial],[@oras])=0,"ORAS NEALINIAT",IF(XLOOKUP([@oras],tbl_Localitati[oras_oficial],tbl_Localitati[judet],"?")&lt;&gt;[@judet],"JUDET NECORESPUNZATOR",""))</f>
        <v/>
      </c>
      <c r="R1652">
        <f>IF(XLOOKUP([@categorie],tbl_RegulriTVA[categorie],tbl_RegulriTVA[cota_legala],-1)&lt;&gt;[@cota_tva],"TVA GRESIT","")</f>
        <v/>
      </c>
      <c r="S1652">
        <f>IF([@data_scadentei]&lt;[@data_factura],"SCADENTA INAINTEA FACTURII","")</f>
        <v/>
      </c>
      <c r="T1652">
        <f>IF(NETWORKDAYS.INTL([@data_factura],[@data_factura],1,tbl_SarbatoriLegale[data])=0,"ZI NELUCRATOARE","")</f>
        <v/>
      </c>
      <c r="U1652">
        <f>IF([@motiv_anomalie]="","OK","DE INVESTIGAT")</f>
        <v/>
      </c>
      <c r="V1652">
        <f>TEXTJOIN("; ",TRUE,[@flag_oras],[@flag_tva],[@flag_scadenta],[@flag_zi])</f>
        <v/>
      </c>
    </row>
    <row r="1653">
      <c r="A1653" t="inlineStr">
        <is>
          <t>F-2025-01652</t>
        </is>
      </c>
      <c r="B1653" s="12" t="n">
        <v>46294</v>
      </c>
      <c r="C1653" t="inlineStr">
        <is>
          <t>SC DACTECH SOLUTIONS SRL</t>
        </is>
      </c>
      <c r="D1653" t="inlineStr">
        <is>
          <t>Argeș</t>
        </is>
      </c>
      <c r="E1653" t="inlineStr">
        <is>
          <t>PRD-003</t>
        </is>
      </c>
      <c r="F1653" t="inlineStr">
        <is>
          <t>Switch gigabit 24p</t>
        </is>
      </c>
      <c r="G1653" t="inlineStr">
        <is>
          <t>Hardware IT</t>
        </is>
      </c>
      <c r="H1653" t="n">
        <v>3</v>
      </c>
      <c r="I1653" t="n">
        <v>4187.99</v>
      </c>
      <c r="J1653" t="n">
        <v>12563.97</v>
      </c>
      <c r="K1653" s="13" t="n">
        <v>0.19</v>
      </c>
      <c r="L1653" t="n">
        <v>2387.15</v>
      </c>
      <c r="M1653" t="n">
        <v>14951.12</v>
      </c>
      <c r="N1653" t="inlineStr">
        <is>
          <t>RON</t>
        </is>
      </c>
      <c r="O1653" t="inlineStr">
        <is>
          <t>Pitești</t>
        </is>
      </c>
      <c r="P1653" s="12" t="n">
        <v>46324</v>
      </c>
      <c r="Q1653">
        <f>IF(COUNTIF(tbl_Localitati[oras_oficial],[@oras])=0,"ORAS NEALINIAT",IF(XLOOKUP([@oras],tbl_Localitati[oras_oficial],tbl_Localitati[judet],"?")&lt;&gt;[@judet],"JUDET NECORESPUNZATOR",""))</f>
        <v/>
      </c>
      <c r="R1653">
        <f>IF(XLOOKUP([@categorie],tbl_RegulriTVA[categorie],tbl_RegulriTVA[cota_legala],-1)&lt;&gt;[@cota_tva],"TVA GRESIT","")</f>
        <v/>
      </c>
      <c r="S1653">
        <f>IF([@data_scadentei]&lt;[@data_factura],"SCADENTA INAINTEA FACTURII","")</f>
        <v/>
      </c>
      <c r="T1653">
        <f>IF(NETWORKDAYS.INTL([@data_factura],[@data_factura],1,tbl_SarbatoriLegale[data])=0,"ZI NELUCRATOARE","")</f>
        <v/>
      </c>
      <c r="U1653">
        <f>IF([@motiv_anomalie]="","OK","DE INVESTIGAT")</f>
        <v/>
      </c>
      <c r="V1653">
        <f>TEXTJOIN("; ",TRUE,[@flag_oras],[@flag_tva],[@flag_scadenta],[@flag_zi])</f>
        <v/>
      </c>
    </row>
    <row r="1654">
      <c r="A1654" t="inlineStr">
        <is>
          <t>F-2025-01653</t>
        </is>
      </c>
      <c r="B1654" s="12" t="n">
        <v>46097</v>
      </c>
      <c r="C1654" t="inlineStr">
        <is>
          <t>SC AROMET TRADING SRL</t>
        </is>
      </c>
      <c r="D1654" t="inlineStr">
        <is>
          <t>Alba</t>
        </is>
      </c>
      <c r="E1654" t="inlineStr">
        <is>
          <t>PRD-011</t>
        </is>
      </c>
      <c r="F1654" t="inlineStr">
        <is>
          <t>Tocator documente</t>
        </is>
      </c>
      <c r="G1654" t="inlineStr">
        <is>
          <t>Echipamente birou</t>
        </is>
      </c>
      <c r="H1654" t="n">
        <v>5</v>
      </c>
      <c r="I1654" t="n">
        <v>43.14</v>
      </c>
      <c r="J1654" t="n">
        <v>215.7</v>
      </c>
      <c r="K1654" s="13" t="n">
        <v>0.19</v>
      </c>
      <c r="L1654" t="n">
        <v>40.98</v>
      </c>
      <c r="M1654" t="n">
        <v>256.68</v>
      </c>
      <c r="N1654" t="inlineStr">
        <is>
          <t>RON</t>
        </is>
      </c>
      <c r="O1654" t="inlineStr">
        <is>
          <t>Alba Iulia</t>
        </is>
      </c>
      <c r="P1654" s="12" t="n">
        <v>46127</v>
      </c>
      <c r="Q1654">
        <f>IF(COUNTIF(tbl_Localitati[oras_oficial],[@oras])=0,"ORAS NEALINIAT",IF(XLOOKUP([@oras],tbl_Localitati[oras_oficial],tbl_Localitati[judet],"?")&lt;&gt;[@judet],"JUDET NECORESPUNZATOR",""))</f>
        <v/>
      </c>
      <c r="R1654">
        <f>IF(XLOOKUP([@categorie],tbl_RegulriTVA[categorie],tbl_RegulriTVA[cota_legala],-1)&lt;&gt;[@cota_tva],"TVA GRESIT","")</f>
        <v/>
      </c>
      <c r="S1654">
        <f>IF([@data_scadentei]&lt;[@data_factura],"SCADENTA INAINTEA FACTURII","")</f>
        <v/>
      </c>
      <c r="T1654">
        <f>IF(NETWORKDAYS.INTL([@data_factura],[@data_factura],1,tbl_SarbatoriLegale[data])=0,"ZI NELUCRATOARE","")</f>
        <v/>
      </c>
      <c r="U1654">
        <f>IF([@motiv_anomalie]="","OK","DE INVESTIGAT")</f>
        <v/>
      </c>
      <c r="V1654">
        <f>TEXTJOIN("; ",TRUE,[@flag_oras],[@flag_tva],[@flag_scadenta],[@flag_zi])</f>
        <v/>
      </c>
    </row>
    <row r="1655">
      <c r="A1655" t="inlineStr">
        <is>
          <t>F-2025-01654</t>
        </is>
      </c>
      <c r="B1655" s="12" t="n">
        <v>46259</v>
      </c>
      <c r="C1655" t="inlineStr">
        <is>
          <t>SC AROMET TRADING SRL</t>
        </is>
      </c>
      <c r="D1655" t="inlineStr">
        <is>
          <t>Alba</t>
        </is>
      </c>
      <c r="E1655" t="inlineStr">
        <is>
          <t>PRD-002</t>
        </is>
      </c>
      <c r="F1655" t="inlineStr">
        <is>
          <t>Training utilizatori</t>
        </is>
      </c>
      <c r="G1655" t="inlineStr">
        <is>
          <t>Servicii consultanță</t>
        </is>
      </c>
      <c r="H1655" t="n">
        <v>5</v>
      </c>
      <c r="I1655" t="n">
        <v>1078.14</v>
      </c>
      <c r="J1655" t="n">
        <v>5390.7</v>
      </c>
      <c r="K1655" s="13" t="n">
        <v>0.19</v>
      </c>
      <c r="L1655" t="n">
        <v>1024.23</v>
      </c>
      <c r="M1655" t="n">
        <v>6414.93</v>
      </c>
      <c r="N1655" t="inlineStr">
        <is>
          <t>RON</t>
        </is>
      </c>
      <c r="O1655" t="inlineStr">
        <is>
          <t>Alba Iulia</t>
        </is>
      </c>
      <c r="P1655" s="12" t="n">
        <v>46289</v>
      </c>
      <c r="Q1655">
        <f>IF(COUNTIF(tbl_Localitati[oras_oficial],[@oras])=0,"ORAS NEALINIAT",IF(XLOOKUP([@oras],tbl_Localitati[oras_oficial],tbl_Localitati[judet],"?")&lt;&gt;[@judet],"JUDET NECORESPUNZATOR",""))</f>
        <v/>
      </c>
      <c r="R1655">
        <f>IF(XLOOKUP([@categorie],tbl_RegulriTVA[categorie],tbl_RegulriTVA[cota_legala],-1)&lt;&gt;[@cota_tva],"TVA GRESIT","")</f>
        <v/>
      </c>
      <c r="S1655">
        <f>IF([@data_scadentei]&lt;[@data_factura],"SCADENTA INAINTEA FACTURII","")</f>
        <v/>
      </c>
      <c r="T1655">
        <f>IF(NETWORKDAYS.INTL([@data_factura],[@data_factura],1,tbl_SarbatoriLegale[data])=0,"ZI NELUCRATOARE","")</f>
        <v/>
      </c>
      <c r="U1655">
        <f>IF([@motiv_anomalie]="","OK","DE INVESTIGAT")</f>
        <v/>
      </c>
      <c r="V1655">
        <f>TEXTJOIN("; ",TRUE,[@flag_oras],[@flag_tva],[@flag_scadenta],[@flag_zi])</f>
        <v/>
      </c>
    </row>
    <row r="1656">
      <c r="A1656" t="inlineStr">
        <is>
          <t>F-2025-01655</t>
        </is>
      </c>
      <c r="B1656" s="12" t="n">
        <v>46066</v>
      </c>
      <c r="C1656" t="inlineStr">
        <is>
          <t>SC PROVITA MEDICAL SRL</t>
        </is>
      </c>
      <c r="D1656" t="inlineStr">
        <is>
          <t>Mureș</t>
        </is>
      </c>
      <c r="E1656" t="inlineStr">
        <is>
          <t>PRD-003</t>
        </is>
      </c>
      <c r="F1656" t="inlineStr">
        <is>
          <t>Ghid legislatie GDPR</t>
        </is>
      </c>
      <c r="G1656" t="inlineStr">
        <is>
          <t>Cărți și manuale</t>
        </is>
      </c>
      <c r="H1656" t="n">
        <v>5</v>
      </c>
      <c r="I1656" t="n">
        <v>4340.67</v>
      </c>
      <c r="J1656" t="n">
        <v>21703.35</v>
      </c>
      <c r="K1656" s="13" t="n">
        <v>0.05</v>
      </c>
      <c r="L1656" t="n">
        <v>1085.17</v>
      </c>
      <c r="M1656" t="n">
        <v>22788.52</v>
      </c>
      <c r="N1656" t="inlineStr">
        <is>
          <t>RON</t>
        </is>
      </c>
      <c r="O1656" t="inlineStr">
        <is>
          <t>Târgu Mureș</t>
        </is>
      </c>
      <c r="P1656" s="12" t="n">
        <v>46126</v>
      </c>
      <c r="Q1656">
        <f>IF(COUNTIF(tbl_Localitati[oras_oficial],[@oras])=0,"ORAS NEALINIAT",IF(XLOOKUP([@oras],tbl_Localitati[oras_oficial],tbl_Localitati[judet],"?")&lt;&gt;[@judet],"JUDET NECORESPUNZATOR",""))</f>
        <v/>
      </c>
      <c r="R1656">
        <f>IF(XLOOKUP([@categorie],tbl_RegulriTVA[categorie],tbl_RegulriTVA[cota_legala],-1)&lt;&gt;[@cota_tva],"TVA GRESIT","")</f>
        <v/>
      </c>
      <c r="S1656">
        <f>IF([@data_scadentei]&lt;[@data_factura],"SCADENTA INAINTEA FACTURII","")</f>
        <v/>
      </c>
      <c r="T1656">
        <f>IF(NETWORKDAYS.INTL([@data_factura],[@data_factura],1,tbl_SarbatoriLegale[data])=0,"ZI NELUCRATOARE","")</f>
        <v/>
      </c>
      <c r="U1656">
        <f>IF([@motiv_anomalie]="","OK","DE INVESTIGAT")</f>
        <v/>
      </c>
      <c r="V1656">
        <f>TEXTJOIN("; ",TRUE,[@flag_oras],[@flag_tva],[@flag_scadenta],[@flag_zi])</f>
        <v/>
      </c>
    </row>
    <row r="1657">
      <c r="A1657" t="inlineStr">
        <is>
          <t>F-2025-01656</t>
        </is>
      </c>
      <c r="B1657" s="12" t="n">
        <v>46198</v>
      </c>
      <c r="C1657" t="inlineStr">
        <is>
          <t>SC AROMET TRADING SRL</t>
        </is>
      </c>
      <c r="D1657" t="inlineStr">
        <is>
          <t>Alba</t>
        </is>
      </c>
      <c r="E1657" t="inlineStr">
        <is>
          <t>PRD-004</t>
        </is>
      </c>
      <c r="F1657" t="inlineStr">
        <is>
          <t>Ceai cutie 100buc</t>
        </is>
      </c>
      <c r="G1657" t="inlineStr">
        <is>
          <t>Alimente</t>
        </is>
      </c>
      <c r="H1657" t="n">
        <v>1</v>
      </c>
      <c r="I1657" t="n">
        <v>909.84</v>
      </c>
      <c r="J1657" t="n">
        <v>909.84</v>
      </c>
      <c r="K1657" s="13" t="n">
        <v>0.09</v>
      </c>
      <c r="L1657" t="n">
        <v>81.89</v>
      </c>
      <c r="M1657" t="n">
        <v>991.73</v>
      </c>
      <c r="N1657" t="inlineStr">
        <is>
          <t>RON</t>
        </is>
      </c>
      <c r="O1657" t="inlineStr">
        <is>
          <t>Alba Iulia</t>
        </is>
      </c>
      <c r="P1657" s="12" t="n">
        <v>46258</v>
      </c>
      <c r="Q1657">
        <f>IF(COUNTIF(tbl_Localitati[oras_oficial],[@oras])=0,"ORAS NEALINIAT",IF(XLOOKUP([@oras],tbl_Localitati[oras_oficial],tbl_Localitati[judet],"?")&lt;&gt;[@judet],"JUDET NECORESPUNZATOR",""))</f>
        <v/>
      </c>
      <c r="R1657">
        <f>IF(XLOOKUP([@categorie],tbl_RegulriTVA[categorie],tbl_RegulriTVA[cota_legala],-1)&lt;&gt;[@cota_tva],"TVA GRESIT","")</f>
        <v/>
      </c>
      <c r="S1657">
        <f>IF([@data_scadentei]&lt;[@data_factura],"SCADENTA INAINTEA FACTURII","")</f>
        <v/>
      </c>
      <c r="T1657">
        <f>IF(NETWORKDAYS.INTL([@data_factura],[@data_factura],1,tbl_SarbatoriLegale[data])=0,"ZI NELUCRATOARE","")</f>
        <v/>
      </c>
      <c r="U1657">
        <f>IF([@motiv_anomalie]="","OK","DE INVESTIGAT")</f>
        <v/>
      </c>
      <c r="V1657">
        <f>TEXTJOIN("; ",TRUE,[@flag_oras],[@flag_tva],[@flag_scadenta],[@flag_zi])</f>
        <v/>
      </c>
    </row>
    <row r="1658">
      <c r="A1658" t="inlineStr">
        <is>
          <t>F-2025-01657</t>
        </is>
      </c>
      <c r="B1658" s="12" t="n">
        <v>46087</v>
      </c>
      <c r="C1658" t="inlineStr">
        <is>
          <t>SC NORDIS DISTRIBUTIE SRL</t>
        </is>
      </c>
      <c r="D1658" t="inlineStr">
        <is>
          <t>Constanța</t>
        </is>
      </c>
      <c r="E1658" t="inlineStr">
        <is>
          <t>PRD-002</t>
        </is>
      </c>
      <c r="F1658" t="inlineStr">
        <is>
          <t>Switch gigabit 24p</t>
        </is>
      </c>
      <c r="G1658" t="inlineStr">
        <is>
          <t>Hardware IT</t>
        </is>
      </c>
      <c r="H1658" t="n">
        <v>1</v>
      </c>
      <c r="I1658" t="n">
        <v>1073.87</v>
      </c>
      <c r="J1658" t="n">
        <v>1073.87</v>
      </c>
      <c r="K1658" s="13" t="n">
        <v>0.19</v>
      </c>
      <c r="L1658" t="n">
        <v>204.04</v>
      </c>
      <c r="M1658" t="n">
        <v>1277.91</v>
      </c>
      <c r="N1658" t="inlineStr">
        <is>
          <t>RON</t>
        </is>
      </c>
      <c r="O1658" t="inlineStr">
        <is>
          <t>Mangalia</t>
        </is>
      </c>
      <c r="P1658" s="12" t="n">
        <v>46117</v>
      </c>
      <c r="Q1658">
        <f>IF(COUNTIF(tbl_Localitati[oras_oficial],[@oras])=0,"ORAS NEALINIAT",IF(XLOOKUP([@oras],tbl_Localitati[oras_oficial],tbl_Localitati[judet],"?")&lt;&gt;[@judet],"JUDET NECORESPUNZATOR",""))</f>
        <v/>
      </c>
      <c r="R1658">
        <f>IF(XLOOKUP([@categorie],tbl_RegulriTVA[categorie],tbl_RegulriTVA[cota_legala],-1)&lt;&gt;[@cota_tva],"TVA GRESIT","")</f>
        <v/>
      </c>
      <c r="S1658">
        <f>IF([@data_scadentei]&lt;[@data_factura],"SCADENTA INAINTEA FACTURII","")</f>
        <v/>
      </c>
      <c r="T1658">
        <f>IF(NETWORKDAYS.INTL([@data_factura],[@data_factura],1,tbl_SarbatoriLegale[data])=0,"ZI NELUCRATOARE","")</f>
        <v/>
      </c>
      <c r="U1658">
        <f>IF([@motiv_anomalie]="","OK","DE INVESTIGAT")</f>
        <v/>
      </c>
      <c r="V1658">
        <f>TEXTJOIN("; ",TRUE,[@flag_oras],[@flag_tva],[@flag_scadenta],[@flag_zi])</f>
        <v/>
      </c>
    </row>
    <row r="1659">
      <c r="A1659" t="inlineStr">
        <is>
          <t>F-2025-01658</t>
        </is>
      </c>
      <c r="B1659" s="12" t="n">
        <v>46216</v>
      </c>
      <c r="C1659" t="inlineStr">
        <is>
          <t>SC RAPID LOGISTIC SA</t>
        </is>
      </c>
      <c r="D1659" t="inlineStr">
        <is>
          <t>Prahova</t>
        </is>
      </c>
      <c r="E1659" t="inlineStr">
        <is>
          <t>PRD-011</t>
        </is>
      </c>
      <c r="F1659" t="inlineStr">
        <is>
          <t>Tocator documente</t>
        </is>
      </c>
      <c r="G1659" t="inlineStr">
        <is>
          <t>Echipamente birou</t>
        </is>
      </c>
      <c r="H1659" t="n">
        <v>50</v>
      </c>
      <c r="I1659" t="n">
        <v>45.97</v>
      </c>
      <c r="J1659" t="n">
        <v>2298.5</v>
      </c>
      <c r="K1659" s="13" t="n">
        <v>0.19</v>
      </c>
      <c r="L1659" t="n">
        <v>436.72</v>
      </c>
      <c r="M1659" t="n">
        <v>2735.22</v>
      </c>
      <c r="N1659" t="inlineStr">
        <is>
          <t>RON</t>
        </is>
      </c>
      <c r="O1659" t="inlineStr">
        <is>
          <t>Ploiești</t>
        </is>
      </c>
      <c r="P1659" s="12" t="n">
        <v>46246</v>
      </c>
      <c r="Q1659">
        <f>IF(COUNTIF(tbl_Localitati[oras_oficial],[@oras])=0,"ORAS NEALINIAT",IF(XLOOKUP([@oras],tbl_Localitati[oras_oficial],tbl_Localitati[judet],"?")&lt;&gt;[@judet],"JUDET NECORESPUNZATOR",""))</f>
        <v/>
      </c>
      <c r="R1659">
        <f>IF(XLOOKUP([@categorie],tbl_RegulriTVA[categorie],tbl_RegulriTVA[cota_legala],-1)&lt;&gt;[@cota_tva],"TVA GRESIT","")</f>
        <v/>
      </c>
      <c r="S1659">
        <f>IF([@data_scadentei]&lt;[@data_factura],"SCADENTA INAINTEA FACTURII","")</f>
        <v/>
      </c>
      <c r="T1659">
        <f>IF(NETWORKDAYS.INTL([@data_factura],[@data_factura],1,tbl_SarbatoriLegale[data])=0,"ZI NELUCRATOARE","")</f>
        <v/>
      </c>
      <c r="U1659">
        <f>IF([@motiv_anomalie]="","OK","DE INVESTIGAT")</f>
        <v/>
      </c>
      <c r="V1659">
        <f>TEXTJOIN("; ",TRUE,[@flag_oras],[@flag_tva],[@flag_scadenta],[@flag_zi])</f>
        <v/>
      </c>
    </row>
    <row r="1660">
      <c r="A1660" t="inlineStr">
        <is>
          <t>F-2025-01659</t>
        </is>
      </c>
      <c r="B1660" s="12" t="n">
        <v>46248</v>
      </c>
      <c r="C1660" t="inlineStr">
        <is>
          <t>SC INTEGROMED SA</t>
        </is>
      </c>
      <c r="D1660" t="inlineStr">
        <is>
          <t>Cluj</t>
        </is>
      </c>
      <c r="E1660" t="inlineStr">
        <is>
          <t>PRD-013</t>
        </is>
      </c>
      <c r="F1660" t="inlineStr">
        <is>
          <t>Suport tehnic anual</t>
        </is>
      </c>
      <c r="G1660" t="inlineStr">
        <is>
          <t>Servicii consultanță</t>
        </is>
      </c>
      <c r="H1660" t="n">
        <v>4</v>
      </c>
      <c r="I1660" t="n">
        <v>1172.9</v>
      </c>
      <c r="J1660" t="n">
        <v>4691.6</v>
      </c>
      <c r="K1660" s="13" t="n">
        <v>0.19</v>
      </c>
      <c r="L1660" t="n">
        <v>891.4</v>
      </c>
      <c r="M1660" t="n">
        <v>5583</v>
      </c>
      <c r="N1660" t="inlineStr">
        <is>
          <t>RON</t>
        </is>
      </c>
      <c r="O1660" t="inlineStr">
        <is>
          <t>Cluj-Napoca</t>
        </is>
      </c>
      <c r="P1660" s="12" t="n">
        <v>46278</v>
      </c>
      <c r="Q1660">
        <f>IF(COUNTIF(tbl_Localitati[oras_oficial],[@oras])=0,"ORAS NEALINIAT",IF(XLOOKUP([@oras],tbl_Localitati[oras_oficial],tbl_Localitati[judet],"?")&lt;&gt;[@judet],"JUDET NECORESPUNZATOR",""))</f>
        <v/>
      </c>
      <c r="R1660">
        <f>IF(XLOOKUP([@categorie],tbl_RegulriTVA[categorie],tbl_RegulriTVA[cota_legala],-1)&lt;&gt;[@cota_tva],"TVA GRESIT","")</f>
        <v/>
      </c>
      <c r="S1660">
        <f>IF([@data_scadentei]&lt;[@data_factura],"SCADENTA INAINTEA FACTURII","")</f>
        <v/>
      </c>
      <c r="T1660">
        <f>IF(NETWORKDAYS.INTL([@data_factura],[@data_factura],1,tbl_SarbatoriLegale[data])=0,"ZI NELUCRATOARE","")</f>
        <v/>
      </c>
      <c r="U1660">
        <f>IF([@motiv_anomalie]="","OK","DE INVESTIGAT")</f>
        <v/>
      </c>
      <c r="V1660">
        <f>TEXTJOIN("; ",TRUE,[@flag_oras],[@flag_tva],[@flag_scadenta],[@flag_zi])</f>
        <v/>
      </c>
    </row>
    <row r="1661">
      <c r="A1661" t="inlineStr">
        <is>
          <t>F-2025-01660</t>
        </is>
      </c>
      <c r="B1661" s="12" t="n">
        <v>46231</v>
      </c>
      <c r="C1661" t="inlineStr">
        <is>
          <t>SC INTEGROMED SA</t>
        </is>
      </c>
      <c r="D1661" t="inlineStr">
        <is>
          <t>Cluj</t>
        </is>
      </c>
      <c r="E1661" t="inlineStr">
        <is>
          <t>PRD-008</t>
        </is>
      </c>
      <c r="F1661" t="inlineStr">
        <is>
          <t>Licenta ERP contabilitate</t>
        </is>
      </c>
      <c r="G1661" t="inlineStr">
        <is>
          <t>Licențe software</t>
        </is>
      </c>
      <c r="H1661" t="n">
        <v>1</v>
      </c>
      <c r="I1661" t="n">
        <v>468.59</v>
      </c>
      <c r="J1661" t="n">
        <v>468.59</v>
      </c>
      <c r="K1661" s="13" t="n">
        <v>0.19</v>
      </c>
      <c r="L1661" t="n">
        <v>89.03</v>
      </c>
      <c r="M1661" t="n">
        <v>557.62</v>
      </c>
      <c r="N1661" t="inlineStr">
        <is>
          <t>RON</t>
        </is>
      </c>
      <c r="O1661" t="inlineStr">
        <is>
          <t>Cluj-Napoca</t>
        </is>
      </c>
      <c r="P1661" s="12" t="n">
        <v>46261</v>
      </c>
      <c r="Q1661">
        <f>IF(COUNTIF(tbl_Localitati[oras_oficial],[@oras])=0,"ORAS NEALINIAT",IF(XLOOKUP([@oras],tbl_Localitati[oras_oficial],tbl_Localitati[judet],"?")&lt;&gt;[@judet],"JUDET NECORESPUNZATOR",""))</f>
        <v/>
      </c>
      <c r="R1661">
        <f>IF(XLOOKUP([@categorie],tbl_RegulriTVA[categorie],tbl_RegulriTVA[cota_legala],-1)&lt;&gt;[@cota_tva],"TVA GRESIT","")</f>
        <v/>
      </c>
      <c r="S1661">
        <f>IF([@data_scadentei]&lt;[@data_factura],"SCADENTA INAINTEA FACTURII","")</f>
        <v/>
      </c>
      <c r="T1661">
        <f>IF(NETWORKDAYS.INTL([@data_factura],[@data_factura],1,tbl_SarbatoriLegale[data])=0,"ZI NELUCRATOARE","")</f>
        <v/>
      </c>
      <c r="U1661">
        <f>IF([@motiv_anomalie]="","OK","DE INVESTIGAT")</f>
        <v/>
      </c>
      <c r="V1661">
        <f>TEXTJOIN("; ",TRUE,[@flag_oras],[@flag_tva],[@flag_scadenta],[@flag_zi])</f>
        <v/>
      </c>
    </row>
    <row r="1662">
      <c r="A1662" t="inlineStr">
        <is>
          <t>F-2025-01661</t>
        </is>
      </c>
      <c r="B1662" s="12" t="n">
        <v>46308</v>
      </c>
      <c r="C1662" t="inlineStr">
        <is>
          <t>SC TEHNOPLUS SERVICE SRL</t>
        </is>
      </c>
      <c r="D1662" t="inlineStr">
        <is>
          <t>Prahova</t>
        </is>
      </c>
      <c r="E1662" t="inlineStr">
        <is>
          <t>PRD-003</t>
        </is>
      </c>
      <c r="F1662" t="inlineStr">
        <is>
          <t>Telefon IP birou</t>
        </is>
      </c>
      <c r="G1662" t="inlineStr">
        <is>
          <t>Echipamente birou</t>
        </is>
      </c>
      <c r="H1662" t="n">
        <v>1</v>
      </c>
      <c r="I1662" t="n">
        <v>4131.91</v>
      </c>
      <c r="J1662" t="n">
        <v>4131.91</v>
      </c>
      <c r="K1662" s="13" t="n">
        <v>0.19</v>
      </c>
      <c r="L1662" t="n">
        <v>785.0599999999999</v>
      </c>
      <c r="M1662" t="n">
        <v>4916.97</v>
      </c>
      <c r="N1662" t="inlineStr">
        <is>
          <t>RON</t>
        </is>
      </c>
      <c r="O1662" t="inlineStr">
        <is>
          <t>Sibiu</t>
        </is>
      </c>
      <c r="P1662" s="12" t="n">
        <v>46368</v>
      </c>
      <c r="Q1662">
        <f>IF(COUNTIF(tbl_Localitati[oras_oficial],[@oras])=0,"ORAS NEALINIAT",IF(XLOOKUP([@oras],tbl_Localitati[oras_oficial],tbl_Localitati[judet],"?")&lt;&gt;[@judet],"JUDET NECORESPUNZATOR",""))</f>
        <v/>
      </c>
      <c r="R1662">
        <f>IF(XLOOKUP([@categorie],tbl_RegulriTVA[categorie],tbl_RegulriTVA[cota_legala],-1)&lt;&gt;[@cota_tva],"TVA GRESIT","")</f>
        <v/>
      </c>
      <c r="S1662">
        <f>IF([@data_scadentei]&lt;[@data_factura],"SCADENTA INAINTEA FACTURII","")</f>
        <v/>
      </c>
      <c r="T1662">
        <f>IF(NETWORKDAYS.INTL([@data_factura],[@data_factura],1,tbl_SarbatoriLegale[data])=0,"ZI NELUCRATOARE","")</f>
        <v/>
      </c>
      <c r="U1662">
        <f>IF([@motiv_anomalie]="","OK","DE INVESTIGAT")</f>
        <v/>
      </c>
      <c r="V1662">
        <f>TEXTJOIN("; ",TRUE,[@flag_oras],[@flag_tva],[@flag_scadenta],[@flag_zi])</f>
        <v/>
      </c>
    </row>
    <row r="1663">
      <c r="A1663" t="inlineStr">
        <is>
          <t>F-2025-01662</t>
        </is>
      </c>
      <c r="B1663" s="12" t="n">
        <v>46148</v>
      </c>
      <c r="C1663" t="inlineStr">
        <is>
          <t>SC RAPID LOGISTIC SA</t>
        </is>
      </c>
      <c r="D1663" t="inlineStr">
        <is>
          <t>Prahova</t>
        </is>
      </c>
      <c r="E1663" t="inlineStr">
        <is>
          <t>PRD-010</t>
        </is>
      </c>
      <c r="F1663" t="inlineStr">
        <is>
          <t>Dezinfectant maini 5L</t>
        </is>
      </c>
      <c r="G1663" t="inlineStr">
        <is>
          <t>Produse farmaceutice</t>
        </is>
      </c>
      <c r="H1663" t="n">
        <v>100</v>
      </c>
      <c r="I1663" t="n">
        <v>336.41</v>
      </c>
      <c r="J1663" t="n">
        <v>33641</v>
      </c>
      <c r="K1663" s="13" t="n">
        <v>0.09</v>
      </c>
      <c r="L1663" t="n">
        <v>3027.69</v>
      </c>
      <c r="M1663" t="n">
        <v>36668.69</v>
      </c>
      <c r="N1663" t="inlineStr">
        <is>
          <t>RON</t>
        </is>
      </c>
      <c r="O1663" t="inlineStr">
        <is>
          <t>Ploiești</t>
        </is>
      </c>
      <c r="P1663" s="12" t="n">
        <v>46193</v>
      </c>
      <c r="Q1663">
        <f>IF(COUNTIF(tbl_Localitati[oras_oficial],[@oras])=0,"ORAS NEALINIAT",IF(XLOOKUP([@oras],tbl_Localitati[oras_oficial],tbl_Localitati[judet],"?")&lt;&gt;[@judet],"JUDET NECORESPUNZATOR",""))</f>
        <v/>
      </c>
      <c r="R1663">
        <f>IF(XLOOKUP([@categorie],tbl_RegulriTVA[categorie],tbl_RegulriTVA[cota_legala],-1)&lt;&gt;[@cota_tva],"TVA GRESIT","")</f>
        <v/>
      </c>
      <c r="S1663">
        <f>IF([@data_scadentei]&lt;[@data_factura],"SCADENTA INAINTEA FACTURII","")</f>
        <v/>
      </c>
      <c r="T1663">
        <f>IF(NETWORKDAYS.INTL([@data_factura],[@data_factura],1,tbl_SarbatoriLegale[data])=0,"ZI NELUCRATOARE","")</f>
        <v/>
      </c>
      <c r="U1663">
        <f>IF([@motiv_anomalie]="","OK","DE INVESTIGAT")</f>
        <v/>
      </c>
      <c r="V1663">
        <f>TEXTJOIN("; ",TRUE,[@flag_oras],[@flag_tva],[@flag_scadenta],[@flag_zi])</f>
        <v/>
      </c>
    </row>
    <row r="1664">
      <c r="A1664" t="inlineStr">
        <is>
          <t>F-2025-01663</t>
        </is>
      </c>
      <c r="B1664" s="12" t="n">
        <v>46230</v>
      </c>
      <c r="C1664" t="inlineStr">
        <is>
          <t>SC AROMET TRADING SRL</t>
        </is>
      </c>
      <c r="D1664" t="inlineStr">
        <is>
          <t>Alba</t>
        </is>
      </c>
      <c r="E1664" t="inlineStr">
        <is>
          <t>PRD-010</t>
        </is>
      </c>
      <c r="F1664" t="inlineStr">
        <is>
          <t>Training utilizatori</t>
        </is>
      </c>
      <c r="G1664" t="inlineStr">
        <is>
          <t>Servicii consultanță</t>
        </is>
      </c>
      <c r="H1664" t="n">
        <v>5</v>
      </c>
      <c r="I1664" t="n">
        <v>365.64</v>
      </c>
      <c r="J1664" t="n">
        <v>1828.2</v>
      </c>
      <c r="K1664" s="13" t="n">
        <v>0.19</v>
      </c>
      <c r="L1664" t="n">
        <v>347.36</v>
      </c>
      <c r="M1664" t="n">
        <v>2175.56</v>
      </c>
      <c r="N1664" t="inlineStr">
        <is>
          <t>RON</t>
        </is>
      </c>
      <c r="O1664" t="inlineStr">
        <is>
          <t>Alba Iulia</t>
        </is>
      </c>
      <c r="P1664" s="12" t="n">
        <v>46260</v>
      </c>
      <c r="Q1664">
        <f>IF(COUNTIF(tbl_Localitati[oras_oficial],[@oras])=0,"ORAS NEALINIAT",IF(XLOOKUP([@oras],tbl_Localitati[oras_oficial],tbl_Localitati[judet],"?")&lt;&gt;[@judet],"JUDET NECORESPUNZATOR",""))</f>
        <v/>
      </c>
      <c r="R1664">
        <f>IF(XLOOKUP([@categorie],tbl_RegulriTVA[categorie],tbl_RegulriTVA[cota_legala],-1)&lt;&gt;[@cota_tva],"TVA GRESIT","")</f>
        <v/>
      </c>
      <c r="S1664">
        <f>IF([@data_scadentei]&lt;[@data_factura],"SCADENTA INAINTEA FACTURII","")</f>
        <v/>
      </c>
      <c r="T1664">
        <f>IF(NETWORKDAYS.INTL([@data_factura],[@data_factura],1,tbl_SarbatoriLegale[data])=0,"ZI NELUCRATOARE","")</f>
        <v/>
      </c>
      <c r="U1664">
        <f>IF([@motiv_anomalie]="","OK","DE INVESTIGAT")</f>
        <v/>
      </c>
      <c r="V1664">
        <f>TEXTJOIN("; ",TRUE,[@flag_oras],[@flag_tva],[@flag_scadenta],[@flag_zi])</f>
        <v/>
      </c>
    </row>
    <row r="1665">
      <c r="A1665" t="inlineStr">
        <is>
          <t>F-2025-01664</t>
        </is>
      </c>
      <c r="B1665" s="12" t="n">
        <v>46231</v>
      </c>
      <c r="C1665" t="inlineStr">
        <is>
          <t>SC NORDIS DISTRIBUTIE SRL</t>
        </is>
      </c>
      <c r="D1665" t="inlineStr">
        <is>
          <t>Constanța</t>
        </is>
      </c>
      <c r="E1665" t="inlineStr">
        <is>
          <t>PRD-003</t>
        </is>
      </c>
      <c r="F1665" t="inlineStr">
        <is>
          <t>Ghid legislatie GDPR</t>
        </is>
      </c>
      <c r="G1665" t="inlineStr">
        <is>
          <t>Cărți și manuale</t>
        </is>
      </c>
      <c r="H1665" t="n">
        <v>5</v>
      </c>
      <c r="I1665" t="n">
        <v>4113.09</v>
      </c>
      <c r="J1665" t="n">
        <v>20565.45</v>
      </c>
      <c r="K1665" s="13" t="n">
        <v>0.05</v>
      </c>
      <c r="L1665" t="n">
        <v>1028.27</v>
      </c>
      <c r="M1665" t="n">
        <v>21593.72</v>
      </c>
      <c r="N1665" t="inlineStr">
        <is>
          <t>RON</t>
        </is>
      </c>
      <c r="O1665" t="inlineStr">
        <is>
          <t>Mangalia</t>
        </is>
      </c>
      <c r="P1665" s="12" t="n">
        <v>46291</v>
      </c>
      <c r="Q1665">
        <f>IF(COUNTIF(tbl_Localitati[oras_oficial],[@oras])=0,"ORAS NEALINIAT",IF(XLOOKUP([@oras],tbl_Localitati[oras_oficial],tbl_Localitati[judet],"?")&lt;&gt;[@judet],"JUDET NECORESPUNZATOR",""))</f>
        <v/>
      </c>
      <c r="R1665">
        <f>IF(XLOOKUP([@categorie],tbl_RegulriTVA[categorie],tbl_RegulriTVA[cota_legala],-1)&lt;&gt;[@cota_tva],"TVA GRESIT","")</f>
        <v/>
      </c>
      <c r="S1665">
        <f>IF([@data_scadentei]&lt;[@data_factura],"SCADENTA INAINTEA FACTURII","")</f>
        <v/>
      </c>
      <c r="T1665">
        <f>IF(NETWORKDAYS.INTL([@data_factura],[@data_factura],1,tbl_SarbatoriLegale[data])=0,"ZI NELUCRATOARE","")</f>
        <v/>
      </c>
      <c r="U1665">
        <f>IF([@motiv_anomalie]="","OK","DE INVESTIGAT")</f>
        <v/>
      </c>
      <c r="V1665">
        <f>TEXTJOIN("; ",TRUE,[@flag_oras],[@flag_tva],[@flag_scadenta],[@flag_zi])</f>
        <v/>
      </c>
    </row>
    <row r="1666">
      <c r="A1666" t="inlineStr">
        <is>
          <t>F-2025-01665</t>
        </is>
      </c>
      <c r="B1666" s="12" t="n">
        <v>46384</v>
      </c>
      <c r="C1666" t="inlineStr">
        <is>
          <t>SC OMEGA SOFT SRL</t>
        </is>
      </c>
      <c r="D1666" t="inlineStr">
        <is>
          <t>Dolj</t>
        </is>
      </c>
      <c r="E1666" t="inlineStr">
        <is>
          <t>PRD-006</t>
        </is>
      </c>
      <c r="F1666" t="inlineStr">
        <is>
          <t>Abonament suita cloud</t>
        </is>
      </c>
      <c r="G1666" t="inlineStr">
        <is>
          <t>Licențe software</t>
        </is>
      </c>
      <c r="H1666" t="n">
        <v>1</v>
      </c>
      <c r="I1666" t="n">
        <v>737.26</v>
      </c>
      <c r="J1666" t="n">
        <v>737.26</v>
      </c>
      <c r="K1666" s="13" t="n">
        <v>0.19</v>
      </c>
      <c r="L1666" t="n">
        <v>140.08</v>
      </c>
      <c r="M1666" t="n">
        <v>877.34</v>
      </c>
      <c r="N1666" t="inlineStr">
        <is>
          <t>USD</t>
        </is>
      </c>
      <c r="O1666" t="inlineStr">
        <is>
          <t>Craiova</t>
        </is>
      </c>
      <c r="P1666" s="12" t="n">
        <v>46414</v>
      </c>
      <c r="Q1666">
        <f>IF(COUNTIF(tbl_Localitati[oras_oficial],[@oras])=0,"ORAS NEALINIAT",IF(XLOOKUP([@oras],tbl_Localitati[oras_oficial],tbl_Localitati[judet],"?")&lt;&gt;[@judet],"JUDET NECORESPUNZATOR",""))</f>
        <v/>
      </c>
      <c r="R1666">
        <f>IF(XLOOKUP([@categorie],tbl_RegulriTVA[categorie],tbl_RegulriTVA[cota_legala],-1)&lt;&gt;[@cota_tva],"TVA GRESIT","")</f>
        <v/>
      </c>
      <c r="S1666">
        <f>IF([@data_scadentei]&lt;[@data_factura],"SCADENTA INAINTEA FACTURII","")</f>
        <v/>
      </c>
      <c r="T1666">
        <f>IF(NETWORKDAYS.INTL([@data_factura],[@data_factura],1,tbl_SarbatoriLegale[data])=0,"ZI NELUCRATOARE","")</f>
        <v/>
      </c>
      <c r="U1666">
        <f>IF([@motiv_anomalie]="","OK","DE INVESTIGAT")</f>
        <v/>
      </c>
      <c r="V1666">
        <f>TEXTJOIN("; ",TRUE,[@flag_oras],[@flag_tva],[@flag_scadenta],[@flag_zi])</f>
        <v/>
      </c>
    </row>
    <row r="1667">
      <c r="A1667" t="inlineStr">
        <is>
          <t>F-2025-01666</t>
        </is>
      </c>
      <c r="B1667" s="12" t="n">
        <v>46027</v>
      </c>
      <c r="C1667" t="inlineStr">
        <is>
          <t>SC AROMET TRADING SRL</t>
        </is>
      </c>
      <c r="D1667" t="inlineStr">
        <is>
          <t>Alba</t>
        </is>
      </c>
      <c r="E1667" t="inlineStr">
        <is>
          <t>PRD-007</t>
        </is>
      </c>
      <c r="F1667" t="inlineStr">
        <is>
          <t>Multifunctionala laser</t>
        </is>
      </c>
      <c r="G1667" t="inlineStr">
        <is>
          <t>Echipamente birou</t>
        </is>
      </c>
      <c r="H1667" t="n">
        <v>1</v>
      </c>
      <c r="I1667" t="n">
        <v>173.99</v>
      </c>
      <c r="J1667" t="n">
        <v>173.99</v>
      </c>
      <c r="K1667" s="13" t="n">
        <v>0.19</v>
      </c>
      <c r="L1667" t="n">
        <v>33.06</v>
      </c>
      <c r="M1667" t="n">
        <v>207.05</v>
      </c>
      <c r="N1667" t="inlineStr">
        <is>
          <t>RON</t>
        </is>
      </c>
      <c r="O1667" t="inlineStr">
        <is>
          <t>Alba Iulia</t>
        </is>
      </c>
      <c r="P1667" s="12" t="n">
        <v>46087</v>
      </c>
      <c r="Q1667">
        <f>IF(COUNTIF(tbl_Localitati[oras_oficial],[@oras])=0,"ORAS NEALINIAT",IF(XLOOKUP([@oras],tbl_Localitati[oras_oficial],tbl_Localitati[judet],"?")&lt;&gt;[@judet],"JUDET NECORESPUNZATOR",""))</f>
        <v/>
      </c>
      <c r="R1667">
        <f>IF(XLOOKUP([@categorie],tbl_RegulriTVA[categorie],tbl_RegulriTVA[cota_legala],-1)&lt;&gt;[@cota_tva],"TVA GRESIT","")</f>
        <v/>
      </c>
      <c r="S1667">
        <f>IF([@data_scadentei]&lt;[@data_factura],"SCADENTA INAINTEA FACTURII","")</f>
        <v/>
      </c>
      <c r="T1667">
        <f>IF(NETWORKDAYS.INTL([@data_factura],[@data_factura],1,tbl_SarbatoriLegale[data])=0,"ZI NELUCRATOARE","")</f>
        <v/>
      </c>
      <c r="U1667">
        <f>IF([@motiv_anomalie]="","OK","DE INVESTIGAT")</f>
        <v/>
      </c>
      <c r="V1667">
        <f>TEXTJOIN("; ",TRUE,[@flag_oras],[@flag_tva],[@flag_scadenta],[@flag_zi])</f>
        <v/>
      </c>
    </row>
    <row r="1668">
      <c r="A1668" t="inlineStr">
        <is>
          <t>F-2025-01667</t>
        </is>
      </c>
      <c r="B1668" s="12" t="n">
        <v>46247</v>
      </c>
      <c r="C1668" t="inlineStr">
        <is>
          <t>SC PROVITA MEDICAL SRL</t>
        </is>
      </c>
      <c r="D1668" t="inlineStr">
        <is>
          <t>Mureș</t>
        </is>
      </c>
      <c r="E1668" t="inlineStr">
        <is>
          <t>PRD-002</t>
        </is>
      </c>
      <c r="F1668" t="inlineStr">
        <is>
          <t>Licenta antivirus enterprise</t>
        </is>
      </c>
      <c r="G1668" t="inlineStr">
        <is>
          <t>Licențe software</t>
        </is>
      </c>
      <c r="H1668" t="n">
        <v>1</v>
      </c>
      <c r="I1668" t="n">
        <v>1109.55</v>
      </c>
      <c r="J1668" t="n">
        <v>1109.55</v>
      </c>
      <c r="K1668" s="13" t="n">
        <v>0.09</v>
      </c>
      <c r="L1668" t="n">
        <v>99.86</v>
      </c>
      <c r="M1668" t="n">
        <v>1209.41</v>
      </c>
      <c r="N1668" t="inlineStr">
        <is>
          <t>RON</t>
        </is>
      </c>
      <c r="O1668" t="inlineStr">
        <is>
          <t>Bv</t>
        </is>
      </c>
      <c r="P1668" s="12" t="n">
        <v>46262</v>
      </c>
      <c r="Q1668">
        <f>IF(COUNTIF(tbl_Localitati[oras_oficial],[@oras])=0,"ORAS NEALINIAT",IF(XLOOKUP([@oras],tbl_Localitati[oras_oficial],tbl_Localitati[judet],"?")&lt;&gt;[@judet],"JUDET NECORESPUNZATOR",""))</f>
        <v/>
      </c>
      <c r="R1668">
        <f>IF(XLOOKUP([@categorie],tbl_RegulriTVA[categorie],tbl_RegulriTVA[cota_legala],-1)&lt;&gt;[@cota_tva],"TVA GRESIT","")</f>
        <v/>
      </c>
      <c r="S1668">
        <f>IF([@data_scadentei]&lt;[@data_factura],"SCADENTA INAINTEA FACTURII","")</f>
        <v/>
      </c>
      <c r="T1668">
        <f>IF(NETWORKDAYS.INTL([@data_factura],[@data_factura],1,tbl_SarbatoriLegale[data])=0,"ZI NELUCRATOARE","")</f>
        <v/>
      </c>
      <c r="U1668">
        <f>IF([@motiv_anomalie]="","OK","DE INVESTIGAT")</f>
        <v/>
      </c>
      <c r="V1668">
        <f>TEXTJOIN("; ",TRUE,[@flag_oras],[@flag_tva],[@flag_scadenta],[@flag_zi])</f>
        <v/>
      </c>
    </row>
    <row r="1669">
      <c r="A1669" t="inlineStr">
        <is>
          <t>F-2025-01668</t>
        </is>
      </c>
      <c r="B1669" s="12" t="n">
        <v>46030</v>
      </c>
      <c r="C1669" t="inlineStr">
        <is>
          <t>SC PROVITA MEDICAL SRL</t>
        </is>
      </c>
      <c r="D1669" t="inlineStr">
        <is>
          <t>Mureș</t>
        </is>
      </c>
      <c r="E1669" t="inlineStr">
        <is>
          <t>PRD-009</t>
        </is>
      </c>
      <c r="F1669" t="inlineStr">
        <is>
          <t>Licenta antivirus enterprise</t>
        </is>
      </c>
      <c r="G1669" t="inlineStr">
        <is>
          <t>Licențe software</t>
        </is>
      </c>
      <c r="H1669" t="n">
        <v>50</v>
      </c>
      <c r="I1669" t="n">
        <v>29.04</v>
      </c>
      <c r="J1669" t="n">
        <v>1452</v>
      </c>
      <c r="K1669" s="13" t="n">
        <v>0.19</v>
      </c>
      <c r="L1669" t="n">
        <v>275.88</v>
      </c>
      <c r="M1669" t="n">
        <v>1727.88</v>
      </c>
      <c r="N1669" t="inlineStr">
        <is>
          <t>RON</t>
        </is>
      </c>
      <c r="O1669" t="inlineStr">
        <is>
          <t>Târgu Mureș</t>
        </is>
      </c>
      <c r="P1669" s="12" t="n">
        <v>46060</v>
      </c>
      <c r="Q1669">
        <f>IF(COUNTIF(tbl_Localitati[oras_oficial],[@oras])=0,"ORAS NEALINIAT",IF(XLOOKUP([@oras],tbl_Localitati[oras_oficial],tbl_Localitati[judet],"?")&lt;&gt;[@judet],"JUDET NECORESPUNZATOR",""))</f>
        <v/>
      </c>
      <c r="R1669">
        <f>IF(XLOOKUP([@categorie],tbl_RegulriTVA[categorie],tbl_RegulriTVA[cota_legala],-1)&lt;&gt;[@cota_tva],"TVA GRESIT","")</f>
        <v/>
      </c>
      <c r="S1669">
        <f>IF([@data_scadentei]&lt;[@data_factura],"SCADENTA INAINTEA FACTURII","")</f>
        <v/>
      </c>
      <c r="T1669">
        <f>IF(NETWORKDAYS.INTL([@data_factura],[@data_factura],1,tbl_SarbatoriLegale[data])=0,"ZI NELUCRATOARE","")</f>
        <v/>
      </c>
      <c r="U1669">
        <f>IF([@motiv_anomalie]="","OK","DE INVESTIGAT")</f>
        <v/>
      </c>
      <c r="V1669">
        <f>TEXTJOIN("; ",TRUE,[@flag_oras],[@flag_tva],[@flag_scadenta],[@flag_zi])</f>
        <v/>
      </c>
    </row>
    <row r="1670">
      <c r="A1670" t="inlineStr">
        <is>
          <t>F-2025-01669</t>
        </is>
      </c>
      <c r="B1670" s="12" t="n">
        <v>46089</v>
      </c>
      <c r="C1670" t="inlineStr">
        <is>
          <t>SC DACTECH SOLUTIONS SRL</t>
        </is>
      </c>
      <c r="D1670" t="inlineStr">
        <is>
          <t>Argeș</t>
        </is>
      </c>
      <c r="E1670" t="inlineStr">
        <is>
          <t>PRD-004</t>
        </is>
      </c>
      <c r="F1670" t="inlineStr">
        <is>
          <t>Laptop business 15"</t>
        </is>
      </c>
      <c r="G1670" t="inlineStr">
        <is>
          <t>Hardware IT</t>
        </is>
      </c>
      <c r="H1670" t="n">
        <v>1</v>
      </c>
      <c r="I1670" t="n">
        <v>929.22</v>
      </c>
      <c r="J1670" t="n">
        <v>929.22</v>
      </c>
      <c r="K1670" s="13" t="n">
        <v>0.19</v>
      </c>
      <c r="L1670" t="n">
        <v>176.55</v>
      </c>
      <c r="M1670" t="n">
        <v>1105.77</v>
      </c>
      <c r="N1670" t="inlineStr">
        <is>
          <t>RON</t>
        </is>
      </c>
      <c r="O1670" t="inlineStr">
        <is>
          <t>Pitești</t>
        </is>
      </c>
      <c r="P1670" s="12" t="n">
        <v>46119</v>
      </c>
      <c r="Q1670">
        <f>IF(COUNTIF(tbl_Localitati[oras_oficial],[@oras])=0,"ORAS NEALINIAT",IF(XLOOKUP([@oras],tbl_Localitati[oras_oficial],tbl_Localitati[judet],"?")&lt;&gt;[@judet],"JUDET NECORESPUNZATOR",""))</f>
        <v/>
      </c>
      <c r="R1670">
        <f>IF(XLOOKUP([@categorie],tbl_RegulriTVA[categorie],tbl_RegulriTVA[cota_legala],-1)&lt;&gt;[@cota_tva],"TVA GRESIT","")</f>
        <v/>
      </c>
      <c r="S1670">
        <f>IF([@data_scadentei]&lt;[@data_factura],"SCADENTA INAINTEA FACTURII","")</f>
        <v/>
      </c>
      <c r="T1670">
        <f>IF(NETWORKDAYS.INTL([@data_factura],[@data_factura],1,tbl_SarbatoriLegale[data])=0,"ZI NELUCRATOARE","")</f>
        <v/>
      </c>
      <c r="U1670">
        <f>IF([@motiv_anomalie]="","OK","DE INVESTIGAT")</f>
        <v/>
      </c>
      <c r="V1670">
        <f>TEXTJOIN("; ",TRUE,[@flag_oras],[@flag_tva],[@flag_scadenta],[@flag_zi])</f>
        <v/>
      </c>
    </row>
    <row r="1671">
      <c r="A1671" t="inlineStr">
        <is>
          <t>F-2025-01670</t>
        </is>
      </c>
      <c r="B1671" s="12" t="n">
        <v>46329</v>
      </c>
      <c r="C1671" t="inlineStr">
        <is>
          <t>SC AROMET TRADING SRL</t>
        </is>
      </c>
      <c r="D1671" t="inlineStr">
        <is>
          <t>Alba</t>
        </is>
      </c>
      <c r="E1671" t="inlineStr">
        <is>
          <t>PRD-004</t>
        </is>
      </c>
      <c r="F1671" t="inlineStr">
        <is>
          <t>Ghid legislatie GDPR</t>
        </is>
      </c>
      <c r="G1671" t="inlineStr">
        <is>
          <t>Cărți și manuale</t>
        </is>
      </c>
      <c r="H1671" t="n">
        <v>1</v>
      </c>
      <c r="I1671" t="n">
        <v>894.99</v>
      </c>
      <c r="J1671" t="n">
        <v>894.99</v>
      </c>
      <c r="K1671" s="13" t="n">
        <v>0.05</v>
      </c>
      <c r="L1671" t="n">
        <v>44.75</v>
      </c>
      <c r="M1671" t="n">
        <v>939.74</v>
      </c>
      <c r="N1671" t="inlineStr">
        <is>
          <t>RON</t>
        </is>
      </c>
      <c r="O1671" t="inlineStr">
        <is>
          <t>Alba Iulia</t>
        </is>
      </c>
      <c r="P1671" s="12" t="n">
        <v>46389</v>
      </c>
      <c r="Q1671">
        <f>IF(COUNTIF(tbl_Localitati[oras_oficial],[@oras])=0,"ORAS NEALINIAT",IF(XLOOKUP([@oras],tbl_Localitati[oras_oficial],tbl_Localitati[judet],"?")&lt;&gt;[@judet],"JUDET NECORESPUNZATOR",""))</f>
        <v/>
      </c>
      <c r="R1671">
        <f>IF(XLOOKUP([@categorie],tbl_RegulriTVA[categorie],tbl_RegulriTVA[cota_legala],-1)&lt;&gt;[@cota_tva],"TVA GRESIT","")</f>
        <v/>
      </c>
      <c r="S1671">
        <f>IF([@data_scadentei]&lt;[@data_factura],"SCADENTA INAINTEA FACTURII","")</f>
        <v/>
      </c>
      <c r="T1671">
        <f>IF(NETWORKDAYS.INTL([@data_factura],[@data_factura],1,tbl_SarbatoriLegale[data])=0,"ZI NELUCRATOARE","")</f>
        <v/>
      </c>
      <c r="U1671">
        <f>IF([@motiv_anomalie]="","OK","DE INVESTIGAT")</f>
        <v/>
      </c>
      <c r="V1671">
        <f>TEXTJOIN("; ",TRUE,[@flag_oras],[@flag_tva],[@flag_scadenta],[@flag_zi])</f>
        <v/>
      </c>
    </row>
    <row r="1672">
      <c r="A1672" t="inlineStr">
        <is>
          <t>F-2025-01671</t>
        </is>
      </c>
      <c r="B1672" s="12" t="n">
        <v>46217</v>
      </c>
      <c r="C1672" t="inlineStr">
        <is>
          <t>SC VECTOR CONSULT SRL</t>
        </is>
      </c>
      <c r="D1672" t="inlineStr">
        <is>
          <t>Timiș</t>
        </is>
      </c>
      <c r="E1672" t="inlineStr">
        <is>
          <t>PRD-011</t>
        </is>
      </c>
      <c r="F1672" t="inlineStr">
        <is>
          <t>Audit infrastructura</t>
        </is>
      </c>
      <c r="G1672" t="inlineStr">
        <is>
          <t>Servicii consultanță</t>
        </is>
      </c>
      <c r="H1672" t="n">
        <v>5</v>
      </c>
      <c r="I1672" t="n">
        <v>46.78</v>
      </c>
      <c r="J1672" t="n">
        <v>233.9</v>
      </c>
      <c r="K1672" s="13" t="n">
        <v>0.19</v>
      </c>
      <c r="L1672" t="n">
        <v>44.44</v>
      </c>
      <c r="M1672" t="n">
        <v>278.34</v>
      </c>
      <c r="N1672" t="inlineStr">
        <is>
          <t>RON</t>
        </is>
      </c>
      <c r="O1672" t="inlineStr">
        <is>
          <t>Timișoara</t>
        </is>
      </c>
      <c r="P1672" s="12" t="n">
        <v>46262</v>
      </c>
      <c r="Q1672">
        <f>IF(COUNTIF(tbl_Localitati[oras_oficial],[@oras])=0,"ORAS NEALINIAT",IF(XLOOKUP([@oras],tbl_Localitati[oras_oficial],tbl_Localitati[judet],"?")&lt;&gt;[@judet],"JUDET NECORESPUNZATOR",""))</f>
        <v/>
      </c>
      <c r="R1672">
        <f>IF(XLOOKUP([@categorie],tbl_RegulriTVA[categorie],tbl_RegulriTVA[cota_legala],-1)&lt;&gt;[@cota_tva],"TVA GRESIT","")</f>
        <v/>
      </c>
      <c r="S1672">
        <f>IF([@data_scadentei]&lt;[@data_factura],"SCADENTA INAINTEA FACTURII","")</f>
        <v/>
      </c>
      <c r="T1672">
        <f>IF(NETWORKDAYS.INTL([@data_factura],[@data_factura],1,tbl_SarbatoriLegale[data])=0,"ZI NELUCRATOARE","")</f>
        <v/>
      </c>
      <c r="U1672">
        <f>IF([@motiv_anomalie]="","OK","DE INVESTIGAT")</f>
        <v/>
      </c>
      <c r="V1672">
        <f>TEXTJOIN("; ",TRUE,[@flag_oras],[@flag_tva],[@flag_scadenta],[@flag_zi])</f>
        <v/>
      </c>
    </row>
    <row r="1673">
      <c r="A1673" t="inlineStr">
        <is>
          <t>F-2025-01672</t>
        </is>
      </c>
      <c r="B1673" s="12" t="n">
        <v>46042</v>
      </c>
      <c r="C1673" t="inlineStr">
        <is>
          <t>SC PROVITA MEDICAL SRL</t>
        </is>
      </c>
      <c r="D1673" t="inlineStr">
        <is>
          <t>Mureș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 IT</t>
        </is>
      </c>
      <c r="H1673" t="n">
        <v>2</v>
      </c>
      <c r="I1673" t="n">
        <v>1067.49</v>
      </c>
      <c r="J1673" t="n">
        <v>2134.98</v>
      </c>
      <c r="K1673" s="13" t="n">
        <v>0.19</v>
      </c>
      <c r="L1673" t="n">
        <v>405.65</v>
      </c>
      <c r="M1673" t="n">
        <v>2540.63</v>
      </c>
      <c r="N1673" t="inlineStr">
        <is>
          <t>RON</t>
        </is>
      </c>
      <c r="O1673" t="inlineStr">
        <is>
          <t>Târgu Mureș</t>
        </is>
      </c>
      <c r="P1673" s="12" t="n">
        <v>46072</v>
      </c>
      <c r="Q1673">
        <f>IF(COUNTIF(tbl_Localitati[oras_oficial],[@oras])=0,"ORAS NEALINIAT",IF(XLOOKUP([@oras],tbl_Localitati[oras_oficial],tbl_Localitati[judet],"?")&lt;&gt;[@judet],"JUDET NECORESPUNZATOR",""))</f>
        <v/>
      </c>
      <c r="R1673">
        <f>IF(XLOOKUP([@categorie],tbl_RegulriTVA[categorie],tbl_RegulriTVA[cota_legala],-1)&lt;&gt;[@cota_tva],"TVA GRESIT","")</f>
        <v/>
      </c>
      <c r="S1673">
        <f>IF([@data_scadentei]&lt;[@data_factura],"SCADENTA INAINTEA FACTURII","")</f>
        <v/>
      </c>
      <c r="T1673">
        <f>IF(NETWORKDAYS.INTL([@data_factura],[@data_factura],1,tbl_SarbatoriLegale[data])=0,"ZI NELUCRATOARE","")</f>
        <v/>
      </c>
      <c r="U1673">
        <f>IF([@motiv_anomalie]="","OK","DE INVESTIGAT")</f>
        <v/>
      </c>
      <c r="V1673">
        <f>TEXTJOIN("; ",TRUE,[@flag_oras],[@flag_tva],[@flag_scadenta],[@flag_zi])</f>
        <v/>
      </c>
    </row>
    <row r="1674">
      <c r="A1674" t="inlineStr">
        <is>
          <t>F-2025-01673</t>
        </is>
      </c>
      <c r="B1674" s="12" t="n">
        <v>46078</v>
      </c>
      <c r="C1674" t="inlineStr">
        <is>
          <t>SC RAPID LOGISTIC SA</t>
        </is>
      </c>
      <c r="D1674" t="inlineStr">
        <is>
          <t>Prahova</t>
        </is>
      </c>
      <c r="E1674" t="inlineStr">
        <is>
          <t>PRD-005</t>
        </is>
      </c>
      <c r="F1674" t="inlineStr">
        <is>
          <t>Monitor 27" 4K</t>
        </is>
      </c>
      <c r="G1674" t="inlineStr">
        <is>
          <t>Hardware IT</t>
        </is>
      </c>
      <c r="H1674" t="n">
        <v>1</v>
      </c>
      <c r="I1674" t="n">
        <v>254.11</v>
      </c>
      <c r="J1674" t="n">
        <v>254.11</v>
      </c>
      <c r="K1674" s="13" t="n">
        <v>0.19</v>
      </c>
      <c r="L1674" t="n">
        <v>48.28</v>
      </c>
      <c r="M1674" t="n">
        <v>302.39</v>
      </c>
      <c r="N1674" t="inlineStr">
        <is>
          <t>RON</t>
        </is>
      </c>
      <c r="O1674" t="inlineStr">
        <is>
          <t>Ploiești</t>
        </is>
      </c>
      <c r="P1674" s="12" t="n">
        <v>46108</v>
      </c>
      <c r="Q1674">
        <f>IF(COUNTIF(tbl_Localitati[oras_oficial],[@oras])=0,"ORAS NEALINIAT",IF(XLOOKUP([@oras],tbl_Localitati[oras_oficial],tbl_Localitati[judet],"?")&lt;&gt;[@judet],"JUDET NECORESPUNZATOR",""))</f>
        <v/>
      </c>
      <c r="R1674">
        <f>IF(XLOOKUP([@categorie],tbl_RegulriTVA[categorie],tbl_RegulriTVA[cota_legala],-1)&lt;&gt;[@cota_tva],"TVA GRESIT","")</f>
        <v/>
      </c>
      <c r="S1674">
        <f>IF([@data_scadentei]&lt;[@data_factura],"SCADENTA INAINTEA FACTURII","")</f>
        <v/>
      </c>
      <c r="T1674">
        <f>IF(NETWORKDAYS.INTL([@data_factura],[@data_factura],1,tbl_SarbatoriLegale[data])=0,"ZI NELUCRATOARE","")</f>
        <v/>
      </c>
      <c r="U1674">
        <f>IF([@motiv_anomalie]="","OK","DE INVESTIGAT")</f>
        <v/>
      </c>
      <c r="V1674">
        <f>TEXTJOIN("; ",TRUE,[@flag_oras],[@flag_tva],[@flag_scadenta],[@flag_zi])</f>
        <v/>
      </c>
    </row>
    <row r="1675">
      <c r="A1675" t="inlineStr">
        <is>
          <t>F-2025-01674</t>
        </is>
      </c>
      <c r="B1675" s="12" t="n">
        <v>46118</v>
      </c>
      <c r="C1675" t="inlineStr">
        <is>
          <t>SC VECTOR CONSULT SRL</t>
        </is>
      </c>
      <c r="D1675" t="inlineStr">
        <is>
          <t>Timiș</t>
        </is>
      </c>
      <c r="E1675" t="inlineStr">
        <is>
          <t>PRD-004</t>
        </is>
      </c>
      <c r="F1675" t="inlineStr">
        <is>
          <t>Suport tehnic anual</t>
        </is>
      </c>
      <c r="G1675" t="inlineStr">
        <is>
          <t>Servicii consultanță</t>
        </is>
      </c>
      <c r="H1675" t="n">
        <v>1</v>
      </c>
      <c r="I1675" t="n">
        <v>887.3</v>
      </c>
      <c r="J1675" t="n">
        <v>887.3</v>
      </c>
      <c r="K1675" s="13" t="n">
        <v>0.19</v>
      </c>
      <c r="L1675" t="n">
        <v>168.59</v>
      </c>
      <c r="M1675" t="n">
        <v>1055.89</v>
      </c>
      <c r="N1675" t="inlineStr">
        <is>
          <t>RON</t>
        </is>
      </c>
      <c r="O1675" t="inlineStr">
        <is>
          <t>Timișoara</t>
        </is>
      </c>
      <c r="P1675" s="12" t="n">
        <v>46148</v>
      </c>
      <c r="Q1675">
        <f>IF(COUNTIF(tbl_Localitati[oras_oficial],[@oras])=0,"ORAS NEALINIAT",IF(XLOOKUP([@oras],tbl_Localitati[oras_oficial],tbl_Localitati[judet],"?")&lt;&gt;[@judet],"JUDET NECORESPUNZATOR",""))</f>
        <v/>
      </c>
      <c r="R1675">
        <f>IF(XLOOKUP([@categorie],tbl_RegulriTVA[categorie],tbl_RegulriTVA[cota_legala],-1)&lt;&gt;[@cota_tva],"TVA GRESIT","")</f>
        <v/>
      </c>
      <c r="S1675">
        <f>IF([@data_scadentei]&lt;[@data_factura],"SCADENTA INAINTEA FACTURII","")</f>
        <v/>
      </c>
      <c r="T1675">
        <f>IF(NETWORKDAYS.INTL([@data_factura],[@data_factura],1,tbl_SarbatoriLegale[data])=0,"ZI NELUCRATOARE","")</f>
        <v/>
      </c>
      <c r="U1675">
        <f>IF([@motiv_anomalie]="","OK","DE INVESTIGAT")</f>
        <v/>
      </c>
      <c r="V1675">
        <f>TEXTJOIN("; ",TRUE,[@flag_oras],[@flag_tva],[@flag_scadenta],[@flag_zi])</f>
        <v/>
      </c>
    </row>
    <row r="1676">
      <c r="A1676" t="inlineStr">
        <is>
          <t>F-2025-01675</t>
        </is>
      </c>
      <c r="B1676" s="12" t="n">
        <v>46062</v>
      </c>
      <c r="C1676" t="inlineStr">
        <is>
          <t>SC NORDIS DISTRIBUTIE SRL</t>
        </is>
      </c>
      <c r="D1676" t="inlineStr">
        <is>
          <t>Constanța</t>
        </is>
      </c>
      <c r="E1676" t="inlineStr">
        <is>
          <t>PRD-013</t>
        </is>
      </c>
      <c r="F1676" t="inlineStr">
        <is>
          <t>Abonament suita cloud</t>
        </is>
      </c>
      <c r="G1676" t="inlineStr">
        <is>
          <t>Licențe software</t>
        </is>
      </c>
      <c r="H1676" t="n">
        <v>1</v>
      </c>
      <c r="I1676" t="n">
        <v>1256.8</v>
      </c>
      <c r="J1676" t="n">
        <v>1256.8</v>
      </c>
      <c r="K1676" s="13" t="n">
        <v>0.19</v>
      </c>
      <c r="L1676" t="n">
        <v>238.79</v>
      </c>
      <c r="M1676" t="n">
        <v>1495.59</v>
      </c>
      <c r="N1676" t="inlineStr">
        <is>
          <t>RON</t>
        </is>
      </c>
      <c r="O1676" t="inlineStr">
        <is>
          <t>Mangalia</t>
        </is>
      </c>
      <c r="P1676" s="12" t="n">
        <v>46107</v>
      </c>
      <c r="Q1676">
        <f>IF(COUNTIF(tbl_Localitati[oras_oficial],[@oras])=0,"ORAS NEALINIAT",IF(XLOOKUP([@oras],tbl_Localitati[oras_oficial],tbl_Localitati[judet],"?")&lt;&gt;[@judet],"JUDET NECORESPUNZATOR",""))</f>
        <v/>
      </c>
      <c r="R1676">
        <f>IF(XLOOKUP([@categorie],tbl_RegulriTVA[categorie],tbl_RegulriTVA[cota_legala],-1)&lt;&gt;[@cota_tva],"TVA GRESIT","")</f>
        <v/>
      </c>
      <c r="S1676">
        <f>IF([@data_scadentei]&lt;[@data_factura],"SCADENTA INAINTEA FACTURII","")</f>
        <v/>
      </c>
      <c r="T1676">
        <f>IF(NETWORKDAYS.INTL([@data_factura],[@data_factura],1,tbl_SarbatoriLegale[data])=0,"ZI NELUCRATOARE","")</f>
        <v/>
      </c>
      <c r="U1676">
        <f>IF([@motiv_anomalie]="","OK","DE INVESTIGAT")</f>
        <v/>
      </c>
      <c r="V1676">
        <f>TEXTJOIN("; ",TRUE,[@flag_oras],[@flag_tva],[@flag_scadenta],[@flag_zi])</f>
        <v/>
      </c>
    </row>
    <row r="1677">
      <c r="A1677" t="inlineStr">
        <is>
          <t>F-2025-01676</t>
        </is>
      </c>
      <c r="B1677" s="12" t="n">
        <v>46365</v>
      </c>
      <c r="C1677" t="inlineStr">
        <is>
          <t>SC OMEGA SOFT SRL</t>
        </is>
      </c>
      <c r="D1677" t="inlineStr">
        <is>
          <t>Dolj</t>
        </is>
      </c>
      <c r="E1677" t="inlineStr">
        <is>
          <t>PRD-008</t>
        </is>
      </c>
      <c r="F1677" t="inlineStr">
        <is>
          <t>Consultanta implementare IT</t>
        </is>
      </c>
      <c r="G1677" t="inlineStr">
        <is>
          <t>Servicii consultanță</t>
        </is>
      </c>
      <c r="H1677" t="n">
        <v>50</v>
      </c>
      <c r="I1677" t="n">
        <v>428.52</v>
      </c>
      <c r="J1677" t="n">
        <v>21426</v>
      </c>
      <c r="K1677" s="13" t="n">
        <v>0.19</v>
      </c>
      <c r="L1677" t="n">
        <v>4070.94</v>
      </c>
      <c r="M1677" t="n">
        <v>25496.94</v>
      </c>
      <c r="N1677" t="inlineStr">
        <is>
          <t>RON</t>
        </is>
      </c>
      <c r="O1677" t="inlineStr">
        <is>
          <t>Craiova</t>
        </is>
      </c>
      <c r="P1677" s="12" t="n">
        <v>46395</v>
      </c>
      <c r="Q1677">
        <f>IF(COUNTIF(tbl_Localitati[oras_oficial],[@oras])=0,"ORAS NEALINIAT",IF(XLOOKUP([@oras],tbl_Localitati[oras_oficial],tbl_Localitati[judet],"?")&lt;&gt;[@judet],"JUDET NECORESPUNZATOR",""))</f>
        <v/>
      </c>
      <c r="R1677">
        <f>IF(XLOOKUP([@categorie],tbl_RegulriTVA[categorie],tbl_RegulriTVA[cota_legala],-1)&lt;&gt;[@cota_tva],"TVA GRESIT","")</f>
        <v/>
      </c>
      <c r="S1677">
        <f>IF([@data_scadentei]&lt;[@data_factura],"SCADENTA INAINTEA FACTURII","")</f>
        <v/>
      </c>
      <c r="T1677">
        <f>IF(NETWORKDAYS.INTL([@data_factura],[@data_factura],1,tbl_SarbatoriLegale[data])=0,"ZI NELUCRATOARE","")</f>
        <v/>
      </c>
      <c r="U1677">
        <f>IF([@motiv_anomalie]="","OK","DE INVESTIGAT")</f>
        <v/>
      </c>
      <c r="V1677">
        <f>TEXTJOIN("; ",TRUE,[@flag_oras],[@flag_tva],[@flag_scadenta],[@flag_zi])</f>
        <v/>
      </c>
    </row>
    <row r="1678">
      <c r="A1678" t="inlineStr">
        <is>
          <t>F-2025-01677</t>
        </is>
      </c>
      <c r="B1678" s="12" t="n">
        <v>46149</v>
      </c>
      <c r="C1678" t="inlineStr">
        <is>
          <t>SC NORDIS DISTRIBUTIE SRL</t>
        </is>
      </c>
      <c r="D1678" t="inlineStr">
        <is>
          <t>Constanța</t>
        </is>
      </c>
      <c r="E1678" t="inlineStr">
        <is>
          <t>PRD-003</t>
        </is>
      </c>
      <c r="F1678" t="inlineStr">
        <is>
          <t>Dezinfectant maini 5L</t>
        </is>
      </c>
      <c r="G1678" t="inlineStr">
        <is>
          <t>Produse farmaceutice</t>
        </is>
      </c>
      <c r="H1678" t="n">
        <v>2</v>
      </c>
      <c r="I1678" t="n">
        <v>4405.68</v>
      </c>
      <c r="J1678" t="n">
        <v>8811.360000000001</v>
      </c>
      <c r="K1678" s="13" t="n">
        <v>0.09</v>
      </c>
      <c r="L1678" t="n">
        <v>793.02</v>
      </c>
      <c r="M1678" t="n">
        <v>9604.379999999999</v>
      </c>
      <c r="N1678" t="inlineStr">
        <is>
          <t>EUR</t>
        </is>
      </c>
      <c r="O1678" t="inlineStr">
        <is>
          <t>Mangalia</t>
        </is>
      </c>
      <c r="P1678" s="12" t="n">
        <v>46179</v>
      </c>
      <c r="Q1678">
        <f>IF(COUNTIF(tbl_Localitati[oras_oficial],[@oras])=0,"ORAS NEALINIAT",IF(XLOOKUP([@oras],tbl_Localitati[oras_oficial],tbl_Localitati[judet],"?")&lt;&gt;[@judet],"JUDET NECORESPUNZATOR",""))</f>
        <v/>
      </c>
      <c r="R1678">
        <f>IF(XLOOKUP([@categorie],tbl_RegulriTVA[categorie],tbl_RegulriTVA[cota_legala],-1)&lt;&gt;[@cota_tva],"TVA GRESIT","")</f>
        <v/>
      </c>
      <c r="S1678">
        <f>IF([@data_scadentei]&lt;[@data_factura],"SCADENTA INAINTEA FACTURII","")</f>
        <v/>
      </c>
      <c r="T1678">
        <f>IF(NETWORKDAYS.INTL([@data_factura],[@data_factura],1,tbl_SarbatoriLegale[data])=0,"ZI NELUCRATOARE","")</f>
        <v/>
      </c>
      <c r="U1678">
        <f>IF([@motiv_anomalie]="","OK","DE INVESTIGAT")</f>
        <v/>
      </c>
      <c r="V1678">
        <f>TEXTJOIN("; ",TRUE,[@flag_oras],[@flag_tva],[@flag_scadenta],[@flag_zi])</f>
        <v/>
      </c>
    </row>
    <row r="1679">
      <c r="A1679" t="inlineStr">
        <is>
          <t>F-2025-01678</t>
        </is>
      </c>
      <c r="B1679" s="12" t="n">
        <v>46330</v>
      </c>
      <c r="C1679" t="inlineStr">
        <is>
          <t>SC VECTOR CONSULT SRL</t>
        </is>
      </c>
      <c r="D1679" t="inlineStr">
        <is>
          <t>Timiș</t>
        </is>
      </c>
      <c r="E1679" t="inlineStr">
        <is>
          <t>PRD-011</t>
        </is>
      </c>
      <c r="F1679" t="inlineStr">
        <is>
          <t>Multifunctionala laser</t>
        </is>
      </c>
      <c r="G1679" t="inlineStr">
        <is>
          <t>Echipamente birou</t>
        </is>
      </c>
      <c r="H1679" t="n">
        <v>50</v>
      </c>
      <c r="I1679" t="n">
        <v>46.56</v>
      </c>
      <c r="J1679" t="n">
        <v>2328</v>
      </c>
      <c r="K1679" s="13" t="n">
        <v>0.19</v>
      </c>
      <c r="L1679" t="n">
        <v>442.32</v>
      </c>
      <c r="M1679" t="n">
        <v>2770.32</v>
      </c>
      <c r="N1679" t="inlineStr">
        <is>
          <t>RON</t>
        </is>
      </c>
      <c r="O1679" t="inlineStr">
        <is>
          <t>Timișoara</t>
        </is>
      </c>
      <c r="P1679" s="12" t="n">
        <v>46390</v>
      </c>
      <c r="Q1679">
        <f>IF(COUNTIF(tbl_Localitati[oras_oficial],[@oras])=0,"ORAS NEALINIAT",IF(XLOOKUP([@oras],tbl_Localitati[oras_oficial],tbl_Localitati[judet],"?")&lt;&gt;[@judet],"JUDET NECORESPUNZATOR",""))</f>
        <v/>
      </c>
      <c r="R1679">
        <f>IF(XLOOKUP([@categorie],tbl_RegulriTVA[categorie],tbl_RegulriTVA[cota_legala],-1)&lt;&gt;[@cota_tva],"TVA GRESIT","")</f>
        <v/>
      </c>
      <c r="S1679">
        <f>IF([@data_scadentei]&lt;[@data_factura],"SCADENTA INAINTEA FACTURII","")</f>
        <v/>
      </c>
      <c r="T1679">
        <f>IF(NETWORKDAYS.INTL([@data_factura],[@data_factura],1,tbl_SarbatoriLegale[data])=0,"ZI NELUCRATOARE","")</f>
        <v/>
      </c>
      <c r="U1679">
        <f>IF([@motiv_anomalie]="","OK","DE INVESTIGAT")</f>
        <v/>
      </c>
      <c r="V1679">
        <f>TEXTJOIN("; ",TRUE,[@flag_oras],[@flag_tva],[@flag_scadenta],[@flag_zi])</f>
        <v/>
      </c>
    </row>
    <row r="1680">
      <c r="A1680" t="inlineStr">
        <is>
          <t>F-2025-01679</t>
        </is>
      </c>
      <c r="B1680" s="12" t="n">
        <v>46265</v>
      </c>
      <c r="C1680" t="inlineStr">
        <is>
          <t>SC SOLARIS ENERGY SRL</t>
        </is>
      </c>
      <c r="D1680" t="inlineStr">
        <is>
          <t>Prahova</t>
        </is>
      </c>
      <c r="E1680" t="inlineStr">
        <is>
          <t>PRD-004</t>
        </is>
      </c>
      <c r="F1680" t="inlineStr">
        <is>
          <t>Consultanta implementare IT</t>
        </is>
      </c>
      <c r="G1680" t="inlineStr">
        <is>
          <t>Servicii consultanță</t>
        </is>
      </c>
      <c r="H1680" t="n">
        <v>2</v>
      </c>
      <c r="I1680" t="n">
        <v>913.6799999999999</v>
      </c>
      <c r="J1680" t="n">
        <v>1827.36</v>
      </c>
      <c r="K1680" s="13" t="n">
        <v>0.19</v>
      </c>
      <c r="L1680" t="n">
        <v>347.2</v>
      </c>
      <c r="M1680" t="n">
        <v>2174.56</v>
      </c>
      <c r="N1680" t="inlineStr">
        <is>
          <t>EUR</t>
        </is>
      </c>
      <c r="O1680" t="inlineStr">
        <is>
          <t>Câmpina</t>
        </is>
      </c>
      <c r="P1680" s="12" t="n">
        <v>46295</v>
      </c>
      <c r="Q1680">
        <f>IF(COUNTIF(tbl_Localitati[oras_oficial],[@oras])=0,"ORAS NEALINIAT",IF(XLOOKUP([@oras],tbl_Localitati[oras_oficial],tbl_Localitati[judet],"?")&lt;&gt;[@judet],"JUDET NECORESPUNZATOR",""))</f>
        <v/>
      </c>
      <c r="R1680">
        <f>IF(XLOOKUP([@categorie],tbl_RegulriTVA[categorie],tbl_RegulriTVA[cota_legala],-1)&lt;&gt;[@cota_tva],"TVA GRESIT","")</f>
        <v/>
      </c>
      <c r="S1680">
        <f>IF([@data_scadentei]&lt;[@data_factura],"SCADENTA INAINTEA FACTURII","")</f>
        <v/>
      </c>
      <c r="T1680">
        <f>IF(NETWORKDAYS.INTL([@data_factura],[@data_factura],1,tbl_SarbatoriLegale[data])=0,"ZI NELUCRATOARE","")</f>
        <v/>
      </c>
      <c r="U1680">
        <f>IF([@motiv_anomalie]="","OK","DE INVESTIGAT")</f>
        <v/>
      </c>
      <c r="V1680">
        <f>TEXTJOIN("; ",TRUE,[@flag_oras],[@flag_tva],[@flag_scadenta],[@flag_zi])</f>
        <v/>
      </c>
    </row>
    <row r="1681">
      <c r="A1681" t="inlineStr">
        <is>
          <t>F-2025-01680</t>
        </is>
      </c>
      <c r="B1681" s="12" t="n">
        <v>46323</v>
      </c>
      <c r="C1681" t="inlineStr">
        <is>
          <t>SC AROMET TRADING SRL</t>
        </is>
      </c>
      <c r="D1681" t="inlineStr">
        <is>
          <t>Alba</t>
        </is>
      </c>
      <c r="E1681" t="inlineStr">
        <is>
          <t>PRD-005</t>
        </is>
      </c>
      <c r="F1681" t="inlineStr">
        <is>
          <t>Termometru digital</t>
        </is>
      </c>
      <c r="G1681" t="inlineStr">
        <is>
          <t>Produse farmaceutice</t>
        </is>
      </c>
      <c r="H1681" t="n">
        <v>1</v>
      </c>
      <c r="I1681" t="n">
        <v>241.25</v>
      </c>
      <c r="J1681" t="n">
        <v>241.25</v>
      </c>
      <c r="K1681" s="13" t="n">
        <v>0.09</v>
      </c>
      <c r="L1681" t="n">
        <v>21.71</v>
      </c>
      <c r="M1681" t="n">
        <v>262.96</v>
      </c>
      <c r="N1681" t="inlineStr">
        <is>
          <t>RON</t>
        </is>
      </c>
      <c r="O1681" t="inlineStr">
        <is>
          <t>Alba Iulia</t>
        </is>
      </c>
      <c r="P1681" s="12" t="n">
        <v>46368</v>
      </c>
      <c r="Q1681">
        <f>IF(COUNTIF(tbl_Localitati[oras_oficial],[@oras])=0,"ORAS NEALINIAT",IF(XLOOKUP([@oras],tbl_Localitati[oras_oficial],tbl_Localitati[judet],"?")&lt;&gt;[@judet],"JUDET NECORESPUNZATOR",""))</f>
        <v/>
      </c>
      <c r="R1681">
        <f>IF(XLOOKUP([@categorie],tbl_RegulriTVA[categorie],tbl_RegulriTVA[cota_legala],-1)&lt;&gt;[@cota_tva],"TVA GRESIT","")</f>
        <v/>
      </c>
      <c r="S1681">
        <f>IF([@data_scadentei]&lt;[@data_factura],"SCADENTA INAINTEA FACTURII","")</f>
        <v/>
      </c>
      <c r="T1681">
        <f>IF(NETWORKDAYS.INTL([@data_factura],[@data_factura],1,tbl_SarbatoriLegale[data])=0,"ZI NELUCRATOARE","")</f>
        <v/>
      </c>
      <c r="U1681">
        <f>IF([@motiv_anomalie]="","OK","DE INVESTIGAT")</f>
        <v/>
      </c>
      <c r="V1681">
        <f>TEXTJOIN("; ",TRUE,[@flag_oras],[@flag_tva],[@flag_scadenta],[@flag_zi])</f>
        <v/>
      </c>
    </row>
    <row r="1682">
      <c r="A1682" t="inlineStr">
        <is>
          <t>F-2025-01681</t>
        </is>
      </c>
      <c r="B1682" s="12" t="n">
        <v>46314</v>
      </c>
      <c r="C1682" t="inlineStr">
        <is>
          <t>SC DACTECH SOLUTIONS SRL</t>
        </is>
      </c>
      <c r="D1682" t="inlineStr">
        <is>
          <t>Argeș</t>
        </is>
      </c>
      <c r="E1682" t="inlineStr">
        <is>
          <t>PRD-009</t>
        </is>
      </c>
      <c r="F1682" t="inlineStr">
        <is>
          <t>Monitor 27" 4K</t>
        </is>
      </c>
      <c r="G1682" t="inlineStr">
        <is>
          <t>Hardware IT</t>
        </is>
      </c>
      <c r="H1682" t="n">
        <v>10</v>
      </c>
      <c r="I1682" t="n">
        <v>28.92</v>
      </c>
      <c r="J1682" t="n">
        <v>289.2</v>
      </c>
      <c r="K1682" s="13" t="n">
        <v>0.19</v>
      </c>
      <c r="L1682" t="n">
        <v>54.95</v>
      </c>
      <c r="M1682" t="n">
        <v>344.15</v>
      </c>
      <c r="N1682" t="inlineStr">
        <is>
          <t>RON</t>
        </is>
      </c>
      <c r="O1682" t="inlineStr">
        <is>
          <t>Pitești</t>
        </is>
      </c>
      <c r="P1682" s="12" t="n">
        <v>46329</v>
      </c>
      <c r="Q1682">
        <f>IF(COUNTIF(tbl_Localitati[oras_oficial],[@oras])=0,"ORAS NEALINIAT",IF(XLOOKUP([@oras],tbl_Localitati[oras_oficial],tbl_Localitati[judet],"?")&lt;&gt;[@judet],"JUDET NECORESPUNZATOR",""))</f>
        <v/>
      </c>
      <c r="R1682">
        <f>IF(XLOOKUP([@categorie],tbl_RegulriTVA[categorie],tbl_RegulriTVA[cota_legala],-1)&lt;&gt;[@cota_tva],"TVA GRESIT","")</f>
        <v/>
      </c>
      <c r="S1682">
        <f>IF([@data_scadentei]&lt;[@data_factura],"SCADENTA INAINTEA FACTURII","")</f>
        <v/>
      </c>
      <c r="T1682">
        <f>IF(NETWORKDAYS.INTL([@data_factura],[@data_factura],1,tbl_SarbatoriLegale[data])=0,"ZI NELUCRATOARE","")</f>
        <v/>
      </c>
      <c r="U1682">
        <f>IF([@motiv_anomalie]="","OK","DE INVESTIGAT")</f>
        <v/>
      </c>
      <c r="V1682">
        <f>TEXTJOIN("; ",TRUE,[@flag_oras],[@flag_tva],[@flag_scadenta],[@flag_zi])</f>
        <v/>
      </c>
    </row>
    <row r="1683">
      <c r="A1683" t="inlineStr">
        <is>
          <t>F-2025-01682</t>
        </is>
      </c>
      <c r="B1683" s="12" t="n">
        <v>46350</v>
      </c>
      <c r="C1683" t="inlineStr">
        <is>
          <t>SC METALPLAST INVEST SA</t>
        </is>
      </c>
      <c r="D1683" t="inlineStr">
        <is>
          <t>Cluj</t>
        </is>
      </c>
      <c r="E1683" t="inlineStr">
        <is>
          <t>PRD-011</t>
        </is>
      </c>
      <c r="F1683" t="inlineStr">
        <is>
          <t>Abonament suita cloud</t>
        </is>
      </c>
      <c r="G1683" t="inlineStr">
        <is>
          <t>Licențe software</t>
        </is>
      </c>
      <c r="H1683" t="n">
        <v>5</v>
      </c>
      <c r="I1683" t="n">
        <v>44.46</v>
      </c>
      <c r="J1683" t="n">
        <v>222.3</v>
      </c>
      <c r="K1683" s="13" t="n">
        <v>0.09</v>
      </c>
      <c r="L1683" t="n">
        <v>20.01</v>
      </c>
      <c r="M1683" t="n">
        <v>242.31</v>
      </c>
      <c r="N1683" t="inlineStr">
        <is>
          <t>RON</t>
        </is>
      </c>
      <c r="O1683" t="inlineStr">
        <is>
          <t>Turda</t>
        </is>
      </c>
      <c r="P1683" s="12" t="n">
        <v>46380</v>
      </c>
      <c r="Q1683">
        <f>IF(COUNTIF(tbl_Localitati[oras_oficial],[@oras])=0,"ORAS NEALINIAT",IF(XLOOKUP([@oras],tbl_Localitati[oras_oficial],tbl_Localitati[judet],"?")&lt;&gt;[@judet],"JUDET NECORESPUNZATOR",""))</f>
        <v/>
      </c>
      <c r="R1683">
        <f>IF(XLOOKUP([@categorie],tbl_RegulriTVA[categorie],tbl_RegulriTVA[cota_legala],-1)&lt;&gt;[@cota_tva],"TVA GRESIT","")</f>
        <v/>
      </c>
      <c r="S1683">
        <f>IF([@data_scadentei]&lt;[@data_factura],"SCADENTA INAINTEA FACTURII","")</f>
        <v/>
      </c>
      <c r="T1683">
        <f>IF(NETWORKDAYS.INTL([@data_factura],[@data_factura],1,tbl_SarbatoriLegale[data])=0,"ZI NELUCRATOARE","")</f>
        <v/>
      </c>
      <c r="U1683">
        <f>IF([@motiv_anomalie]="","OK","DE INVESTIGAT")</f>
        <v/>
      </c>
      <c r="V1683">
        <f>TEXTJOIN("; ",TRUE,[@flag_oras],[@flag_tva],[@flag_scadenta],[@flag_zi])</f>
        <v/>
      </c>
    </row>
    <row r="1684">
      <c r="A1684" t="inlineStr">
        <is>
          <t>F-2025-01683</t>
        </is>
      </c>
      <c r="B1684" s="12" t="n">
        <v>46345</v>
      </c>
      <c r="C1684" t="inlineStr">
        <is>
          <t>SC INTEGROMED SA</t>
        </is>
      </c>
      <c r="D1684" t="inlineStr">
        <is>
          <t>Cluj</t>
        </is>
      </c>
      <c r="E1684" t="inlineStr">
        <is>
          <t>PRD-001</t>
        </is>
      </c>
      <c r="F1684" t="inlineStr">
        <is>
          <t>Switch gigabit 24p</t>
        </is>
      </c>
      <c r="G1684" t="inlineStr">
        <is>
          <t>Hardware IT</t>
        </is>
      </c>
      <c r="H1684" t="n">
        <v>3</v>
      </c>
      <c r="I1684" t="n">
        <v>2461.21</v>
      </c>
      <c r="J1684" t="n">
        <v>7383.63</v>
      </c>
      <c r="K1684" s="13" t="n">
        <v>0.19</v>
      </c>
      <c r="L1684" t="n">
        <v>1402.89</v>
      </c>
      <c r="M1684" t="n">
        <v>8786.52</v>
      </c>
      <c r="N1684" t="inlineStr">
        <is>
          <t>RON</t>
        </is>
      </c>
      <c r="O1684" t="inlineStr">
        <is>
          <t>Cluj-Napoca</t>
        </is>
      </c>
      <c r="P1684" s="12" t="n">
        <v>46375</v>
      </c>
      <c r="Q1684">
        <f>IF(COUNTIF(tbl_Localitati[oras_oficial],[@oras])=0,"ORAS NEALINIAT",IF(XLOOKUP([@oras],tbl_Localitati[oras_oficial],tbl_Localitati[judet],"?")&lt;&gt;[@judet],"JUDET NECORESPUNZATOR",""))</f>
        <v/>
      </c>
      <c r="R1684">
        <f>IF(XLOOKUP([@categorie],tbl_RegulriTVA[categorie],tbl_RegulriTVA[cota_legala],-1)&lt;&gt;[@cota_tva],"TVA GRESIT","")</f>
        <v/>
      </c>
      <c r="S1684">
        <f>IF([@data_scadentei]&lt;[@data_factura],"SCADENTA INAINTEA FACTURII","")</f>
        <v/>
      </c>
      <c r="T1684">
        <f>IF(NETWORKDAYS.INTL([@data_factura],[@data_factura],1,tbl_SarbatoriLegale[data])=0,"ZI NELUCRATOARE","")</f>
        <v/>
      </c>
      <c r="U1684">
        <f>IF([@motiv_anomalie]="","OK","DE INVESTIGAT")</f>
        <v/>
      </c>
      <c r="V1684">
        <f>TEXTJOIN("; ",TRUE,[@flag_oras],[@flag_tva],[@flag_scadenta],[@flag_zi])</f>
        <v/>
      </c>
    </row>
    <row r="1685">
      <c r="A1685" t="inlineStr">
        <is>
          <t>F-2025-01684</t>
        </is>
      </c>
      <c r="B1685" s="12" t="n">
        <v>46261</v>
      </c>
      <c r="C1685" t="inlineStr">
        <is>
          <t>SC OMEGA SOFT SRL</t>
        </is>
      </c>
      <c r="D1685" t="inlineStr">
        <is>
          <t>Dolj</t>
        </is>
      </c>
      <c r="E1685" t="inlineStr">
        <is>
          <t>PRD-013</t>
        </is>
      </c>
      <c r="F1685" t="inlineStr">
        <is>
          <t>Server rack 1U</t>
        </is>
      </c>
      <c r="G1685" t="inlineStr">
        <is>
          <t>Hardware IT</t>
        </is>
      </c>
      <c r="H1685" t="n">
        <v>2</v>
      </c>
      <c r="I1685" t="n">
        <v>1227.86</v>
      </c>
      <c r="J1685" t="n">
        <v>2455.72</v>
      </c>
      <c r="K1685" s="13" t="n">
        <v>0.19</v>
      </c>
      <c r="L1685" t="n">
        <v>466.59</v>
      </c>
      <c r="M1685" t="n">
        <v>2922.31</v>
      </c>
      <c r="N1685" t="inlineStr">
        <is>
          <t>RON</t>
        </is>
      </c>
      <c r="O1685" t="inlineStr">
        <is>
          <t>Craiova</t>
        </is>
      </c>
      <c r="P1685" s="12" t="n">
        <v>46321</v>
      </c>
      <c r="Q1685">
        <f>IF(COUNTIF(tbl_Localitati[oras_oficial],[@oras])=0,"ORAS NEALINIAT",IF(XLOOKUP([@oras],tbl_Localitati[oras_oficial],tbl_Localitati[judet],"?")&lt;&gt;[@judet],"JUDET NECORESPUNZATOR",""))</f>
        <v/>
      </c>
      <c r="R1685">
        <f>IF(XLOOKUP([@categorie],tbl_RegulriTVA[categorie],tbl_RegulriTVA[cota_legala],-1)&lt;&gt;[@cota_tva],"TVA GRESIT","")</f>
        <v/>
      </c>
      <c r="S1685">
        <f>IF([@data_scadentei]&lt;[@data_factura],"SCADENTA INAINTEA FACTURII","")</f>
        <v/>
      </c>
      <c r="T1685">
        <f>IF(NETWORKDAYS.INTL([@data_factura],[@data_factura],1,tbl_SarbatoriLegale[data])=0,"ZI NELUCRATOARE","")</f>
        <v/>
      </c>
      <c r="U1685">
        <f>IF([@motiv_anomalie]="","OK","DE INVESTIGAT")</f>
        <v/>
      </c>
      <c r="V1685">
        <f>TEXTJOIN("; ",TRUE,[@flag_oras],[@flag_tva],[@flag_scadenta],[@flag_zi])</f>
        <v/>
      </c>
    </row>
    <row r="1686">
      <c r="A1686" t="inlineStr">
        <is>
          <t>F-2025-01685</t>
        </is>
      </c>
      <c r="B1686" s="12" t="n">
        <v>46141</v>
      </c>
      <c r="C1686" t="inlineStr">
        <is>
          <t>SC PROVITA MEDICAL SRL</t>
        </is>
      </c>
      <c r="D1686" t="inlineStr">
        <is>
          <t>Mureș</t>
        </is>
      </c>
      <c r="E1686" t="inlineStr">
        <is>
          <t>PRD-006</t>
        </is>
      </c>
      <c r="F1686" t="inlineStr">
        <is>
          <t>Laptop business 15"</t>
        </is>
      </c>
      <c r="G1686" t="inlineStr">
        <is>
          <t>Hardware IT</t>
        </is>
      </c>
      <c r="H1686" t="n">
        <v>1</v>
      </c>
      <c r="I1686" t="n">
        <v>748.5599999999999</v>
      </c>
      <c r="J1686" t="n">
        <v>748.5599999999999</v>
      </c>
      <c r="K1686" s="13" t="n">
        <v>0.19</v>
      </c>
      <c r="L1686" t="n">
        <v>142.23</v>
      </c>
      <c r="M1686" t="n">
        <v>890.79</v>
      </c>
      <c r="N1686" t="inlineStr">
        <is>
          <t>RON</t>
        </is>
      </c>
      <c r="O1686" t="inlineStr">
        <is>
          <t>Târgu Mureș</t>
        </is>
      </c>
      <c r="P1686" s="12" t="n">
        <v>46186</v>
      </c>
      <c r="Q1686">
        <f>IF(COUNTIF(tbl_Localitati[oras_oficial],[@oras])=0,"ORAS NEALINIAT",IF(XLOOKUP([@oras],tbl_Localitati[oras_oficial],tbl_Localitati[judet],"?")&lt;&gt;[@judet],"JUDET NECORESPUNZATOR",""))</f>
        <v/>
      </c>
      <c r="R1686">
        <f>IF(XLOOKUP([@categorie],tbl_RegulriTVA[categorie],tbl_RegulriTVA[cota_legala],-1)&lt;&gt;[@cota_tva],"TVA GRESIT","")</f>
        <v/>
      </c>
      <c r="S1686">
        <f>IF([@data_scadentei]&lt;[@data_factura],"SCADENTA INAINTEA FACTURII","")</f>
        <v/>
      </c>
      <c r="T1686">
        <f>IF(NETWORKDAYS.INTL([@data_factura],[@data_factura],1,tbl_SarbatoriLegale[data])=0,"ZI NELUCRATOARE","")</f>
        <v/>
      </c>
      <c r="U1686">
        <f>IF([@motiv_anomalie]="","OK","DE INVESTIGAT")</f>
        <v/>
      </c>
      <c r="V1686">
        <f>TEXTJOIN("; ",TRUE,[@flag_oras],[@flag_tva],[@flag_scadenta],[@flag_zi])</f>
        <v/>
      </c>
    </row>
    <row r="1687">
      <c r="A1687" t="inlineStr">
        <is>
          <t>F-2025-01686</t>
        </is>
      </c>
      <c r="B1687" s="12" t="n">
        <v>46227</v>
      </c>
      <c r="C1687" t="inlineStr">
        <is>
          <t>SC NORDIS DISTRIBUTIE SRL</t>
        </is>
      </c>
      <c r="D1687" t="inlineStr">
        <is>
          <t>Constanța</t>
        </is>
      </c>
      <c r="E1687" t="inlineStr">
        <is>
          <t>PRD-004</t>
        </is>
      </c>
      <c r="F1687" t="inlineStr">
        <is>
          <t>Licenta antivirus enterprise</t>
        </is>
      </c>
      <c r="G1687" t="inlineStr">
        <is>
          <t>Licențe software</t>
        </is>
      </c>
      <c r="H1687" t="n">
        <v>1</v>
      </c>
      <c r="I1687" t="n">
        <v>920.03</v>
      </c>
      <c r="J1687" t="n">
        <v>920.03</v>
      </c>
      <c r="K1687" s="13" t="n">
        <v>0.19</v>
      </c>
      <c r="L1687" t="n">
        <v>174.81</v>
      </c>
      <c r="M1687" t="n">
        <v>1094.84</v>
      </c>
      <c r="N1687" t="inlineStr">
        <is>
          <t>RON</t>
        </is>
      </c>
      <c r="O1687" t="inlineStr">
        <is>
          <t>Mangalia</t>
        </is>
      </c>
      <c r="P1687" s="12" t="n">
        <v>46272</v>
      </c>
      <c r="Q1687">
        <f>IF(COUNTIF(tbl_Localitati[oras_oficial],[@oras])=0,"ORAS NEALINIAT",IF(XLOOKUP([@oras],tbl_Localitati[oras_oficial],tbl_Localitati[judet],"?")&lt;&gt;[@judet],"JUDET NECORESPUNZATOR",""))</f>
        <v/>
      </c>
      <c r="R1687">
        <f>IF(XLOOKUP([@categorie],tbl_RegulriTVA[categorie],tbl_RegulriTVA[cota_legala],-1)&lt;&gt;[@cota_tva],"TVA GRESIT","")</f>
        <v/>
      </c>
      <c r="S1687">
        <f>IF([@data_scadentei]&lt;[@data_factura],"SCADENTA INAINTEA FACTURII","")</f>
        <v/>
      </c>
      <c r="T1687">
        <f>IF(NETWORKDAYS.INTL([@data_factura],[@data_factura],1,tbl_SarbatoriLegale[data])=0,"ZI NELUCRATOARE","")</f>
        <v/>
      </c>
      <c r="U1687">
        <f>IF([@motiv_anomalie]="","OK","DE INVESTIGAT")</f>
        <v/>
      </c>
      <c r="V1687">
        <f>TEXTJOIN("; ",TRUE,[@flag_oras],[@flag_tva],[@flag_scadenta],[@flag_zi])</f>
        <v/>
      </c>
    </row>
    <row r="1688">
      <c r="A1688" t="inlineStr">
        <is>
          <t>F-2025-01687</t>
        </is>
      </c>
      <c r="B1688" s="12" t="n">
        <v>46213</v>
      </c>
      <c r="C1688" t="inlineStr">
        <is>
          <t>SC OMEGA SOFT SRL</t>
        </is>
      </c>
      <c r="D1688" t="inlineStr">
        <is>
          <t>Dolj</t>
        </is>
      </c>
      <c r="E1688" t="inlineStr">
        <is>
          <t>PRD-007</t>
        </is>
      </c>
      <c r="F1688" t="inlineStr">
        <is>
          <t>Licenta antivirus enterprise</t>
        </is>
      </c>
      <c r="G1688" t="inlineStr">
        <is>
          <t>Licențe software</t>
        </is>
      </c>
      <c r="H1688" t="n">
        <v>5</v>
      </c>
      <c r="I1688" t="n">
        <v>182.82</v>
      </c>
      <c r="J1688" t="n">
        <v>914.1</v>
      </c>
      <c r="K1688" s="13" t="n">
        <v>0.19</v>
      </c>
      <c r="L1688" t="n">
        <v>173.68</v>
      </c>
      <c r="M1688" t="n">
        <v>1087.78</v>
      </c>
      <c r="N1688" t="inlineStr">
        <is>
          <t>RON</t>
        </is>
      </c>
      <c r="O1688" t="inlineStr">
        <is>
          <t>Craiova</t>
        </is>
      </c>
      <c r="P1688" s="12" t="n">
        <v>46273</v>
      </c>
      <c r="Q1688">
        <f>IF(COUNTIF(tbl_Localitati[oras_oficial],[@oras])=0,"ORAS NEALINIAT",IF(XLOOKUP([@oras],tbl_Localitati[oras_oficial],tbl_Localitati[judet],"?")&lt;&gt;[@judet],"JUDET NECORESPUNZATOR",""))</f>
        <v/>
      </c>
      <c r="R1688">
        <f>IF(XLOOKUP([@categorie],tbl_RegulriTVA[categorie],tbl_RegulriTVA[cota_legala],-1)&lt;&gt;[@cota_tva],"TVA GRESIT","")</f>
        <v/>
      </c>
      <c r="S1688">
        <f>IF([@data_scadentei]&lt;[@data_factura],"SCADENTA INAINTEA FACTURII","")</f>
        <v/>
      </c>
      <c r="T1688">
        <f>IF(NETWORKDAYS.INTL([@data_factura],[@data_factura],1,tbl_SarbatoriLegale[data])=0,"ZI NELUCRATOARE","")</f>
        <v/>
      </c>
      <c r="U1688">
        <f>IF([@motiv_anomalie]="","OK","DE INVESTIGAT")</f>
        <v/>
      </c>
      <c r="V1688">
        <f>TEXTJOIN("; ",TRUE,[@flag_oras],[@flag_tva],[@flag_scadenta],[@flag_zi])</f>
        <v/>
      </c>
    </row>
    <row r="1689">
      <c r="A1689" t="inlineStr">
        <is>
          <t>F-2025-01688</t>
        </is>
      </c>
      <c r="B1689" s="12" t="n">
        <v>46045</v>
      </c>
      <c r="C1689" t="inlineStr">
        <is>
          <t>SC SOLARIS ENERGY SRL</t>
        </is>
      </c>
      <c r="D1689" t="inlineStr">
        <is>
          <t>Prahova</t>
        </is>
      </c>
      <c r="E1689" t="inlineStr">
        <is>
          <t>PRD-006</t>
        </is>
      </c>
      <c r="F1689" t="inlineStr">
        <is>
          <t>Server rack 1U</t>
        </is>
      </c>
      <c r="G1689" t="inlineStr">
        <is>
          <t>Hardware IT</t>
        </is>
      </c>
      <c r="H1689" t="n">
        <v>10</v>
      </c>
      <c r="I1689" t="n">
        <v>753.53</v>
      </c>
      <c r="J1689" t="n">
        <v>7535.3</v>
      </c>
      <c r="K1689" s="13" t="n">
        <v>0.19</v>
      </c>
      <c r="L1689" t="n">
        <v>1431.71</v>
      </c>
      <c r="M1689" t="n">
        <v>8967.01</v>
      </c>
      <c r="N1689" t="inlineStr">
        <is>
          <t>RON</t>
        </is>
      </c>
      <c r="O1689" t="inlineStr">
        <is>
          <t>Câmpina</t>
        </is>
      </c>
      <c r="P1689" s="12" t="n">
        <v>46105</v>
      </c>
      <c r="Q1689">
        <f>IF(COUNTIF(tbl_Localitati[oras_oficial],[@oras])=0,"ORAS NEALINIAT",IF(XLOOKUP([@oras],tbl_Localitati[oras_oficial],tbl_Localitati[judet],"?")&lt;&gt;[@judet],"JUDET NECORESPUNZATOR",""))</f>
        <v/>
      </c>
      <c r="R1689">
        <f>IF(XLOOKUP([@categorie],tbl_RegulriTVA[categorie],tbl_RegulriTVA[cota_legala],-1)&lt;&gt;[@cota_tva],"TVA GRESIT","")</f>
        <v/>
      </c>
      <c r="S1689">
        <f>IF([@data_scadentei]&lt;[@data_factura],"SCADENTA INAINTEA FACTURII","")</f>
        <v/>
      </c>
      <c r="T1689">
        <f>IF(NETWORKDAYS.INTL([@data_factura],[@data_factura],1,tbl_SarbatoriLegale[data])=0,"ZI NELUCRATOARE","")</f>
        <v/>
      </c>
      <c r="U1689">
        <f>IF([@motiv_anomalie]="","OK","DE INVESTIGAT")</f>
        <v/>
      </c>
      <c r="V1689">
        <f>TEXTJOIN("; ",TRUE,[@flag_oras],[@flag_tva],[@flag_scadenta],[@flag_zi])</f>
        <v/>
      </c>
    </row>
    <row r="1690">
      <c r="A1690" t="inlineStr">
        <is>
          <t>F-2025-01689</t>
        </is>
      </c>
      <c r="B1690" s="12" t="n">
        <v>46303</v>
      </c>
      <c r="C1690" t="inlineStr">
        <is>
          <t>SC AROMET TRADING SRL</t>
        </is>
      </c>
      <c r="D1690" t="inlineStr">
        <is>
          <t>Alba</t>
        </is>
      </c>
      <c r="E1690" t="inlineStr">
        <is>
          <t>PRD-002</t>
        </is>
      </c>
      <c r="F1690" t="inlineStr">
        <is>
          <t>Multifunctionala laser</t>
        </is>
      </c>
      <c r="G1690" t="inlineStr">
        <is>
          <t>Echipamente birou</t>
        </is>
      </c>
      <c r="H1690" t="n">
        <v>1</v>
      </c>
      <c r="I1690" t="n">
        <v>1145.27</v>
      </c>
      <c r="J1690" t="n">
        <v>1145.27</v>
      </c>
      <c r="K1690" s="13" t="n">
        <v>0.19</v>
      </c>
      <c r="L1690" t="n">
        <v>217.6</v>
      </c>
      <c r="M1690" t="n">
        <v>1362.87</v>
      </c>
      <c r="N1690" t="inlineStr">
        <is>
          <t>RON</t>
        </is>
      </c>
      <c r="O1690" t="inlineStr">
        <is>
          <t>Alba Iulia</t>
        </is>
      </c>
      <c r="P1690" s="12" t="n">
        <v>46348</v>
      </c>
      <c r="Q1690">
        <f>IF(COUNTIF(tbl_Localitati[oras_oficial],[@oras])=0,"ORAS NEALINIAT",IF(XLOOKUP([@oras],tbl_Localitati[oras_oficial],tbl_Localitati[judet],"?")&lt;&gt;[@judet],"JUDET NECORESPUNZATOR",""))</f>
        <v/>
      </c>
      <c r="R1690">
        <f>IF(XLOOKUP([@categorie],tbl_RegulriTVA[categorie],tbl_RegulriTVA[cota_legala],-1)&lt;&gt;[@cota_tva],"TVA GRESIT","")</f>
        <v/>
      </c>
      <c r="S1690">
        <f>IF([@data_scadentei]&lt;[@data_factura],"SCADENTA INAINTEA FACTURII","")</f>
        <v/>
      </c>
      <c r="T1690">
        <f>IF(NETWORKDAYS.INTL([@data_factura],[@data_factura],1,tbl_SarbatoriLegale[data])=0,"ZI NELUCRATOARE","")</f>
        <v/>
      </c>
      <c r="U1690">
        <f>IF([@motiv_anomalie]="","OK","DE INVESTIGAT")</f>
        <v/>
      </c>
      <c r="V1690">
        <f>TEXTJOIN("; ",TRUE,[@flag_oras],[@flag_tva],[@flag_scadenta],[@flag_zi])</f>
        <v/>
      </c>
    </row>
    <row r="1691">
      <c r="A1691" t="inlineStr">
        <is>
          <t>F-2025-01690</t>
        </is>
      </c>
      <c r="B1691" s="12" t="n">
        <v>46189</v>
      </c>
      <c r="C1691" t="inlineStr">
        <is>
          <t>SC SOLARIS ENERGY SRL</t>
        </is>
      </c>
      <c r="D1691" t="inlineStr">
        <is>
          <t>Prahova</t>
        </is>
      </c>
      <c r="E1691" t="inlineStr">
        <is>
          <t>PRD-004</t>
        </is>
      </c>
      <c r="F1691" t="inlineStr">
        <is>
          <t>Server rack 1U</t>
        </is>
      </c>
      <c r="G1691" t="inlineStr">
        <is>
          <t>Hardware IT</t>
        </is>
      </c>
      <c r="H1691" t="n">
        <v>3</v>
      </c>
      <c r="I1691" t="n">
        <v>908.3</v>
      </c>
      <c r="J1691" t="n">
        <v>2724.9</v>
      </c>
      <c r="K1691" s="13" t="n">
        <v>0.09</v>
      </c>
      <c r="L1691" t="n">
        <v>245.24</v>
      </c>
      <c r="M1691" t="n">
        <v>2970.14</v>
      </c>
      <c r="N1691" t="inlineStr">
        <is>
          <t>RON</t>
        </is>
      </c>
      <c r="O1691" t="inlineStr">
        <is>
          <t>Câmpina</t>
        </is>
      </c>
      <c r="P1691" s="12" t="n">
        <v>46219</v>
      </c>
      <c r="Q1691">
        <f>IF(COUNTIF(tbl_Localitati[oras_oficial],[@oras])=0,"ORAS NEALINIAT",IF(XLOOKUP([@oras],tbl_Localitati[oras_oficial],tbl_Localitati[judet],"?")&lt;&gt;[@judet],"JUDET NECORESPUNZATOR",""))</f>
        <v/>
      </c>
      <c r="R1691">
        <f>IF(XLOOKUP([@categorie],tbl_RegulriTVA[categorie],tbl_RegulriTVA[cota_legala],-1)&lt;&gt;[@cota_tva],"TVA GRESIT","")</f>
        <v/>
      </c>
      <c r="S1691">
        <f>IF([@data_scadentei]&lt;[@data_factura],"SCADENTA INAINTEA FACTURII","")</f>
        <v/>
      </c>
      <c r="T1691">
        <f>IF(NETWORKDAYS.INTL([@data_factura],[@data_factura],1,tbl_SarbatoriLegale[data])=0,"ZI NELUCRATOARE","")</f>
        <v/>
      </c>
      <c r="U1691">
        <f>IF([@motiv_anomalie]="","OK","DE INVESTIGAT")</f>
        <v/>
      </c>
      <c r="V1691">
        <f>TEXTJOIN("; ",TRUE,[@flag_oras],[@flag_tva],[@flag_scadenta],[@flag_zi])</f>
        <v/>
      </c>
    </row>
    <row r="1692">
      <c r="A1692" t="inlineStr">
        <is>
          <t>F-2025-01691</t>
        </is>
      </c>
      <c r="B1692" s="12" t="n">
        <v>46076</v>
      </c>
      <c r="C1692" t="inlineStr">
        <is>
          <t>SC RAPID LOGISTIC SA</t>
        </is>
      </c>
      <c r="D1692" t="inlineStr">
        <is>
          <t>Prahova</t>
        </is>
      </c>
      <c r="E1692" t="inlineStr">
        <is>
          <t>PRD-004</t>
        </is>
      </c>
      <c r="F1692" t="inlineStr">
        <is>
          <t>Laptop business 15"</t>
        </is>
      </c>
      <c r="G1692" t="inlineStr">
        <is>
          <t>Hardware IT</t>
        </is>
      </c>
      <c r="H1692" t="n">
        <v>5</v>
      </c>
      <c r="I1692" t="n">
        <v>879.97</v>
      </c>
      <c r="J1692" t="n">
        <v>4399.85</v>
      </c>
      <c r="K1692" s="13" t="n">
        <v>0.19</v>
      </c>
      <c r="L1692" t="n">
        <v>835.97</v>
      </c>
      <c r="M1692" t="n">
        <v>5235.82</v>
      </c>
      <c r="N1692" t="inlineStr">
        <is>
          <t>RON</t>
        </is>
      </c>
      <c r="O1692" t="inlineStr">
        <is>
          <t>Ploiești</t>
        </is>
      </c>
      <c r="P1692" s="12" t="n">
        <v>46106</v>
      </c>
      <c r="Q1692">
        <f>IF(COUNTIF(tbl_Localitati[oras_oficial],[@oras])=0,"ORAS NEALINIAT",IF(XLOOKUP([@oras],tbl_Localitati[oras_oficial],tbl_Localitati[judet],"?")&lt;&gt;[@judet],"JUDET NECORESPUNZATOR",""))</f>
        <v/>
      </c>
      <c r="R1692">
        <f>IF(XLOOKUP([@categorie],tbl_RegulriTVA[categorie],tbl_RegulriTVA[cota_legala],-1)&lt;&gt;[@cota_tva],"TVA GRESIT","")</f>
        <v/>
      </c>
      <c r="S1692">
        <f>IF([@data_scadentei]&lt;[@data_factura],"SCADENTA INAINTEA FACTURII","")</f>
        <v/>
      </c>
      <c r="T1692">
        <f>IF(NETWORKDAYS.INTL([@data_factura],[@data_factura],1,tbl_SarbatoriLegale[data])=0,"ZI NELUCRATOARE","")</f>
        <v/>
      </c>
      <c r="U1692">
        <f>IF([@motiv_anomalie]="","OK","DE INVESTIGAT")</f>
        <v/>
      </c>
      <c r="V1692">
        <f>TEXTJOIN("; ",TRUE,[@flag_oras],[@flag_tva],[@flag_scadenta],[@flag_zi])</f>
        <v/>
      </c>
    </row>
    <row r="1693">
      <c r="A1693" t="inlineStr">
        <is>
          <t>F-2025-01692</t>
        </is>
      </c>
      <c r="B1693" s="12" t="n">
        <v>46239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Multifunctionala laser</t>
        </is>
      </c>
      <c r="G1693" t="inlineStr">
        <is>
          <t>Echipamente birou</t>
        </is>
      </c>
      <c r="H1693" t="n">
        <v>10</v>
      </c>
      <c r="I1693" t="n">
        <v>28.56</v>
      </c>
      <c r="J1693" t="n">
        <v>285.6</v>
      </c>
      <c r="K1693" s="13" t="n">
        <v>0.19</v>
      </c>
      <c r="L1693" t="n">
        <v>54.26</v>
      </c>
      <c r="M1693" t="n">
        <v>339.86</v>
      </c>
      <c r="N1693" t="inlineStr">
        <is>
          <t>RON</t>
        </is>
      </c>
      <c r="O1693" t="inlineStr">
        <is>
          <t>Sibiu</t>
        </is>
      </c>
      <c r="P1693" s="12" t="n">
        <v>46299</v>
      </c>
      <c r="Q1693">
        <f>IF(COUNTIF(tbl_Localitati[oras_oficial],[@oras])=0,"ORAS NEALINIAT",IF(XLOOKUP([@oras],tbl_Localitati[oras_oficial],tbl_Localitati[judet],"?")&lt;&gt;[@judet],"JUDET NECORESPUNZATOR",""))</f>
        <v/>
      </c>
      <c r="R1693">
        <f>IF(XLOOKUP([@categorie],tbl_RegulriTVA[categorie],tbl_RegulriTVA[cota_legala],-1)&lt;&gt;[@cota_tva],"TVA GRESIT","")</f>
        <v/>
      </c>
      <c r="S1693">
        <f>IF([@data_scadentei]&lt;[@data_factura],"SCADENTA INAINTEA FACTURII","")</f>
        <v/>
      </c>
      <c r="T1693">
        <f>IF(NETWORKDAYS.INTL([@data_factura],[@data_factura],1,tbl_SarbatoriLegale[data])=0,"ZI NELUCRATOARE","")</f>
        <v/>
      </c>
      <c r="U1693">
        <f>IF([@motiv_anomalie]="","OK","DE INVESTIGAT")</f>
        <v/>
      </c>
      <c r="V1693">
        <f>TEXTJOIN("; ",TRUE,[@flag_oras],[@flag_tva],[@flag_scadenta],[@flag_zi])</f>
        <v/>
      </c>
    </row>
    <row r="1694">
      <c r="A1694" t="inlineStr">
        <is>
          <t>F-2025-01693</t>
        </is>
      </c>
      <c r="B1694" s="12" t="n">
        <v>46177</v>
      </c>
      <c r="C1694" t="inlineStr">
        <is>
          <t>SC DACTECH SOLUTIONS SRL</t>
        </is>
      </c>
      <c r="D1694" t="inlineStr">
        <is>
          <t>Argeș</t>
        </is>
      </c>
      <c r="E1694" t="inlineStr">
        <is>
          <t>PRD-006</t>
        </is>
      </c>
      <c r="F1694" t="inlineStr">
        <is>
          <t>Consultanta implementare IT</t>
        </is>
      </c>
      <c r="G1694" t="inlineStr">
        <is>
          <t>Servicii consultanță</t>
        </is>
      </c>
      <c r="H1694" t="n">
        <v>1</v>
      </c>
      <c r="I1694" t="n">
        <v>735.15</v>
      </c>
      <c r="J1694" t="n">
        <v>735.15</v>
      </c>
      <c r="K1694" s="13" t="n">
        <v>0.19</v>
      </c>
      <c r="L1694" t="n">
        <v>139.68</v>
      </c>
      <c r="M1694" t="n">
        <v>874.83</v>
      </c>
      <c r="N1694" t="inlineStr">
        <is>
          <t>RON</t>
        </is>
      </c>
      <c r="O1694" t="inlineStr">
        <is>
          <t>Pitești</t>
        </is>
      </c>
      <c r="P1694" s="12" t="n">
        <v>46207</v>
      </c>
      <c r="Q1694">
        <f>IF(COUNTIF(tbl_Localitati[oras_oficial],[@oras])=0,"ORAS NEALINIAT",IF(XLOOKUP([@oras],tbl_Localitati[oras_oficial],tbl_Localitati[judet],"?")&lt;&gt;[@judet],"JUDET NECORESPUNZATOR",""))</f>
        <v/>
      </c>
      <c r="R1694">
        <f>IF(XLOOKUP([@categorie],tbl_RegulriTVA[categorie],tbl_RegulriTVA[cota_legala],-1)&lt;&gt;[@cota_tva],"TVA GRESIT","")</f>
        <v/>
      </c>
      <c r="S1694">
        <f>IF([@data_scadentei]&lt;[@data_factura],"SCADENTA INAINTEA FACTURII","")</f>
        <v/>
      </c>
      <c r="T1694">
        <f>IF(NETWORKDAYS.INTL([@data_factura],[@data_factura],1,tbl_SarbatoriLegale[data])=0,"ZI NELUCRATOARE","")</f>
        <v/>
      </c>
      <c r="U1694">
        <f>IF([@motiv_anomalie]="","OK","DE INVESTIGAT")</f>
        <v/>
      </c>
      <c r="V1694">
        <f>TEXTJOIN("; ",TRUE,[@flag_oras],[@flag_tva],[@flag_scadenta],[@flag_zi])</f>
        <v/>
      </c>
    </row>
    <row r="1695">
      <c r="A1695" t="inlineStr">
        <is>
          <t>F-2025-01694</t>
        </is>
      </c>
      <c r="B1695" s="12" t="n">
        <v>46213</v>
      </c>
      <c r="C1695" t="inlineStr">
        <is>
          <t>SC DACTECH SOLUTIONS SRL</t>
        </is>
      </c>
      <c r="D1695" t="inlineStr">
        <is>
          <t>Argeș</t>
        </is>
      </c>
      <c r="E1695" t="inlineStr">
        <is>
          <t>PRD-003</t>
        </is>
      </c>
      <c r="F1695" t="inlineStr">
        <is>
          <t>Tocator documente</t>
        </is>
      </c>
      <c r="G1695" t="inlineStr">
        <is>
          <t>Echipamente birou</t>
        </is>
      </c>
      <c r="H1695" t="n">
        <v>1</v>
      </c>
      <c r="I1695" t="n">
        <v>4126.34</v>
      </c>
      <c r="J1695" t="n">
        <v>4126.34</v>
      </c>
      <c r="K1695" s="13" t="n">
        <v>0.19</v>
      </c>
      <c r="L1695" t="n">
        <v>784</v>
      </c>
      <c r="M1695" t="n">
        <v>4910.34</v>
      </c>
      <c r="N1695" t="inlineStr">
        <is>
          <t>RON</t>
        </is>
      </c>
      <c r="O1695" t="inlineStr">
        <is>
          <t>Pitești</t>
        </is>
      </c>
      <c r="P1695" s="12" t="n">
        <v>46243</v>
      </c>
      <c r="Q1695">
        <f>IF(COUNTIF(tbl_Localitati[oras_oficial],[@oras])=0,"ORAS NEALINIAT",IF(XLOOKUP([@oras],tbl_Localitati[oras_oficial],tbl_Localitati[judet],"?")&lt;&gt;[@judet],"JUDET NECORESPUNZATOR",""))</f>
        <v/>
      </c>
      <c r="R1695">
        <f>IF(XLOOKUP([@categorie],tbl_RegulriTVA[categorie],tbl_RegulriTVA[cota_legala],-1)&lt;&gt;[@cota_tva],"TVA GRESIT","")</f>
        <v/>
      </c>
      <c r="S1695">
        <f>IF([@data_scadentei]&lt;[@data_factura],"SCADENTA INAINTEA FACTURII","")</f>
        <v/>
      </c>
      <c r="T1695">
        <f>IF(NETWORKDAYS.INTL([@data_factura],[@data_factura],1,tbl_SarbatoriLegale[data])=0,"ZI NELUCRATOARE","")</f>
        <v/>
      </c>
      <c r="U1695">
        <f>IF([@motiv_anomalie]="","OK","DE INVESTIGAT")</f>
        <v/>
      </c>
      <c r="V1695">
        <f>TEXTJOIN("; ",TRUE,[@flag_oras],[@flag_tva],[@flag_scadenta],[@flag_zi])</f>
        <v/>
      </c>
    </row>
    <row r="1696">
      <c r="A1696" t="inlineStr">
        <is>
          <t>F-2025-01695</t>
        </is>
      </c>
      <c r="B1696" s="12" t="n">
        <v>46077</v>
      </c>
      <c r="C1696" t="inlineStr">
        <is>
          <t>SC UNIFOOD DISTRIBUTION SA</t>
        </is>
      </c>
      <c r="D1696" t="inlineStr">
        <is>
          <t>Sibiu</t>
        </is>
      </c>
      <c r="E1696" t="inlineStr">
        <is>
          <t>PRD-011</t>
        </is>
      </c>
      <c r="F1696" t="inlineStr">
        <is>
          <t>Carte tehnica IT</t>
        </is>
      </c>
      <c r="G1696" t="inlineStr">
        <is>
          <t>Cărți și manuale</t>
        </is>
      </c>
      <c r="H1696" t="n">
        <v>50</v>
      </c>
      <c r="I1696" t="n">
        <v>44.18</v>
      </c>
      <c r="J1696" t="n">
        <v>2209</v>
      </c>
      <c r="K1696" s="13" t="n">
        <v>0.05</v>
      </c>
      <c r="L1696" t="n">
        <v>110.45</v>
      </c>
      <c r="M1696" t="n">
        <v>2319.45</v>
      </c>
      <c r="N1696" t="inlineStr">
        <is>
          <t>RON</t>
        </is>
      </c>
      <c r="O1696" t="inlineStr">
        <is>
          <t>Mediaș</t>
        </is>
      </c>
      <c r="P1696" s="12" t="n">
        <v>46107</v>
      </c>
      <c r="Q1696">
        <f>IF(COUNTIF(tbl_Localitati[oras_oficial],[@oras])=0,"ORAS NEALINIAT",IF(XLOOKUP([@oras],tbl_Localitati[oras_oficial],tbl_Localitati[judet],"?")&lt;&gt;[@judet],"JUDET NECORESPUNZATOR",""))</f>
        <v/>
      </c>
      <c r="R1696">
        <f>IF(XLOOKUP([@categorie],tbl_RegulriTVA[categorie],tbl_RegulriTVA[cota_legala],-1)&lt;&gt;[@cota_tva],"TVA GRESIT","")</f>
        <v/>
      </c>
      <c r="S1696">
        <f>IF([@data_scadentei]&lt;[@data_factura],"SCADENTA INAINTEA FACTURII","")</f>
        <v/>
      </c>
      <c r="T1696">
        <f>IF(NETWORKDAYS.INTL([@data_factura],[@data_factura],1,tbl_SarbatoriLegale[data])=0,"ZI NELUCRATOARE","")</f>
        <v/>
      </c>
      <c r="U1696">
        <f>IF([@motiv_anomalie]="","OK","DE INVESTIGAT")</f>
        <v/>
      </c>
      <c r="V1696">
        <f>TEXTJOIN("; ",TRUE,[@flag_oras],[@flag_tva],[@flag_scadenta],[@flag_zi])</f>
        <v/>
      </c>
    </row>
    <row r="1697">
      <c r="A1697" t="inlineStr">
        <is>
          <t>F-2025-01696</t>
        </is>
      </c>
      <c r="B1697" s="12" t="n">
        <v>46176</v>
      </c>
      <c r="C1697" t="inlineStr">
        <is>
          <t>SC DACTECH SOLUTIONS SRL</t>
        </is>
      </c>
      <c r="D1697" t="inlineStr">
        <is>
          <t>Argeș</t>
        </is>
      </c>
      <c r="E1697" t="inlineStr">
        <is>
          <t>PRD-003</t>
        </is>
      </c>
      <c r="F1697" t="inlineStr">
        <is>
          <t>Tocator documente</t>
        </is>
      </c>
      <c r="G1697" t="inlineStr">
        <is>
          <t>Echipamente birou</t>
        </is>
      </c>
      <c r="H1697" t="n">
        <v>1</v>
      </c>
      <c r="I1697" t="n">
        <v>4319.3</v>
      </c>
      <c r="J1697" t="n">
        <v>4319.3</v>
      </c>
      <c r="K1697" s="13" t="n">
        <v>0.19</v>
      </c>
      <c r="L1697" t="n">
        <v>820.67</v>
      </c>
      <c r="M1697" t="n">
        <v>5139.97</v>
      </c>
      <c r="N1697" t="inlineStr">
        <is>
          <t>RON</t>
        </is>
      </c>
      <c r="O1697" t="inlineStr">
        <is>
          <t>Pitești</t>
        </is>
      </c>
      <c r="P1697" s="12" t="n">
        <v>46236</v>
      </c>
      <c r="Q1697">
        <f>IF(COUNTIF(tbl_Localitati[oras_oficial],[@oras])=0,"ORAS NEALINIAT",IF(XLOOKUP([@oras],tbl_Localitati[oras_oficial],tbl_Localitati[judet],"?")&lt;&gt;[@judet],"JUDET NECORESPUNZATOR",""))</f>
        <v/>
      </c>
      <c r="R1697">
        <f>IF(XLOOKUP([@categorie],tbl_RegulriTVA[categorie],tbl_RegulriTVA[cota_legala],-1)&lt;&gt;[@cota_tva],"TVA GRESIT","")</f>
        <v/>
      </c>
      <c r="S1697">
        <f>IF([@data_scadentei]&lt;[@data_factura],"SCADENTA INAINTEA FACTURII","")</f>
        <v/>
      </c>
      <c r="T1697">
        <f>IF(NETWORKDAYS.INTL([@data_factura],[@data_factura],1,tbl_SarbatoriLegale[data])=0,"ZI NELUCRATOARE","")</f>
        <v/>
      </c>
      <c r="U1697">
        <f>IF([@motiv_anomalie]="","OK","DE INVESTIGAT")</f>
        <v/>
      </c>
      <c r="V1697">
        <f>TEXTJOIN("; ",TRUE,[@flag_oras],[@flag_tva],[@flag_scadenta],[@flag_zi])</f>
        <v/>
      </c>
    </row>
    <row r="1698">
      <c r="A1698" t="inlineStr">
        <is>
          <t>F-2025-01697</t>
        </is>
      </c>
      <c r="B1698" s="12" t="n">
        <v>46254</v>
      </c>
      <c r="C1698" t="inlineStr">
        <is>
          <t>SC RAPID LOGISTIC SA</t>
        </is>
      </c>
      <c r="D1698" t="inlineStr">
        <is>
          <t>Prahova</t>
        </is>
      </c>
      <c r="E1698" t="inlineStr">
        <is>
          <t>PRD-010</t>
        </is>
      </c>
      <c r="F1698" t="inlineStr">
        <is>
          <t>Audit infrastructura</t>
        </is>
      </c>
      <c r="G1698" t="inlineStr">
        <is>
          <t>Servicii consultanță</t>
        </is>
      </c>
      <c r="H1698" t="n">
        <v>5</v>
      </c>
      <c r="I1698" t="n">
        <v>347.19</v>
      </c>
      <c r="J1698" t="n">
        <v>1735.95</v>
      </c>
      <c r="K1698" s="13" t="n">
        <v>0.19</v>
      </c>
      <c r="L1698" t="n">
        <v>329.83</v>
      </c>
      <c r="M1698" t="n">
        <v>2065.78</v>
      </c>
      <c r="N1698" t="inlineStr">
        <is>
          <t>RON</t>
        </is>
      </c>
      <c r="O1698" t="inlineStr">
        <is>
          <t>Ploiești</t>
        </is>
      </c>
      <c r="P1698" s="12" t="n">
        <v>46314</v>
      </c>
      <c r="Q1698">
        <f>IF(COUNTIF(tbl_Localitati[oras_oficial],[@oras])=0,"ORAS NEALINIAT",IF(XLOOKUP([@oras],tbl_Localitati[oras_oficial],tbl_Localitati[judet],"?")&lt;&gt;[@judet],"JUDET NECORESPUNZATOR",""))</f>
        <v/>
      </c>
      <c r="R1698">
        <f>IF(XLOOKUP([@categorie],tbl_RegulriTVA[categorie],tbl_RegulriTVA[cota_legala],-1)&lt;&gt;[@cota_tva],"TVA GRESIT","")</f>
        <v/>
      </c>
      <c r="S1698">
        <f>IF([@data_scadentei]&lt;[@data_factura],"SCADENTA INAINTEA FACTURII","")</f>
        <v/>
      </c>
      <c r="T1698">
        <f>IF(NETWORKDAYS.INTL([@data_factura],[@data_factura],1,tbl_SarbatoriLegale[data])=0,"ZI NELUCRATOARE","")</f>
        <v/>
      </c>
      <c r="U1698">
        <f>IF([@motiv_anomalie]="","OK","DE INVESTIGAT")</f>
        <v/>
      </c>
      <c r="V1698">
        <f>TEXTJOIN("; ",TRUE,[@flag_oras],[@flag_tva],[@flag_scadenta],[@flag_zi])</f>
        <v/>
      </c>
    </row>
    <row r="1699">
      <c r="A1699" t="inlineStr">
        <is>
          <t>F-2025-01698</t>
        </is>
      </c>
      <c r="B1699" s="12" t="n">
        <v>46055</v>
      </c>
      <c r="C1699" t="inlineStr">
        <is>
          <t>SC ZENITH AUTO SRL</t>
        </is>
      </c>
      <c r="D1699" t="inlineStr">
        <is>
          <t>București</t>
        </is>
      </c>
      <c r="E1699" t="inlineStr">
        <is>
          <t>PRD-002</t>
        </is>
      </c>
      <c r="F1699" t="inlineStr">
        <is>
          <t>Abonament suita cloud</t>
        </is>
      </c>
      <c r="G1699" t="inlineStr">
        <is>
          <t>Licențe software</t>
        </is>
      </c>
      <c r="H1699" t="n">
        <v>10</v>
      </c>
      <c r="I1699" t="n">
        <v>1127.7</v>
      </c>
      <c r="J1699" t="n">
        <v>11277</v>
      </c>
      <c r="K1699" s="13" t="n">
        <v>0.19</v>
      </c>
      <c r="L1699" t="n">
        <v>2142.63</v>
      </c>
      <c r="M1699" t="n">
        <v>13419.63</v>
      </c>
      <c r="N1699" t="inlineStr">
        <is>
          <t>RON</t>
        </is>
      </c>
      <c r="O1699" t="inlineStr">
        <is>
          <t>București</t>
        </is>
      </c>
      <c r="P1699" s="12" t="n">
        <v>46085</v>
      </c>
      <c r="Q1699">
        <f>IF(COUNTIF(tbl_Localitati[oras_oficial],[@oras])=0,"ORAS NEALINIAT",IF(XLOOKUP([@oras],tbl_Localitati[oras_oficial],tbl_Localitati[judet],"?")&lt;&gt;[@judet],"JUDET NECORESPUNZATOR",""))</f>
        <v/>
      </c>
      <c r="R1699">
        <f>IF(XLOOKUP([@categorie],tbl_RegulriTVA[categorie],tbl_RegulriTVA[cota_legala],-1)&lt;&gt;[@cota_tva],"TVA GRESIT","")</f>
        <v/>
      </c>
      <c r="S1699">
        <f>IF([@data_scadentei]&lt;[@data_factura],"SCADENTA INAINTEA FACTURII","")</f>
        <v/>
      </c>
      <c r="T1699">
        <f>IF(NETWORKDAYS.INTL([@data_factura],[@data_factura],1,tbl_SarbatoriLegale[data])=0,"ZI NELUCRATOARE","")</f>
        <v/>
      </c>
      <c r="U1699">
        <f>IF([@motiv_anomalie]="","OK","DE INVESTIGAT")</f>
        <v/>
      </c>
      <c r="V1699">
        <f>TEXTJOIN("; ",TRUE,[@flag_oras],[@flag_tva],[@flag_scadenta],[@flag_zi])</f>
        <v/>
      </c>
    </row>
    <row r="1700">
      <c r="A1700" t="inlineStr">
        <is>
          <t>F-2025-01699</t>
        </is>
      </c>
      <c r="B1700" s="12" t="n">
        <v>46280</v>
      </c>
      <c r="C1700" t="inlineStr">
        <is>
          <t>SC OMEGA SOFT SRL</t>
        </is>
      </c>
      <c r="D1700" t="inlineStr">
        <is>
          <t>Dolj</t>
        </is>
      </c>
      <c r="E1700" t="inlineStr">
        <is>
          <t>PRD-005</t>
        </is>
      </c>
      <c r="F1700" t="inlineStr">
        <is>
          <t>Licenta Office 365 anuala</t>
        </is>
      </c>
      <c r="G1700" t="inlineStr">
        <is>
          <t>Licențe software</t>
        </is>
      </c>
      <c r="H1700" t="n">
        <v>2</v>
      </c>
      <c r="I1700" t="n">
        <v>252.38</v>
      </c>
      <c r="J1700" t="n">
        <v>504.76</v>
      </c>
      <c r="K1700" s="13" t="n">
        <v>0.19</v>
      </c>
      <c r="L1700" t="n">
        <v>95.90000000000001</v>
      </c>
      <c r="M1700" t="n">
        <v>600.66</v>
      </c>
      <c r="N1700" t="inlineStr">
        <is>
          <t>RON</t>
        </is>
      </c>
      <c r="O1700" t="inlineStr">
        <is>
          <t>Craiova</t>
        </is>
      </c>
      <c r="P1700" s="12" t="n">
        <v>46325</v>
      </c>
      <c r="Q1700">
        <f>IF(COUNTIF(tbl_Localitati[oras_oficial],[@oras])=0,"ORAS NEALINIAT",IF(XLOOKUP([@oras],tbl_Localitati[oras_oficial],tbl_Localitati[judet],"?")&lt;&gt;[@judet],"JUDET NECORESPUNZATOR",""))</f>
        <v/>
      </c>
      <c r="R1700">
        <f>IF(XLOOKUP([@categorie],tbl_RegulriTVA[categorie],tbl_RegulriTVA[cota_legala],-1)&lt;&gt;[@cota_tva],"TVA GRESIT","")</f>
        <v/>
      </c>
      <c r="S1700">
        <f>IF([@data_scadentei]&lt;[@data_factura],"SCADENTA INAINTEA FACTURII","")</f>
        <v/>
      </c>
      <c r="T1700">
        <f>IF(NETWORKDAYS.INTL([@data_factura],[@data_factura],1,tbl_SarbatoriLegale[data])=0,"ZI NELUCRATOARE","")</f>
        <v/>
      </c>
      <c r="U1700">
        <f>IF([@motiv_anomalie]="","OK","DE INVESTIGAT")</f>
        <v/>
      </c>
      <c r="V1700">
        <f>TEXTJOIN("; ",TRUE,[@flag_oras],[@flag_tva],[@flag_scadenta],[@flag_zi])</f>
        <v/>
      </c>
    </row>
    <row r="1701">
      <c r="A1701" t="inlineStr">
        <is>
          <t>F-2025-01700</t>
        </is>
      </c>
      <c r="B1701" s="12" t="n">
        <v>46274</v>
      </c>
      <c r="C1701" t="inlineStr">
        <is>
          <t>SC NORDIS DISTRIBUTIE SRL</t>
        </is>
      </c>
      <c r="D1701" t="inlineStr">
        <is>
          <t>Constanța</t>
        </is>
      </c>
      <c r="E1701" t="inlineStr">
        <is>
          <t>PRD-002</t>
        </is>
      </c>
      <c r="F1701" t="inlineStr">
        <is>
          <t>Server rack 1U</t>
        </is>
      </c>
      <c r="G1701" t="inlineStr">
        <is>
          <t>Hardware IT</t>
        </is>
      </c>
      <c r="H1701" t="n">
        <v>2</v>
      </c>
      <c r="I1701" t="n">
        <v>1145.98</v>
      </c>
      <c r="J1701" t="n">
        <v>2291.96</v>
      </c>
      <c r="K1701" s="13" t="n">
        <v>0.19</v>
      </c>
      <c r="L1701" t="n">
        <v>435.47</v>
      </c>
      <c r="M1701" t="n">
        <v>2727.43</v>
      </c>
      <c r="N1701" t="inlineStr">
        <is>
          <t>RON</t>
        </is>
      </c>
      <c r="O1701" t="inlineStr">
        <is>
          <t>Mangalia</t>
        </is>
      </c>
      <c r="P1701" s="12" t="n">
        <v>46259</v>
      </c>
      <c r="Q1701">
        <f>IF(COUNTIF(tbl_Localitati[oras_oficial],[@oras])=0,"ORAS NEALINIAT",IF(XLOOKUP([@oras],tbl_Localitati[oras_oficial],tbl_Localitati[judet],"?")&lt;&gt;[@judet],"JUDET NECORESPUNZATOR",""))</f>
        <v/>
      </c>
      <c r="R1701">
        <f>IF(XLOOKUP([@categorie],tbl_RegulriTVA[categorie],tbl_RegulriTVA[cota_legala],-1)&lt;&gt;[@cota_tva],"TVA GRESIT","")</f>
        <v/>
      </c>
      <c r="S1701">
        <f>IF([@data_scadentei]&lt;[@data_factura],"SCADENTA INAINTEA FACTURII","")</f>
        <v/>
      </c>
      <c r="T1701">
        <f>IF(NETWORKDAYS.INTL([@data_factura],[@data_factura],1,tbl_SarbatoriLegale[data])=0,"ZI NELUCRATOARE","")</f>
        <v/>
      </c>
      <c r="U1701">
        <f>IF([@motiv_anomalie]="","OK","DE INVESTIGAT")</f>
        <v/>
      </c>
      <c r="V1701">
        <f>TEXTJOIN("; ",TRUE,[@flag_oras],[@flag_tva],[@flag_scadenta],[@flag_zi])</f>
        <v/>
      </c>
    </row>
    <row r="1702">
      <c r="A1702" t="inlineStr">
        <is>
          <t>F-2025-01701</t>
        </is>
      </c>
      <c r="B1702" s="12" t="n">
        <v>46157</v>
      </c>
      <c r="C1702" t="inlineStr">
        <is>
          <t>SC UNIFOOD DISTRIBUTION SA</t>
        </is>
      </c>
      <c r="D1702" t="inlineStr">
        <is>
          <t>Sibiu</t>
        </is>
      </c>
      <c r="E1702" t="inlineStr">
        <is>
          <t>PRD-010</t>
        </is>
      </c>
      <c r="F1702" t="inlineStr">
        <is>
          <t>Licenta ERP contabilitate</t>
        </is>
      </c>
      <c r="G1702" t="inlineStr">
        <is>
          <t>Licențe software</t>
        </is>
      </c>
      <c r="H1702" t="n">
        <v>5</v>
      </c>
      <c r="I1702" t="n">
        <v>350.16</v>
      </c>
      <c r="J1702" t="n">
        <v>1750.8</v>
      </c>
      <c r="K1702" s="13" t="n">
        <v>0.19</v>
      </c>
      <c r="L1702" t="n">
        <v>332.65</v>
      </c>
      <c r="M1702" t="n">
        <v>2083.45</v>
      </c>
      <c r="N1702" t="inlineStr">
        <is>
          <t>RON</t>
        </is>
      </c>
      <c r="O1702" t="inlineStr">
        <is>
          <t>Mediaș</t>
        </is>
      </c>
      <c r="P1702" s="12" t="n">
        <v>46187</v>
      </c>
      <c r="Q1702">
        <f>IF(COUNTIF(tbl_Localitati[oras_oficial],[@oras])=0,"ORAS NEALINIAT",IF(XLOOKUP([@oras],tbl_Localitati[oras_oficial],tbl_Localitati[judet],"?")&lt;&gt;[@judet],"JUDET NECORESPUNZATOR",""))</f>
        <v/>
      </c>
      <c r="R1702">
        <f>IF(XLOOKUP([@categorie],tbl_RegulriTVA[categorie],tbl_RegulriTVA[cota_legala],-1)&lt;&gt;[@cota_tva],"TVA GRESIT","")</f>
        <v/>
      </c>
      <c r="S1702">
        <f>IF([@data_scadentei]&lt;[@data_factura],"SCADENTA INAINTEA FACTURII","")</f>
        <v/>
      </c>
      <c r="T1702">
        <f>IF(NETWORKDAYS.INTL([@data_factura],[@data_factura],1,tbl_SarbatoriLegale[data])=0,"ZI NELUCRATOARE","")</f>
        <v/>
      </c>
      <c r="U1702">
        <f>IF([@motiv_anomalie]="","OK","DE INVESTIGAT")</f>
        <v/>
      </c>
      <c r="V1702">
        <f>TEXTJOIN("; ",TRUE,[@flag_oras],[@flag_tva],[@flag_scadenta],[@flag_zi])</f>
        <v/>
      </c>
    </row>
    <row r="1703">
      <c r="A1703" t="inlineStr">
        <is>
          <t>F-2025-01702</t>
        </is>
      </c>
      <c r="B1703" s="12" t="n">
        <v>46247</v>
      </c>
      <c r="C1703" t="inlineStr">
        <is>
          <t>SC AROMET TRADING SRL</t>
        </is>
      </c>
      <c r="D1703" t="inlineStr">
        <is>
          <t>Alba</t>
        </is>
      </c>
      <c r="E1703" t="inlineStr">
        <is>
          <t>PRD-001</t>
        </is>
      </c>
      <c r="F1703" t="inlineStr">
        <is>
          <t>Licenta Office 365 anuala</t>
        </is>
      </c>
      <c r="G1703" t="inlineStr">
        <is>
          <t>Licențe software</t>
        </is>
      </c>
      <c r="H1703" t="n">
        <v>3</v>
      </c>
      <c r="I1703" t="n">
        <v>2370.16</v>
      </c>
      <c r="J1703" t="n">
        <v>7110.48</v>
      </c>
      <c r="K1703" s="13" t="n">
        <v>0.19</v>
      </c>
      <c r="L1703" t="n">
        <v>1350.99</v>
      </c>
      <c r="M1703" t="n">
        <v>8461.469999999999</v>
      </c>
      <c r="N1703" t="inlineStr">
        <is>
          <t>RON</t>
        </is>
      </c>
      <c r="O1703" t="inlineStr">
        <is>
          <t>Alba Iulia</t>
        </is>
      </c>
      <c r="P1703" s="12" t="n">
        <v>46307</v>
      </c>
      <c r="Q1703">
        <f>IF(COUNTIF(tbl_Localitati[oras_oficial],[@oras])=0,"ORAS NEALINIAT",IF(XLOOKUP([@oras],tbl_Localitati[oras_oficial],tbl_Localitati[judet],"?")&lt;&gt;[@judet],"JUDET NECORESPUNZATOR",""))</f>
        <v/>
      </c>
      <c r="R1703">
        <f>IF(XLOOKUP([@categorie],tbl_RegulriTVA[categorie],tbl_RegulriTVA[cota_legala],-1)&lt;&gt;[@cota_tva],"TVA GRESIT","")</f>
        <v/>
      </c>
      <c r="S1703">
        <f>IF([@data_scadentei]&lt;[@data_factura],"SCADENTA INAINTEA FACTURII","")</f>
        <v/>
      </c>
      <c r="T1703">
        <f>IF(NETWORKDAYS.INTL([@data_factura],[@data_factura],1,tbl_SarbatoriLegale[data])=0,"ZI NELUCRATOARE","")</f>
        <v/>
      </c>
      <c r="U1703">
        <f>IF([@motiv_anomalie]="","OK","DE INVESTIGAT")</f>
        <v/>
      </c>
      <c r="V1703">
        <f>TEXTJOIN("; ",TRUE,[@flag_oras],[@flag_tva],[@flag_scadenta],[@flag_zi])</f>
        <v/>
      </c>
    </row>
    <row r="1704">
      <c r="A1704" t="inlineStr">
        <is>
          <t>F-2025-01703</t>
        </is>
      </c>
      <c r="B1704" s="12" t="n">
        <v>46141</v>
      </c>
      <c r="C1704" t="inlineStr">
        <is>
          <t>SC AROMET TRADING SRL</t>
        </is>
      </c>
      <c r="D1704" t="inlineStr">
        <is>
          <t>Alba</t>
        </is>
      </c>
      <c r="E1704" t="inlineStr">
        <is>
          <t>PRD-002</t>
        </is>
      </c>
      <c r="F1704" t="inlineStr">
        <is>
          <t>Ghid legislatie GDPR</t>
        </is>
      </c>
      <c r="G1704" t="inlineStr">
        <is>
          <t>Cărți și manuale</t>
        </is>
      </c>
      <c r="H1704" t="n">
        <v>5</v>
      </c>
      <c r="I1704" t="n">
        <v>1057.5</v>
      </c>
      <c r="J1704" t="n">
        <v>5287.5</v>
      </c>
      <c r="K1704" s="13" t="n">
        <v>0.05</v>
      </c>
      <c r="L1704" t="n">
        <v>264.38</v>
      </c>
      <c r="M1704" t="n">
        <v>5551.88</v>
      </c>
      <c r="N1704" t="inlineStr">
        <is>
          <t>RON</t>
        </is>
      </c>
      <c r="O1704" t="inlineStr">
        <is>
          <t>Alba Iulia</t>
        </is>
      </c>
      <c r="P1704" s="12" t="n">
        <v>46171</v>
      </c>
      <c r="Q1704">
        <f>IF(COUNTIF(tbl_Localitati[oras_oficial],[@oras])=0,"ORAS NEALINIAT",IF(XLOOKUP([@oras],tbl_Localitati[oras_oficial],tbl_Localitati[judet],"?")&lt;&gt;[@judet],"JUDET NECORESPUNZATOR",""))</f>
        <v/>
      </c>
      <c r="R1704">
        <f>IF(XLOOKUP([@categorie],tbl_RegulriTVA[categorie],tbl_RegulriTVA[cota_legala],-1)&lt;&gt;[@cota_tva],"TVA GRESIT","")</f>
        <v/>
      </c>
      <c r="S1704">
        <f>IF([@data_scadentei]&lt;[@data_factura],"SCADENTA INAINTEA FACTURII","")</f>
        <v/>
      </c>
      <c r="T1704">
        <f>IF(NETWORKDAYS.INTL([@data_factura],[@data_factura],1,tbl_SarbatoriLegale[data])=0,"ZI NELUCRATOARE","")</f>
        <v/>
      </c>
      <c r="U1704">
        <f>IF([@motiv_anomalie]="","OK","DE INVESTIGAT")</f>
        <v/>
      </c>
      <c r="V1704">
        <f>TEXTJOIN("; ",TRUE,[@flag_oras],[@flag_tva],[@flag_scadenta],[@flag_zi])</f>
        <v/>
      </c>
    </row>
    <row r="1705">
      <c r="A1705" t="inlineStr">
        <is>
          <t>F-2025-01704</t>
        </is>
      </c>
      <c r="B1705" s="12" t="n">
        <v>46329</v>
      </c>
      <c r="C1705" t="inlineStr">
        <is>
          <t>SC FARMAVITAL DISTRIBUTIE SA</t>
        </is>
      </c>
      <c r="D1705" t="inlineStr">
        <is>
          <t>Bihor</t>
        </is>
      </c>
      <c r="E1705" t="inlineStr">
        <is>
          <t>PRD-002</t>
        </is>
      </c>
      <c r="F1705" t="inlineStr">
        <is>
          <t>Apa plata bax</t>
        </is>
      </c>
      <c r="G1705" t="inlineStr">
        <is>
          <t>Alimente</t>
        </is>
      </c>
      <c r="H1705" t="n">
        <v>1</v>
      </c>
      <c r="I1705" t="n">
        <v>1066.44</v>
      </c>
      <c r="J1705" t="n">
        <v>1066.44</v>
      </c>
      <c r="K1705" s="13" t="n">
        <v>0.09</v>
      </c>
      <c r="L1705" t="n">
        <v>95.98</v>
      </c>
      <c r="M1705" t="n">
        <v>1162.42</v>
      </c>
      <c r="N1705" t="inlineStr">
        <is>
          <t>RON</t>
        </is>
      </c>
      <c r="O1705" t="inlineStr">
        <is>
          <t>Oradea</t>
        </is>
      </c>
      <c r="P1705" s="12" t="n">
        <v>46359</v>
      </c>
      <c r="Q1705">
        <f>IF(COUNTIF(tbl_Localitati[oras_oficial],[@oras])=0,"ORAS NEALINIAT",IF(XLOOKUP([@oras],tbl_Localitati[oras_oficial],tbl_Localitati[judet],"?")&lt;&gt;[@judet],"JUDET NECORESPUNZATOR",""))</f>
        <v/>
      </c>
      <c r="R1705">
        <f>IF(XLOOKUP([@categorie],tbl_RegulriTVA[categorie],tbl_RegulriTVA[cota_legala],-1)&lt;&gt;[@cota_tva],"TVA GRESIT","")</f>
        <v/>
      </c>
      <c r="S1705">
        <f>IF([@data_scadentei]&lt;[@data_factura],"SCADENTA INAINTEA FACTURII","")</f>
        <v/>
      </c>
      <c r="T1705">
        <f>IF(NETWORKDAYS.INTL([@data_factura],[@data_factura],1,tbl_SarbatoriLegale[data])=0,"ZI NELUCRATOARE","")</f>
        <v/>
      </c>
      <c r="U1705">
        <f>IF([@motiv_anomalie]="","OK","DE INVESTIGAT")</f>
        <v/>
      </c>
      <c r="V1705">
        <f>TEXTJOIN("; ",TRUE,[@flag_oras],[@flag_tva],[@flag_scadenta],[@flag_zi])</f>
        <v/>
      </c>
    </row>
    <row r="1706">
      <c r="A1706" t="inlineStr">
        <is>
          <t>F-2025-01705</t>
        </is>
      </c>
      <c r="B1706" s="12" t="n">
        <v>46044</v>
      </c>
      <c r="C1706" t="inlineStr">
        <is>
          <t>SC AROMET TRADING SRL</t>
        </is>
      </c>
      <c r="D1706" t="inlineStr">
        <is>
          <t>Alba</t>
        </is>
      </c>
      <c r="E1706" t="inlineStr">
        <is>
          <t>PRD-010</t>
        </is>
      </c>
      <c r="F1706" t="inlineStr">
        <is>
          <t>Tocator documente</t>
        </is>
      </c>
      <c r="G1706" t="inlineStr">
        <is>
          <t>Echipamente birou</t>
        </is>
      </c>
      <c r="H1706" t="n">
        <v>50</v>
      </c>
      <c r="I1706" t="n">
        <v>343.58</v>
      </c>
      <c r="J1706" t="n">
        <v>17179</v>
      </c>
      <c r="K1706" s="13" t="n">
        <v>0.19</v>
      </c>
      <c r="L1706" t="n">
        <v>3264.01</v>
      </c>
      <c r="M1706" t="n">
        <v>20443.01</v>
      </c>
      <c r="N1706" t="inlineStr">
        <is>
          <t>RON</t>
        </is>
      </c>
      <c r="O1706" t="inlineStr">
        <is>
          <t>Alba Iulia</t>
        </is>
      </c>
      <c r="P1706" s="12" t="n">
        <v>46074</v>
      </c>
      <c r="Q1706">
        <f>IF(COUNTIF(tbl_Localitati[oras_oficial],[@oras])=0,"ORAS NEALINIAT",IF(XLOOKUP([@oras],tbl_Localitati[oras_oficial],tbl_Localitati[judet],"?")&lt;&gt;[@judet],"JUDET NECORESPUNZATOR",""))</f>
        <v/>
      </c>
      <c r="R1706">
        <f>IF(XLOOKUP([@categorie],tbl_RegulriTVA[categorie],tbl_RegulriTVA[cota_legala],-1)&lt;&gt;[@cota_tva],"TVA GRESIT","")</f>
        <v/>
      </c>
      <c r="S1706">
        <f>IF([@data_scadentei]&lt;[@data_factura],"SCADENTA INAINTEA FACTURII","")</f>
        <v/>
      </c>
      <c r="T1706">
        <f>IF(NETWORKDAYS.INTL([@data_factura],[@data_factura],1,tbl_SarbatoriLegale[data])=0,"ZI NELUCRATOARE","")</f>
        <v/>
      </c>
      <c r="U1706">
        <f>IF([@motiv_anomalie]="","OK","DE INVESTIGAT")</f>
        <v/>
      </c>
      <c r="V1706">
        <f>TEXTJOIN("; ",TRUE,[@flag_oras],[@flag_tva],[@flag_scadenta],[@flag_zi])</f>
        <v/>
      </c>
    </row>
    <row r="1707">
      <c r="A1707" t="inlineStr">
        <is>
          <t>F-2025-01706</t>
        </is>
      </c>
      <c r="B1707" s="12" t="n">
        <v>46167</v>
      </c>
      <c r="C1707" t="inlineStr">
        <is>
          <t>SC AROMET TRADING SRL</t>
        </is>
      </c>
      <c r="D1707" t="inlineStr">
        <is>
          <t>Alba</t>
        </is>
      </c>
      <c r="E1707" t="inlineStr">
        <is>
          <t>PRD-010</t>
        </is>
      </c>
      <c r="F1707" t="inlineStr">
        <is>
          <t>Trusa prim ajutor</t>
        </is>
      </c>
      <c r="G1707" t="inlineStr">
        <is>
          <t>Produse farmaceutice</t>
        </is>
      </c>
      <c r="H1707" t="n">
        <v>50</v>
      </c>
      <c r="I1707" t="n">
        <v>332.93</v>
      </c>
      <c r="J1707" t="n">
        <v>16646.5</v>
      </c>
      <c r="K1707" s="13" t="n">
        <v>0.09</v>
      </c>
      <c r="L1707" t="n">
        <v>1498.18</v>
      </c>
      <c r="M1707" t="n">
        <v>18144.68</v>
      </c>
      <c r="N1707" t="inlineStr">
        <is>
          <t>RON</t>
        </is>
      </c>
      <c r="O1707" t="inlineStr">
        <is>
          <t>Alba Iulia</t>
        </is>
      </c>
      <c r="P1707" s="12" t="n">
        <v>46197</v>
      </c>
      <c r="Q1707">
        <f>IF(COUNTIF(tbl_Localitati[oras_oficial],[@oras])=0,"ORAS NEALINIAT",IF(XLOOKUP([@oras],tbl_Localitati[oras_oficial],tbl_Localitati[judet],"?")&lt;&gt;[@judet],"JUDET NECORESPUNZATOR",""))</f>
        <v/>
      </c>
      <c r="R1707">
        <f>IF(XLOOKUP([@categorie],tbl_RegulriTVA[categorie],tbl_RegulriTVA[cota_legala],-1)&lt;&gt;[@cota_tva],"TVA GRESIT","")</f>
        <v/>
      </c>
      <c r="S1707">
        <f>IF([@data_scadentei]&lt;[@data_factura],"SCADENTA INAINTEA FACTURII","")</f>
        <v/>
      </c>
      <c r="T1707">
        <f>IF(NETWORKDAYS.INTL([@data_factura],[@data_factura],1,tbl_SarbatoriLegale[data])=0,"ZI NELUCRATOARE","")</f>
        <v/>
      </c>
      <c r="U1707">
        <f>IF([@motiv_anomalie]="","OK","DE INVESTIGAT")</f>
        <v/>
      </c>
      <c r="V1707">
        <f>TEXTJOIN("; ",TRUE,[@flag_oras],[@flag_tva],[@flag_scadenta],[@flag_zi])</f>
        <v/>
      </c>
    </row>
    <row r="1708">
      <c r="A1708" t="inlineStr">
        <is>
          <t>F-2025-01707</t>
        </is>
      </c>
      <c r="B1708" s="12" t="n">
        <v>46300</v>
      </c>
      <c r="C1708" t="inlineStr">
        <is>
          <t>SC ELECTROBUILD SRL</t>
        </is>
      </c>
      <c r="D1708" t="inlineStr">
        <is>
          <t>Bacău</t>
        </is>
      </c>
      <c r="E1708" t="inlineStr">
        <is>
          <t>PRD-001</t>
        </is>
      </c>
      <c r="F1708" t="inlineStr">
        <is>
          <t>Statie de lucru desktop</t>
        </is>
      </c>
      <c r="G1708" t="inlineStr">
        <is>
          <t>Hardware IT</t>
        </is>
      </c>
      <c r="H1708" t="n">
        <v>1</v>
      </c>
      <c r="I1708" t="n">
        <v>2442.45</v>
      </c>
      <c r="J1708" t="n">
        <v>2442.45</v>
      </c>
      <c r="K1708" s="13" t="n">
        <v>0.19</v>
      </c>
      <c r="L1708" t="n">
        <v>464.07</v>
      </c>
      <c r="M1708" t="n">
        <v>2906.52</v>
      </c>
      <c r="N1708" t="inlineStr">
        <is>
          <t>USD</t>
        </is>
      </c>
      <c r="O1708" t="inlineStr">
        <is>
          <t>Bacău</t>
        </is>
      </c>
      <c r="P1708" s="12" t="n">
        <v>46315</v>
      </c>
      <c r="Q1708">
        <f>IF(COUNTIF(tbl_Localitati[oras_oficial],[@oras])=0,"ORAS NEALINIAT",IF(XLOOKUP([@oras],tbl_Localitati[oras_oficial],tbl_Localitati[judet],"?")&lt;&gt;[@judet],"JUDET NECORESPUNZATOR",""))</f>
        <v/>
      </c>
      <c r="R1708">
        <f>IF(XLOOKUP([@categorie],tbl_RegulriTVA[categorie],tbl_RegulriTVA[cota_legala],-1)&lt;&gt;[@cota_tva],"TVA GRESIT","")</f>
        <v/>
      </c>
      <c r="S1708">
        <f>IF([@data_scadentei]&lt;[@data_factura],"SCADENTA INAINTEA FACTURII","")</f>
        <v/>
      </c>
      <c r="T1708">
        <f>IF(NETWORKDAYS.INTL([@data_factura],[@data_factura],1,tbl_SarbatoriLegale[data])=0,"ZI NELUCRATOARE","")</f>
        <v/>
      </c>
      <c r="U1708">
        <f>IF([@motiv_anomalie]="","OK","DE INVESTIGAT")</f>
        <v/>
      </c>
      <c r="V1708">
        <f>TEXTJOIN("; ",TRUE,[@flag_oras],[@flag_tva],[@flag_scadenta],[@flag_zi])</f>
        <v/>
      </c>
    </row>
    <row r="1709">
      <c r="A1709" t="inlineStr">
        <is>
          <t>F-2025-01708</t>
        </is>
      </c>
      <c r="B1709" s="12" t="n">
        <v>46370</v>
      </c>
      <c r="C1709" t="inlineStr">
        <is>
          <t>SC ELECTROBUILD SRL</t>
        </is>
      </c>
      <c r="D1709" t="inlineStr">
        <is>
          <t>Bacău</t>
        </is>
      </c>
      <c r="E1709" t="inlineStr">
        <is>
          <t>PRD-003</t>
        </is>
      </c>
      <c r="F1709" t="inlineStr">
        <is>
          <t>Pachet protocol sedinte</t>
        </is>
      </c>
      <c r="G1709" t="inlineStr">
        <is>
          <t>Alimente</t>
        </is>
      </c>
      <c r="H1709" t="n">
        <v>1</v>
      </c>
      <c r="I1709" t="n">
        <v>4398.41</v>
      </c>
      <c r="J1709" t="n">
        <v>4398.41</v>
      </c>
      <c r="K1709" s="13" t="n">
        <v>0.09</v>
      </c>
      <c r="L1709" t="n">
        <v>395.86</v>
      </c>
      <c r="M1709" t="n">
        <v>4794.27</v>
      </c>
      <c r="N1709" t="inlineStr">
        <is>
          <t>RON</t>
        </is>
      </c>
      <c r="O1709" t="inlineStr">
        <is>
          <t>Bacău</t>
        </is>
      </c>
      <c r="P1709" s="12" t="n">
        <v>46400</v>
      </c>
      <c r="Q1709">
        <f>IF(COUNTIF(tbl_Localitati[oras_oficial],[@oras])=0,"ORAS NEALINIAT",IF(XLOOKUP([@oras],tbl_Localitati[oras_oficial],tbl_Localitati[judet],"?")&lt;&gt;[@judet],"JUDET NECORESPUNZATOR",""))</f>
        <v/>
      </c>
      <c r="R1709">
        <f>IF(XLOOKUP([@categorie],tbl_RegulriTVA[categorie],tbl_RegulriTVA[cota_legala],-1)&lt;&gt;[@cota_tva],"TVA GRESIT","")</f>
        <v/>
      </c>
      <c r="S1709">
        <f>IF([@data_scadentei]&lt;[@data_factura],"SCADENTA INAINTEA FACTURII","")</f>
        <v/>
      </c>
      <c r="T1709">
        <f>IF(NETWORKDAYS.INTL([@data_factura],[@data_factura],1,tbl_SarbatoriLegale[data])=0,"ZI NELUCRATOARE","")</f>
        <v/>
      </c>
      <c r="U1709">
        <f>IF([@motiv_anomalie]="","OK","DE INVESTIGAT")</f>
        <v/>
      </c>
      <c r="V1709">
        <f>TEXTJOIN("; ",TRUE,[@flag_oras],[@flag_tva],[@flag_scadenta],[@flag_zi])</f>
        <v/>
      </c>
    </row>
    <row r="1710">
      <c r="A1710" t="inlineStr">
        <is>
          <t>F-2025-01709</t>
        </is>
      </c>
      <c r="B1710" s="12" t="n">
        <v>46155</v>
      </c>
      <c r="C1710" t="inlineStr">
        <is>
          <t>SC NORDIS DISTRIBUTIE SRL</t>
        </is>
      </c>
      <c r="D1710" t="inlineStr">
        <is>
          <t>Constanța</t>
        </is>
      </c>
      <c r="E1710" t="inlineStr">
        <is>
          <t>PRD-005</t>
        </is>
      </c>
      <c r="F1710" t="inlineStr">
        <is>
          <t>Laptop business 15"</t>
        </is>
      </c>
      <c r="G1710" t="inlineStr">
        <is>
          <t>Hardware IT</t>
        </is>
      </c>
      <c r="H1710" t="n">
        <v>3</v>
      </c>
      <c r="I1710" t="n">
        <v>258.36</v>
      </c>
      <c r="J1710" t="n">
        <v>775.08</v>
      </c>
      <c r="K1710" s="13" t="n">
        <v>0.19</v>
      </c>
      <c r="L1710" t="n">
        <v>147.27</v>
      </c>
      <c r="M1710" t="n">
        <v>922.35</v>
      </c>
      <c r="N1710" t="inlineStr">
        <is>
          <t>RON</t>
        </is>
      </c>
      <c r="O1710" t="inlineStr">
        <is>
          <t>Mangalia</t>
        </is>
      </c>
      <c r="P1710" s="12" t="n">
        <v>46215</v>
      </c>
      <c r="Q1710">
        <f>IF(COUNTIF(tbl_Localitati[oras_oficial],[@oras])=0,"ORAS NEALINIAT",IF(XLOOKUP([@oras],tbl_Localitati[oras_oficial],tbl_Localitati[judet],"?")&lt;&gt;[@judet],"JUDET NECORESPUNZATOR",""))</f>
        <v/>
      </c>
      <c r="R1710">
        <f>IF(XLOOKUP([@categorie],tbl_RegulriTVA[categorie],tbl_RegulriTVA[cota_legala],-1)&lt;&gt;[@cota_tva],"TVA GRESIT","")</f>
        <v/>
      </c>
      <c r="S1710">
        <f>IF([@data_scadentei]&lt;[@data_factura],"SCADENTA INAINTEA FACTURII","")</f>
        <v/>
      </c>
      <c r="T1710">
        <f>IF(NETWORKDAYS.INTL([@data_factura],[@data_factura],1,tbl_SarbatoriLegale[data])=0,"ZI NELUCRATOARE","")</f>
        <v/>
      </c>
      <c r="U1710">
        <f>IF([@motiv_anomalie]="","OK","DE INVESTIGAT")</f>
        <v/>
      </c>
      <c r="V1710">
        <f>TEXTJOIN("; ",TRUE,[@flag_oras],[@flag_tva],[@flag_scadenta],[@flag_zi])</f>
        <v/>
      </c>
    </row>
    <row r="1711">
      <c r="A1711" t="inlineStr">
        <is>
          <t>F-2025-01710</t>
        </is>
      </c>
      <c r="B1711" s="12" t="n">
        <v>46196</v>
      </c>
      <c r="C1711" t="inlineStr">
        <is>
          <t>SC INTEGROMED SA</t>
        </is>
      </c>
      <c r="D1711" t="inlineStr">
        <is>
          <t>Cluj</t>
        </is>
      </c>
      <c r="E1711" t="inlineStr">
        <is>
          <t>PRD-008</t>
        </is>
      </c>
      <c r="F1711" t="inlineStr">
        <is>
          <t>Licenta Office 365 anuala</t>
        </is>
      </c>
      <c r="G1711" t="inlineStr">
        <is>
          <t>Licențe software</t>
        </is>
      </c>
      <c r="H1711" t="n">
        <v>1</v>
      </c>
      <c r="I1711" t="n">
        <v>442.67</v>
      </c>
      <c r="J1711" t="n">
        <v>442.67</v>
      </c>
      <c r="K1711" s="13" t="n">
        <v>0.19</v>
      </c>
      <c r="L1711" t="n">
        <v>84.11</v>
      </c>
      <c r="M1711" t="n">
        <v>526.78</v>
      </c>
      <c r="N1711" t="inlineStr">
        <is>
          <t>RON</t>
        </is>
      </c>
      <c r="O1711" t="inlineStr">
        <is>
          <t>Cluj-Napoca</t>
        </is>
      </c>
      <c r="P1711" s="12" t="n">
        <v>46226</v>
      </c>
      <c r="Q1711">
        <f>IF(COUNTIF(tbl_Localitati[oras_oficial],[@oras])=0,"ORAS NEALINIAT",IF(XLOOKUP([@oras],tbl_Localitati[oras_oficial],tbl_Localitati[judet],"?")&lt;&gt;[@judet],"JUDET NECORESPUNZATOR",""))</f>
        <v/>
      </c>
      <c r="R1711">
        <f>IF(XLOOKUP([@categorie],tbl_RegulriTVA[categorie],tbl_RegulriTVA[cota_legala],-1)&lt;&gt;[@cota_tva],"TVA GRESIT","")</f>
        <v/>
      </c>
      <c r="S1711">
        <f>IF([@data_scadentei]&lt;[@data_factura],"SCADENTA INAINTEA FACTURII","")</f>
        <v/>
      </c>
      <c r="T1711">
        <f>IF(NETWORKDAYS.INTL([@data_factura],[@data_factura],1,tbl_SarbatoriLegale[data])=0,"ZI NELUCRATOARE","")</f>
        <v/>
      </c>
      <c r="U1711">
        <f>IF([@motiv_anomalie]="","OK","DE INVESTIGAT")</f>
        <v/>
      </c>
      <c r="V1711">
        <f>TEXTJOIN("; ",TRUE,[@flag_oras],[@flag_tva],[@flag_scadenta],[@flag_zi])</f>
        <v/>
      </c>
    </row>
    <row r="1712">
      <c r="A1712" t="inlineStr">
        <is>
          <t>F-2025-01711</t>
        </is>
      </c>
      <c r="B1712" s="12" t="n">
        <v>46104</v>
      </c>
      <c r="C1712" t="inlineStr">
        <is>
          <t>SC OMEGA SOFT SRL</t>
        </is>
      </c>
      <c r="D1712" t="inlineStr">
        <is>
          <t>Dolj</t>
        </is>
      </c>
      <c r="E1712" t="inlineStr">
        <is>
          <t>PRD-001</t>
        </is>
      </c>
      <c r="F1712" t="inlineStr">
        <is>
          <t>Licenta antivirus enterprise</t>
        </is>
      </c>
      <c r="G1712" t="inlineStr">
        <is>
          <t>Licențe software</t>
        </is>
      </c>
      <c r="H1712" t="n">
        <v>2</v>
      </c>
      <c r="I1712" t="n">
        <v>2329.84</v>
      </c>
      <c r="J1712" t="n">
        <v>4659.68</v>
      </c>
      <c r="K1712" s="13" t="n">
        <v>0.19</v>
      </c>
      <c r="L1712" t="n">
        <v>885.34</v>
      </c>
      <c r="M1712" t="n">
        <v>5545.02</v>
      </c>
      <c r="N1712" t="inlineStr">
        <is>
          <t>RON</t>
        </is>
      </c>
      <c r="O1712" t="inlineStr">
        <is>
          <t>Craiova</t>
        </is>
      </c>
      <c r="P1712" s="12" t="n">
        <v>46164</v>
      </c>
      <c r="Q1712">
        <f>IF(COUNTIF(tbl_Localitati[oras_oficial],[@oras])=0,"ORAS NEALINIAT",IF(XLOOKUP([@oras],tbl_Localitati[oras_oficial],tbl_Localitati[judet],"?")&lt;&gt;[@judet],"JUDET NECORESPUNZATOR",""))</f>
        <v/>
      </c>
      <c r="R1712">
        <f>IF(XLOOKUP([@categorie],tbl_RegulriTVA[categorie],tbl_RegulriTVA[cota_legala],-1)&lt;&gt;[@cota_tva],"TVA GRESIT","")</f>
        <v/>
      </c>
      <c r="S1712">
        <f>IF([@data_scadentei]&lt;[@data_factura],"SCADENTA INAINTEA FACTURII","")</f>
        <v/>
      </c>
      <c r="T1712">
        <f>IF(NETWORKDAYS.INTL([@data_factura],[@data_factura],1,tbl_SarbatoriLegale[data])=0,"ZI NELUCRATOARE","")</f>
        <v/>
      </c>
      <c r="U1712">
        <f>IF([@motiv_anomalie]="","OK","DE INVESTIGAT")</f>
        <v/>
      </c>
      <c r="V1712">
        <f>TEXTJOIN("; ",TRUE,[@flag_oras],[@flag_tva],[@flag_scadenta],[@flag_zi])</f>
        <v/>
      </c>
    </row>
    <row r="1713">
      <c r="A1713" t="inlineStr">
        <is>
          <t>F-2025-01712</t>
        </is>
      </c>
      <c r="B1713" s="12" t="n">
        <v>46230</v>
      </c>
      <c r="C1713" t="inlineStr">
        <is>
          <t>SC DACTECH SOLUTIONS SRL</t>
        </is>
      </c>
      <c r="D1713" t="inlineStr">
        <is>
          <t>Argeș</t>
        </is>
      </c>
      <c r="E1713" t="inlineStr">
        <is>
          <t>PRD-006</t>
        </is>
      </c>
      <c r="F1713" t="inlineStr">
        <is>
          <t>Monitor 27" 4K</t>
        </is>
      </c>
      <c r="G1713" t="inlineStr">
        <is>
          <t>Hardware IT</t>
        </is>
      </c>
      <c r="H1713" t="n">
        <v>1</v>
      </c>
      <c r="I1713" t="n">
        <v>728.87</v>
      </c>
      <c r="J1713" t="n">
        <v>728.87</v>
      </c>
      <c r="K1713" s="13" t="n">
        <v>0.19</v>
      </c>
      <c r="L1713" t="n">
        <v>138.49</v>
      </c>
      <c r="M1713" t="n">
        <v>867.36</v>
      </c>
      <c r="N1713" t="inlineStr">
        <is>
          <t>RON</t>
        </is>
      </c>
      <c r="O1713" t="inlineStr">
        <is>
          <t>Pitești</t>
        </is>
      </c>
      <c r="P1713" s="12" t="n">
        <v>46275</v>
      </c>
      <c r="Q1713">
        <f>IF(COUNTIF(tbl_Localitati[oras_oficial],[@oras])=0,"ORAS NEALINIAT",IF(XLOOKUP([@oras],tbl_Localitati[oras_oficial],tbl_Localitati[judet],"?")&lt;&gt;[@judet],"JUDET NECORESPUNZATOR",""))</f>
        <v/>
      </c>
      <c r="R1713">
        <f>IF(XLOOKUP([@categorie],tbl_RegulriTVA[categorie],tbl_RegulriTVA[cota_legala],-1)&lt;&gt;[@cota_tva],"TVA GRESIT","")</f>
        <v/>
      </c>
      <c r="S1713">
        <f>IF([@data_scadentei]&lt;[@data_factura],"SCADENTA INAINTEA FACTURII","")</f>
        <v/>
      </c>
      <c r="T1713">
        <f>IF(NETWORKDAYS.INTL([@data_factura],[@data_factura],1,tbl_SarbatoriLegale[data])=0,"ZI NELUCRATOARE","")</f>
        <v/>
      </c>
      <c r="U1713">
        <f>IF([@motiv_anomalie]="","OK","DE INVESTIGAT")</f>
        <v/>
      </c>
      <c r="V1713">
        <f>TEXTJOIN("; ",TRUE,[@flag_oras],[@flag_tva],[@flag_scadenta],[@flag_zi])</f>
        <v/>
      </c>
    </row>
    <row r="1714">
      <c r="A1714" t="inlineStr">
        <is>
          <t>F-2025-01713</t>
        </is>
      </c>
      <c r="B1714" s="12" t="n">
        <v>46206</v>
      </c>
      <c r="C1714" t="inlineStr">
        <is>
          <t>SC DACTECH SOLUTIONS SRL</t>
        </is>
      </c>
      <c r="D1714" t="inlineStr">
        <is>
          <t>Argeș</t>
        </is>
      </c>
      <c r="E1714" t="inlineStr">
        <is>
          <t>PRD-003</t>
        </is>
      </c>
      <c r="F1714" t="inlineStr">
        <is>
          <t>Audit infrastructura</t>
        </is>
      </c>
      <c r="G1714" t="inlineStr">
        <is>
          <t>Servicii consultanță</t>
        </is>
      </c>
      <c r="H1714" t="n">
        <v>1</v>
      </c>
      <c r="I1714" t="n">
        <v>4205.9</v>
      </c>
      <c r="J1714" t="n">
        <v>4205.9</v>
      </c>
      <c r="K1714" s="13" t="n">
        <v>0.19</v>
      </c>
      <c r="L1714" t="n">
        <v>799.12</v>
      </c>
      <c r="M1714" t="n">
        <v>5005.02</v>
      </c>
      <c r="N1714" t="inlineStr">
        <is>
          <t>RON</t>
        </is>
      </c>
      <c r="O1714" t="inlineStr">
        <is>
          <t>Pitești</t>
        </is>
      </c>
      <c r="P1714" s="12" t="n">
        <v>46251</v>
      </c>
      <c r="Q1714">
        <f>IF(COUNTIF(tbl_Localitati[oras_oficial],[@oras])=0,"ORAS NEALINIAT",IF(XLOOKUP([@oras],tbl_Localitati[oras_oficial],tbl_Localitati[judet],"?")&lt;&gt;[@judet],"JUDET NECORESPUNZATOR",""))</f>
        <v/>
      </c>
      <c r="R1714">
        <f>IF(XLOOKUP([@categorie],tbl_RegulriTVA[categorie],tbl_RegulriTVA[cota_legala],-1)&lt;&gt;[@cota_tva],"TVA GRESIT","")</f>
        <v/>
      </c>
      <c r="S1714">
        <f>IF([@data_scadentei]&lt;[@data_factura],"SCADENTA INAINTEA FACTURII","")</f>
        <v/>
      </c>
      <c r="T1714">
        <f>IF(NETWORKDAYS.INTL([@data_factura],[@data_factura],1,tbl_SarbatoriLegale[data])=0,"ZI NELUCRATOARE","")</f>
        <v/>
      </c>
      <c r="U1714">
        <f>IF([@motiv_anomalie]="","OK","DE INVESTIGAT")</f>
        <v/>
      </c>
      <c r="V1714">
        <f>TEXTJOIN("; ",TRUE,[@flag_oras],[@flag_tva],[@flag_scadenta],[@flag_zi])</f>
        <v/>
      </c>
    </row>
    <row r="1715">
      <c r="A1715" t="inlineStr">
        <is>
          <t>F-2025-01714</t>
        </is>
      </c>
      <c r="B1715" s="12" t="n">
        <v>46283</v>
      </c>
      <c r="C1715" t="inlineStr">
        <is>
          <t>SC AROMET TRADING SRL</t>
        </is>
      </c>
      <c r="D1715" t="inlineStr">
        <is>
          <t>Alba</t>
        </is>
      </c>
      <c r="E1715" t="inlineStr">
        <is>
          <t>PRD-007</t>
        </is>
      </c>
      <c r="F1715" t="inlineStr">
        <is>
          <t>Trusa prim ajutor</t>
        </is>
      </c>
      <c r="G1715" t="inlineStr">
        <is>
          <t>Produse farmaceutice</t>
        </is>
      </c>
      <c r="H1715" t="n">
        <v>1</v>
      </c>
      <c r="I1715" t="n">
        <v>187.84</v>
      </c>
      <c r="J1715" t="n">
        <v>187.84</v>
      </c>
      <c r="K1715" s="13" t="n">
        <v>0.09</v>
      </c>
      <c r="L1715" t="n">
        <v>16.91</v>
      </c>
      <c r="M1715" t="n">
        <v>204.75</v>
      </c>
      <c r="N1715" t="inlineStr">
        <is>
          <t>RON</t>
        </is>
      </c>
      <c r="O1715" t="inlineStr">
        <is>
          <t>Alba Iulia</t>
        </is>
      </c>
      <c r="P1715" s="12" t="n">
        <v>46343</v>
      </c>
      <c r="Q1715">
        <f>IF(COUNTIF(tbl_Localitati[oras_oficial],[@oras])=0,"ORAS NEALINIAT",IF(XLOOKUP([@oras],tbl_Localitati[oras_oficial],tbl_Localitati[judet],"?")&lt;&gt;[@judet],"JUDET NECORESPUNZATOR",""))</f>
        <v/>
      </c>
      <c r="R1715">
        <f>IF(XLOOKUP([@categorie],tbl_RegulriTVA[categorie],tbl_RegulriTVA[cota_legala],-1)&lt;&gt;[@cota_tva],"TVA GRESIT","")</f>
        <v/>
      </c>
      <c r="S1715">
        <f>IF([@data_scadentei]&lt;[@data_factura],"SCADENTA INAINTEA FACTURII","")</f>
        <v/>
      </c>
      <c r="T1715">
        <f>IF(NETWORKDAYS.INTL([@data_factura],[@data_factura],1,tbl_SarbatoriLegale[data])=0,"ZI NELUCRATOARE","")</f>
        <v/>
      </c>
      <c r="U1715">
        <f>IF([@motiv_anomalie]="","OK","DE INVESTIGAT")</f>
        <v/>
      </c>
      <c r="V1715">
        <f>TEXTJOIN("; ",TRUE,[@flag_oras],[@flag_tva],[@flag_scadenta],[@flag_zi])</f>
        <v/>
      </c>
    </row>
    <row r="1716">
      <c r="A1716" t="inlineStr">
        <is>
          <t>F-2025-01715</t>
        </is>
      </c>
      <c r="B1716" s="12" t="n">
        <v>46244</v>
      </c>
      <c r="C1716" t="inlineStr">
        <is>
          <t>SC METALPLAST INVEST SA</t>
        </is>
      </c>
      <c r="D1716" t="inlineStr">
        <is>
          <t>Cluj</t>
        </is>
      </c>
      <c r="E1716" t="inlineStr">
        <is>
          <t>PRD-002</t>
        </is>
      </c>
      <c r="F1716" t="inlineStr">
        <is>
          <t>Multifunctionala laser</t>
        </is>
      </c>
      <c r="G1716" t="inlineStr">
        <is>
          <t>Echipamente birou</t>
        </is>
      </c>
      <c r="H1716" t="n">
        <v>2</v>
      </c>
      <c r="I1716" t="n">
        <v>1049.37</v>
      </c>
      <c r="J1716" t="n">
        <v>2098.74</v>
      </c>
      <c r="K1716" s="13" t="n">
        <v>0.19</v>
      </c>
      <c r="L1716" t="n">
        <v>398.76</v>
      </c>
      <c r="M1716" t="n">
        <v>2497.5</v>
      </c>
      <c r="N1716" t="inlineStr">
        <is>
          <t>RON</t>
        </is>
      </c>
      <c r="O1716" t="inlineStr">
        <is>
          <t>Turda</t>
        </is>
      </c>
      <c r="P1716" s="12" t="n">
        <v>46304</v>
      </c>
      <c r="Q1716">
        <f>IF(COUNTIF(tbl_Localitati[oras_oficial],[@oras])=0,"ORAS NEALINIAT",IF(XLOOKUP([@oras],tbl_Localitati[oras_oficial],tbl_Localitati[judet],"?")&lt;&gt;[@judet],"JUDET NECORESPUNZATOR",""))</f>
        <v/>
      </c>
      <c r="R1716">
        <f>IF(XLOOKUP([@categorie],tbl_RegulriTVA[categorie],tbl_RegulriTVA[cota_legala],-1)&lt;&gt;[@cota_tva],"TVA GRESIT","")</f>
        <v/>
      </c>
      <c r="S1716">
        <f>IF([@data_scadentei]&lt;[@data_factura],"SCADENTA INAINTEA FACTURII","")</f>
        <v/>
      </c>
      <c r="T1716">
        <f>IF(NETWORKDAYS.INTL([@data_factura],[@data_factura],1,tbl_SarbatoriLegale[data])=0,"ZI NELUCRATOARE","")</f>
        <v/>
      </c>
      <c r="U1716">
        <f>IF([@motiv_anomalie]="","OK","DE INVESTIGAT")</f>
        <v/>
      </c>
      <c r="V1716">
        <f>TEXTJOIN("; ",TRUE,[@flag_oras],[@flag_tva],[@flag_scadenta],[@flag_zi])</f>
        <v/>
      </c>
    </row>
    <row r="1717">
      <c r="A1717" t="inlineStr">
        <is>
          <t>F-2025-01716</t>
        </is>
      </c>
      <c r="B1717" s="12" t="n">
        <v>46090</v>
      </c>
      <c r="C1717" t="inlineStr">
        <is>
          <t>SC UNIFOOD DISTRIBUTION SA</t>
        </is>
      </c>
      <c r="D1717" t="inlineStr">
        <is>
          <t>Sibiu</t>
        </is>
      </c>
      <c r="E1717" t="inlineStr">
        <is>
          <t>PRD-001</t>
        </is>
      </c>
      <c r="F1717" t="inlineStr">
        <is>
          <t>Licenta ERP contabilitate</t>
        </is>
      </c>
      <c r="G1717" t="inlineStr">
        <is>
          <t>Licențe software</t>
        </is>
      </c>
      <c r="H1717" t="n">
        <v>2</v>
      </c>
      <c r="I1717" t="n">
        <v>2281.91</v>
      </c>
      <c r="J1717" t="n">
        <v>4563.82</v>
      </c>
      <c r="K1717" s="13" t="n">
        <v>0.19</v>
      </c>
      <c r="L1717" t="n">
        <v>867.13</v>
      </c>
      <c r="M1717" t="n">
        <v>5430.95</v>
      </c>
      <c r="N1717" t="inlineStr">
        <is>
          <t>RON</t>
        </is>
      </c>
      <c r="O1717" t="inlineStr">
        <is>
          <t>Mediaș</t>
        </is>
      </c>
      <c r="P1717" s="12" t="n">
        <v>46105</v>
      </c>
      <c r="Q1717">
        <f>IF(COUNTIF(tbl_Localitati[oras_oficial],[@oras])=0,"ORAS NEALINIAT",IF(XLOOKUP([@oras],tbl_Localitati[oras_oficial],tbl_Localitati[judet],"?")&lt;&gt;[@judet],"JUDET NECORESPUNZATOR",""))</f>
        <v/>
      </c>
      <c r="R1717">
        <f>IF(XLOOKUP([@categorie],tbl_RegulriTVA[categorie],tbl_RegulriTVA[cota_legala],-1)&lt;&gt;[@cota_tva],"TVA GRESIT","")</f>
        <v/>
      </c>
      <c r="S1717">
        <f>IF([@data_scadentei]&lt;[@data_factura],"SCADENTA INAINTEA FACTURII","")</f>
        <v/>
      </c>
      <c r="T1717">
        <f>IF(NETWORKDAYS.INTL([@data_factura],[@data_factura],1,tbl_SarbatoriLegale[data])=0,"ZI NELUCRATOARE","")</f>
        <v/>
      </c>
      <c r="U1717">
        <f>IF([@motiv_anomalie]="","OK","DE INVESTIGAT")</f>
        <v/>
      </c>
      <c r="V1717">
        <f>TEXTJOIN("; ",TRUE,[@flag_oras],[@flag_tva],[@flag_scadenta],[@flag_zi])</f>
        <v/>
      </c>
    </row>
    <row r="1718">
      <c r="A1718" t="inlineStr">
        <is>
          <t>F-2025-01717</t>
        </is>
      </c>
      <c r="B1718" s="12" t="n">
        <v>46317</v>
      </c>
      <c r="C1718" t="inlineStr">
        <is>
          <t>SC NORDIS DISTRIBUTIE SRL</t>
        </is>
      </c>
      <c r="D1718" t="inlineStr">
        <is>
          <t>Constanța</t>
        </is>
      </c>
      <c r="E1718" t="inlineStr">
        <is>
          <t>PRD-003</t>
        </is>
      </c>
      <c r="F1718" t="inlineStr">
        <is>
          <t>Switch gigabit 24p</t>
        </is>
      </c>
      <c r="G1718" t="inlineStr">
        <is>
          <t>Hardware IT</t>
        </is>
      </c>
      <c r="H1718" t="n">
        <v>5</v>
      </c>
      <c r="I1718" t="n">
        <v>4152.78</v>
      </c>
      <c r="J1718" t="n">
        <v>20763.9</v>
      </c>
      <c r="K1718" s="13" t="n">
        <v>0.19</v>
      </c>
      <c r="L1718" t="n">
        <v>3945.14</v>
      </c>
      <c r="M1718" t="n">
        <v>24709.04</v>
      </c>
      <c r="N1718" t="inlineStr">
        <is>
          <t>RON</t>
        </is>
      </c>
      <c r="O1718" t="inlineStr">
        <is>
          <t>Mangalia</t>
        </is>
      </c>
      <c r="P1718" s="12" t="n">
        <v>46377</v>
      </c>
      <c r="Q1718">
        <f>IF(COUNTIF(tbl_Localitati[oras_oficial],[@oras])=0,"ORAS NEALINIAT",IF(XLOOKUP([@oras],tbl_Localitati[oras_oficial],tbl_Localitati[judet],"?")&lt;&gt;[@judet],"JUDET NECORESPUNZATOR",""))</f>
        <v/>
      </c>
      <c r="R1718">
        <f>IF(XLOOKUP([@categorie],tbl_RegulriTVA[categorie],tbl_RegulriTVA[cota_legala],-1)&lt;&gt;[@cota_tva],"TVA GRESIT","")</f>
        <v/>
      </c>
      <c r="S1718">
        <f>IF([@data_scadentei]&lt;[@data_factura],"SCADENTA INAINTEA FACTURII","")</f>
        <v/>
      </c>
      <c r="T1718">
        <f>IF(NETWORKDAYS.INTL([@data_factura],[@data_factura],1,tbl_SarbatoriLegale[data])=0,"ZI NELUCRATOARE","")</f>
        <v/>
      </c>
      <c r="U1718">
        <f>IF([@motiv_anomalie]="","OK","DE INVESTIGAT")</f>
        <v/>
      </c>
      <c r="V1718">
        <f>TEXTJOIN("; ",TRUE,[@flag_oras],[@flag_tva],[@flag_scadenta],[@flag_zi])</f>
        <v/>
      </c>
    </row>
    <row r="1719">
      <c r="A1719" t="inlineStr">
        <is>
          <t>F-2025-01718</t>
        </is>
      </c>
      <c r="B1719" s="12" t="n">
        <v>46048</v>
      </c>
      <c r="C1719" t="inlineStr">
        <is>
          <t>SC OMEGA SOFT SRL</t>
        </is>
      </c>
      <c r="D1719" t="inlineStr">
        <is>
          <t>Dolj</t>
        </is>
      </c>
      <c r="E1719" t="inlineStr">
        <is>
          <t>PRD-011</t>
        </is>
      </c>
      <c r="F1719" t="inlineStr">
        <is>
          <t>Licenta Office 365 anuala</t>
        </is>
      </c>
      <c r="G1719" t="inlineStr">
        <is>
          <t>Licențe software</t>
        </is>
      </c>
      <c r="H1719" t="n">
        <v>10</v>
      </c>
      <c r="I1719" t="n">
        <v>42.76</v>
      </c>
      <c r="J1719" t="n">
        <v>427.6</v>
      </c>
      <c r="K1719" s="13" t="n">
        <v>0.19</v>
      </c>
      <c r="L1719" t="n">
        <v>81.23999999999999</v>
      </c>
      <c r="M1719" t="n">
        <v>508.84</v>
      </c>
      <c r="N1719" t="inlineStr">
        <is>
          <t>RON</t>
        </is>
      </c>
      <c r="O1719" t="inlineStr">
        <is>
          <t>Craiova</t>
        </is>
      </c>
      <c r="P1719" s="12" t="n">
        <v>46078</v>
      </c>
      <c r="Q1719">
        <f>IF(COUNTIF(tbl_Localitati[oras_oficial],[@oras])=0,"ORAS NEALINIAT",IF(XLOOKUP([@oras],tbl_Localitati[oras_oficial],tbl_Localitati[judet],"?")&lt;&gt;[@judet],"JUDET NECORESPUNZATOR",""))</f>
        <v/>
      </c>
      <c r="R1719">
        <f>IF(XLOOKUP([@categorie],tbl_RegulriTVA[categorie],tbl_RegulriTVA[cota_legala],-1)&lt;&gt;[@cota_tva],"TVA GRESIT","")</f>
        <v/>
      </c>
      <c r="S1719">
        <f>IF([@data_scadentei]&lt;[@data_factura],"SCADENTA INAINTEA FACTURII","")</f>
        <v/>
      </c>
      <c r="T1719">
        <f>IF(NETWORKDAYS.INTL([@data_factura],[@data_factura],1,tbl_SarbatoriLegale[data])=0,"ZI NELUCRATOARE","")</f>
        <v/>
      </c>
      <c r="U1719">
        <f>IF([@motiv_anomalie]="","OK","DE INVESTIGAT")</f>
        <v/>
      </c>
      <c r="V1719">
        <f>TEXTJOIN("; ",TRUE,[@flag_oras],[@flag_tva],[@flag_scadenta],[@flag_zi])</f>
        <v/>
      </c>
    </row>
    <row r="1720">
      <c r="A1720" t="inlineStr">
        <is>
          <t>F-2025-01719</t>
        </is>
      </c>
      <c r="B1720" s="12" t="n">
        <v>46171</v>
      </c>
      <c r="C1720" t="inlineStr">
        <is>
          <t>SC PROVITA MEDICAL SRL</t>
        </is>
      </c>
      <c r="D1720" t="inlineStr">
        <is>
          <t>Mureș</t>
        </is>
      </c>
      <c r="E1720" t="inlineStr">
        <is>
          <t>PRD-006</t>
        </is>
      </c>
      <c r="F1720" t="inlineStr">
        <is>
          <t>Monitor 27" 4K</t>
        </is>
      </c>
      <c r="G1720" t="inlineStr">
        <is>
          <t>Hardware IT</t>
        </is>
      </c>
      <c r="H1720" t="n">
        <v>1</v>
      </c>
      <c r="I1720" t="n">
        <v>740.22</v>
      </c>
      <c r="J1720" t="n">
        <v>740.22</v>
      </c>
      <c r="K1720" s="13" t="n">
        <v>0.19</v>
      </c>
      <c r="L1720" t="n">
        <v>140.64</v>
      </c>
      <c r="M1720" t="n">
        <v>880.86</v>
      </c>
      <c r="N1720" t="inlineStr">
        <is>
          <t>RON</t>
        </is>
      </c>
      <c r="O1720" t="inlineStr">
        <is>
          <t>Târgu Mureș</t>
        </is>
      </c>
      <c r="P1720" s="12" t="n">
        <v>46231</v>
      </c>
      <c r="Q1720">
        <f>IF(COUNTIF(tbl_Localitati[oras_oficial],[@oras])=0,"ORAS NEALINIAT",IF(XLOOKUP([@oras],tbl_Localitati[oras_oficial],tbl_Localitati[judet],"?")&lt;&gt;[@judet],"JUDET NECORESPUNZATOR",""))</f>
        <v/>
      </c>
      <c r="R1720">
        <f>IF(XLOOKUP([@categorie],tbl_RegulriTVA[categorie],tbl_RegulriTVA[cota_legala],-1)&lt;&gt;[@cota_tva],"TVA GRESIT","")</f>
        <v/>
      </c>
      <c r="S1720">
        <f>IF([@data_scadentei]&lt;[@data_factura],"SCADENTA INAINTEA FACTURII","")</f>
        <v/>
      </c>
      <c r="T1720">
        <f>IF(NETWORKDAYS.INTL([@data_factura],[@data_factura],1,tbl_SarbatoriLegale[data])=0,"ZI NELUCRATOARE","")</f>
        <v/>
      </c>
      <c r="U1720">
        <f>IF([@motiv_anomalie]="","OK","DE INVESTIGAT")</f>
        <v/>
      </c>
      <c r="V1720">
        <f>TEXTJOIN("; ",TRUE,[@flag_oras],[@flag_tva],[@flag_scadenta],[@flag_zi])</f>
        <v/>
      </c>
    </row>
    <row r="1721">
      <c r="A1721" t="inlineStr">
        <is>
          <t>F-2025-01720</t>
        </is>
      </c>
      <c r="B1721" s="12" t="n">
        <v>46339</v>
      </c>
      <c r="C1721" t="inlineStr">
        <is>
          <t>SC NORDIS DISTRIBUTIE SRL</t>
        </is>
      </c>
      <c r="D1721" t="inlineStr">
        <is>
          <t>Constanța</t>
        </is>
      </c>
      <c r="E1721" t="inlineStr">
        <is>
          <t>PRD-005</t>
        </is>
      </c>
      <c r="F1721" t="inlineStr">
        <is>
          <t>Pachet protocol sedinte</t>
        </is>
      </c>
      <c r="G1721" t="inlineStr">
        <is>
          <t>Alimente</t>
        </is>
      </c>
      <c r="H1721" t="n">
        <v>5</v>
      </c>
      <c r="I1721" t="n">
        <v>254.66</v>
      </c>
      <c r="J1721" t="n">
        <v>1273.3</v>
      </c>
      <c r="K1721" s="13" t="n">
        <v>0.09</v>
      </c>
      <c r="L1721" t="n">
        <v>114.6</v>
      </c>
      <c r="M1721" t="n">
        <v>1387.9</v>
      </c>
      <c r="N1721" t="inlineStr">
        <is>
          <t>RON</t>
        </is>
      </c>
      <c r="O1721" t="inlineStr">
        <is>
          <t>Mangalia</t>
        </is>
      </c>
      <c r="P1721" s="12" t="n">
        <v>46399</v>
      </c>
      <c r="Q1721">
        <f>IF(COUNTIF(tbl_Localitati[oras_oficial],[@oras])=0,"ORAS NEALINIAT",IF(XLOOKUP([@oras],tbl_Localitati[oras_oficial],tbl_Localitati[judet],"?")&lt;&gt;[@judet],"JUDET NECORESPUNZATOR",""))</f>
        <v/>
      </c>
      <c r="R1721">
        <f>IF(XLOOKUP([@categorie],tbl_RegulriTVA[categorie],tbl_RegulriTVA[cota_legala],-1)&lt;&gt;[@cota_tva],"TVA GRESIT","")</f>
        <v/>
      </c>
      <c r="S1721">
        <f>IF([@data_scadentei]&lt;[@data_factura],"SCADENTA INAINTEA FACTURII","")</f>
        <v/>
      </c>
      <c r="T1721">
        <f>IF(NETWORKDAYS.INTL([@data_factura],[@data_factura],1,tbl_SarbatoriLegale[data])=0,"ZI NELUCRATOARE","")</f>
        <v/>
      </c>
      <c r="U1721">
        <f>IF([@motiv_anomalie]="","OK","DE INVESTIGAT")</f>
        <v/>
      </c>
      <c r="V1721">
        <f>TEXTJOIN("; ",TRUE,[@flag_oras],[@flag_tva],[@flag_scadenta],[@flag_zi])</f>
        <v/>
      </c>
    </row>
    <row r="1722">
      <c r="A1722" t="inlineStr">
        <is>
          <t>F-2025-01721</t>
        </is>
      </c>
      <c r="B1722" s="12" t="n">
        <v>46035</v>
      </c>
      <c r="C1722" t="inlineStr">
        <is>
          <t>SC INTEGROMED SA</t>
        </is>
      </c>
      <c r="D1722" t="inlineStr">
        <is>
          <t>Cluj</t>
        </is>
      </c>
      <c r="E1722" t="inlineStr">
        <is>
          <t>PRD-009</t>
        </is>
      </c>
      <c r="F1722" t="inlineStr">
        <is>
          <t>Server rack 1U</t>
        </is>
      </c>
      <c r="G1722" t="inlineStr">
        <is>
          <t>Hardware IT</t>
        </is>
      </c>
      <c r="H1722" t="n">
        <v>10</v>
      </c>
      <c r="I1722" t="n">
        <v>29.19</v>
      </c>
      <c r="J1722" t="n">
        <v>291.9</v>
      </c>
      <c r="K1722" s="13" t="n">
        <v>0.19</v>
      </c>
      <c r="L1722" t="n">
        <v>55.46</v>
      </c>
      <c r="M1722" t="n">
        <v>347.36</v>
      </c>
      <c r="N1722" t="inlineStr">
        <is>
          <t>RON</t>
        </is>
      </c>
      <c r="O1722" t="inlineStr">
        <is>
          <t>Cluj-Napoca</t>
        </is>
      </c>
      <c r="P1722" s="12" t="n">
        <v>46065</v>
      </c>
      <c r="Q1722">
        <f>IF(COUNTIF(tbl_Localitati[oras_oficial],[@oras])=0,"ORAS NEALINIAT",IF(XLOOKUP([@oras],tbl_Localitati[oras_oficial],tbl_Localitati[judet],"?")&lt;&gt;[@judet],"JUDET NECORESPUNZATOR",""))</f>
        <v/>
      </c>
      <c r="R1722">
        <f>IF(XLOOKUP([@categorie],tbl_RegulriTVA[categorie],tbl_RegulriTVA[cota_legala],-1)&lt;&gt;[@cota_tva],"TVA GRESIT","")</f>
        <v/>
      </c>
      <c r="S1722">
        <f>IF([@data_scadentei]&lt;[@data_factura],"SCADENTA INAINTEA FACTURII","")</f>
        <v/>
      </c>
      <c r="T1722">
        <f>IF(NETWORKDAYS.INTL([@data_factura],[@data_factura],1,tbl_SarbatoriLegale[data])=0,"ZI NELUCRATOARE","")</f>
        <v/>
      </c>
      <c r="U1722">
        <f>IF([@motiv_anomalie]="","OK","DE INVESTIGAT")</f>
        <v/>
      </c>
      <c r="V1722">
        <f>TEXTJOIN("; ",TRUE,[@flag_oras],[@flag_tva],[@flag_scadenta],[@flag_zi])</f>
        <v/>
      </c>
    </row>
    <row r="1723">
      <c r="A1723" t="inlineStr">
        <is>
          <t>F-2025-01722</t>
        </is>
      </c>
      <c r="B1723" s="12" t="n">
        <v>46169</v>
      </c>
      <c r="C1723" t="inlineStr">
        <is>
          <t>SC INTEGROMED SA</t>
        </is>
      </c>
      <c r="D1723" t="inlineStr">
        <is>
          <t>Cluj</t>
        </is>
      </c>
      <c r="E1723" t="inlineStr">
        <is>
          <t>PRD-009</t>
        </is>
      </c>
      <c r="F1723" t="inlineStr">
        <is>
          <t>Laptop business 15"</t>
        </is>
      </c>
      <c r="G1723" t="inlineStr">
        <is>
          <t>Hardware IT</t>
        </is>
      </c>
      <c r="H1723" t="n">
        <v>100</v>
      </c>
      <c r="I1723" t="n">
        <v>29.07</v>
      </c>
      <c r="J1723" t="n">
        <v>2907</v>
      </c>
      <c r="K1723" s="13" t="n">
        <v>0.19</v>
      </c>
      <c r="L1723" t="n">
        <v>552.33</v>
      </c>
      <c r="M1723" t="n">
        <v>3459.33</v>
      </c>
      <c r="N1723" t="inlineStr">
        <is>
          <t>RON</t>
        </is>
      </c>
      <c r="O1723" t="inlineStr">
        <is>
          <t>Cluj-Napoca</t>
        </is>
      </c>
      <c r="P1723" s="12" t="n">
        <v>46214</v>
      </c>
      <c r="Q1723">
        <f>IF(COUNTIF(tbl_Localitati[oras_oficial],[@oras])=0,"ORAS NEALINIAT",IF(XLOOKUP([@oras],tbl_Localitati[oras_oficial],tbl_Localitati[judet],"?")&lt;&gt;[@judet],"JUDET NECORESPUNZATOR",""))</f>
        <v/>
      </c>
      <c r="R1723">
        <f>IF(XLOOKUP([@categorie],tbl_RegulriTVA[categorie],tbl_RegulriTVA[cota_legala],-1)&lt;&gt;[@cota_tva],"TVA GRESIT","")</f>
        <v/>
      </c>
      <c r="S1723">
        <f>IF([@data_scadentei]&lt;[@data_factura],"SCADENTA INAINTEA FACTURII","")</f>
        <v/>
      </c>
      <c r="T1723">
        <f>IF(NETWORKDAYS.INTL([@data_factura],[@data_factura],1,tbl_SarbatoriLegale[data])=0,"ZI NELUCRATOARE","")</f>
        <v/>
      </c>
      <c r="U1723">
        <f>IF([@motiv_anomalie]="","OK","DE INVESTIGAT")</f>
        <v/>
      </c>
      <c r="V1723">
        <f>TEXTJOIN("; ",TRUE,[@flag_oras],[@flag_tva],[@flag_scadenta],[@flag_zi])</f>
        <v/>
      </c>
    </row>
    <row r="1724">
      <c r="A1724" t="inlineStr">
        <is>
          <t>F-2025-01723</t>
        </is>
      </c>
      <c r="B1724" s="12" t="n">
        <v>46209</v>
      </c>
      <c r="C1724" t="inlineStr">
        <is>
          <t>SC FARMAVITAL DISTRIBUTIE SA</t>
        </is>
      </c>
      <c r="D1724" t="inlineStr">
        <is>
          <t>Bihor</t>
        </is>
      </c>
      <c r="E1724" t="inlineStr">
        <is>
          <t>PRD-005</t>
        </is>
      </c>
      <c r="F1724" t="inlineStr">
        <is>
          <t>Licenta Office 365 anuala</t>
        </is>
      </c>
      <c r="G1724" t="inlineStr">
        <is>
          <t>Licențe software</t>
        </is>
      </c>
      <c r="H1724" t="n">
        <v>2</v>
      </c>
      <c r="I1724" t="n">
        <v>241.76</v>
      </c>
      <c r="J1724" t="n">
        <v>483.52</v>
      </c>
      <c r="K1724" s="13" t="n">
        <v>0.19</v>
      </c>
      <c r="L1724" t="n">
        <v>91.87</v>
      </c>
      <c r="M1724" t="n">
        <v>575.39</v>
      </c>
      <c r="N1724" t="inlineStr">
        <is>
          <t>RON</t>
        </is>
      </c>
      <c r="O1724" t="inlineStr">
        <is>
          <t>Oradea</t>
        </is>
      </c>
      <c r="P1724" s="12" t="n">
        <v>46254</v>
      </c>
      <c r="Q1724">
        <f>IF(COUNTIF(tbl_Localitati[oras_oficial],[@oras])=0,"ORAS NEALINIAT",IF(XLOOKUP([@oras],tbl_Localitati[oras_oficial],tbl_Localitati[judet],"?")&lt;&gt;[@judet],"JUDET NECORESPUNZATOR",""))</f>
        <v/>
      </c>
      <c r="R1724">
        <f>IF(XLOOKUP([@categorie],tbl_RegulriTVA[categorie],tbl_RegulriTVA[cota_legala],-1)&lt;&gt;[@cota_tva],"TVA GRESIT","")</f>
        <v/>
      </c>
      <c r="S1724">
        <f>IF([@data_scadentei]&lt;[@data_factura],"SCADENTA INAINTEA FACTURII","")</f>
        <v/>
      </c>
      <c r="T1724">
        <f>IF(NETWORKDAYS.INTL([@data_factura],[@data_factura],1,tbl_SarbatoriLegale[data])=0,"ZI NELUCRATOARE","")</f>
        <v/>
      </c>
      <c r="U1724">
        <f>IF([@motiv_anomalie]="","OK","DE INVESTIGAT")</f>
        <v/>
      </c>
      <c r="V1724">
        <f>TEXTJOIN("; ",TRUE,[@flag_oras],[@flag_tva],[@flag_scadenta],[@flag_zi])</f>
        <v/>
      </c>
    </row>
    <row r="1725">
      <c r="A1725" t="inlineStr">
        <is>
          <t>F-2025-01724</t>
        </is>
      </c>
      <c r="B1725" s="12" t="n">
        <v>46099</v>
      </c>
      <c r="C1725" t="inlineStr">
        <is>
          <t>SC METALPLAST INVEST SA</t>
        </is>
      </c>
      <c r="D1725" t="inlineStr">
        <is>
          <t>Cluj</t>
        </is>
      </c>
      <c r="E1725" t="inlineStr">
        <is>
          <t>PRD-006</t>
        </is>
      </c>
      <c r="F1725" t="inlineStr">
        <is>
          <t>Server rack 1U</t>
        </is>
      </c>
      <c r="G1725" t="inlineStr">
        <is>
          <t>Hardware IT</t>
        </is>
      </c>
      <c r="H1725" t="n">
        <v>5</v>
      </c>
      <c r="I1725" t="n">
        <v>781.96</v>
      </c>
      <c r="J1725" t="n">
        <v>3909.8</v>
      </c>
      <c r="K1725" s="13" t="n">
        <v>0.19</v>
      </c>
      <c r="L1725" t="n">
        <v>742.86</v>
      </c>
      <c r="M1725" t="n">
        <v>4652.66</v>
      </c>
      <c r="N1725" t="inlineStr">
        <is>
          <t>RON</t>
        </is>
      </c>
      <c r="O1725" t="inlineStr">
        <is>
          <t>Turda</t>
        </is>
      </c>
      <c r="P1725" s="12" t="n">
        <v>46144</v>
      </c>
      <c r="Q1725">
        <f>IF(COUNTIF(tbl_Localitati[oras_oficial],[@oras])=0,"ORAS NEALINIAT",IF(XLOOKUP([@oras],tbl_Localitati[oras_oficial],tbl_Localitati[judet],"?")&lt;&gt;[@judet],"JUDET NECORESPUNZATOR",""))</f>
        <v/>
      </c>
      <c r="R1725">
        <f>IF(XLOOKUP([@categorie],tbl_RegulriTVA[categorie],tbl_RegulriTVA[cota_legala],-1)&lt;&gt;[@cota_tva],"TVA GRESIT","")</f>
        <v/>
      </c>
      <c r="S1725">
        <f>IF([@data_scadentei]&lt;[@data_factura],"SCADENTA INAINTEA FACTURII","")</f>
        <v/>
      </c>
      <c r="T1725">
        <f>IF(NETWORKDAYS.INTL([@data_factura],[@data_factura],1,tbl_SarbatoriLegale[data])=0,"ZI NELUCRATOARE","")</f>
        <v/>
      </c>
      <c r="U1725">
        <f>IF([@motiv_anomalie]="","OK","DE INVESTIGAT")</f>
        <v/>
      </c>
      <c r="V1725">
        <f>TEXTJOIN("; ",TRUE,[@flag_oras],[@flag_tva],[@flag_scadenta],[@flag_zi])</f>
        <v/>
      </c>
    </row>
    <row r="1726">
      <c r="A1726" t="inlineStr">
        <is>
          <t>F-2025-01725</t>
        </is>
      </c>
      <c r="B1726" s="12" t="n">
        <v>46370</v>
      </c>
      <c r="C1726" t="inlineStr">
        <is>
          <t>SC FARMAVITAL DISTRIBUTIE SA</t>
        </is>
      </c>
      <c r="D1726" t="inlineStr">
        <is>
          <t>Bihor</t>
        </is>
      </c>
      <c r="E1726" t="inlineStr">
        <is>
          <t>PRD-002</t>
        </is>
      </c>
      <c r="F1726" t="inlineStr">
        <is>
          <t>Consultanta implementare IT</t>
        </is>
      </c>
      <c r="G1726" t="inlineStr">
        <is>
          <t>Servicii consultanță</t>
        </is>
      </c>
      <c r="H1726" t="n">
        <v>2</v>
      </c>
      <c r="I1726" t="n">
        <v>1108.27</v>
      </c>
      <c r="J1726" t="n">
        <v>2216.54</v>
      </c>
      <c r="K1726" s="13" t="n">
        <v>0.19</v>
      </c>
      <c r="L1726" t="n">
        <v>421.14</v>
      </c>
      <c r="M1726" t="n">
        <v>2637.68</v>
      </c>
      <c r="N1726" t="inlineStr">
        <is>
          <t>RON</t>
        </is>
      </c>
      <c r="O1726" t="inlineStr">
        <is>
          <t>Oradea</t>
        </is>
      </c>
      <c r="P1726" s="12" t="n">
        <v>46430</v>
      </c>
      <c r="Q1726">
        <f>IF(COUNTIF(tbl_Localitati[oras_oficial],[@oras])=0,"ORAS NEALINIAT",IF(XLOOKUP([@oras],tbl_Localitati[oras_oficial],tbl_Localitati[judet],"?")&lt;&gt;[@judet],"JUDET NECORESPUNZATOR",""))</f>
        <v/>
      </c>
      <c r="R1726">
        <f>IF(XLOOKUP([@categorie],tbl_RegulriTVA[categorie],tbl_RegulriTVA[cota_legala],-1)&lt;&gt;[@cota_tva],"TVA GRESIT","")</f>
        <v/>
      </c>
      <c r="S1726">
        <f>IF([@data_scadentei]&lt;[@data_factura],"SCADENTA INAINTEA FACTURII","")</f>
        <v/>
      </c>
      <c r="T1726">
        <f>IF(NETWORKDAYS.INTL([@data_factura],[@data_factura],1,tbl_SarbatoriLegale[data])=0,"ZI NELUCRATOARE","")</f>
        <v/>
      </c>
      <c r="U1726">
        <f>IF([@motiv_anomalie]="","OK","DE INVESTIGAT")</f>
        <v/>
      </c>
      <c r="V1726">
        <f>TEXTJOIN("; ",TRUE,[@flag_oras],[@flag_tva],[@flag_scadenta],[@flag_zi])</f>
        <v/>
      </c>
    </row>
    <row r="1727">
      <c r="A1727" t="inlineStr">
        <is>
          <t>F-2025-01726</t>
        </is>
      </c>
      <c r="B1727" s="12" t="n">
        <v>46118</v>
      </c>
      <c r="C1727" t="inlineStr">
        <is>
          <t>SC AROMET TRADING SRL</t>
        </is>
      </c>
      <c r="D1727" t="inlineStr">
        <is>
          <t>Alba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 IT</t>
        </is>
      </c>
      <c r="H1727" t="n">
        <v>2</v>
      </c>
      <c r="I1727" t="n">
        <v>1149.27</v>
      </c>
      <c r="J1727" t="n">
        <v>2298.54</v>
      </c>
      <c r="K1727" s="13" t="n">
        <v>0.19</v>
      </c>
      <c r="L1727" t="n">
        <v>436.72</v>
      </c>
      <c r="M1727" t="n">
        <v>2735.26</v>
      </c>
      <c r="N1727" t="inlineStr">
        <is>
          <t>RON</t>
        </is>
      </c>
      <c r="O1727" t="inlineStr">
        <is>
          <t>Alba Iulia</t>
        </is>
      </c>
      <c r="P1727" s="12" t="n">
        <v>46115</v>
      </c>
      <c r="Q1727">
        <f>IF(COUNTIF(tbl_Localitati[oras_oficial],[@oras])=0,"ORAS NEALINIAT",IF(XLOOKUP([@oras],tbl_Localitati[oras_oficial],tbl_Localitati[judet],"?")&lt;&gt;[@judet],"JUDET NECORESPUNZATOR",""))</f>
        <v/>
      </c>
      <c r="R1727">
        <f>IF(XLOOKUP([@categorie],tbl_RegulriTVA[categorie],tbl_RegulriTVA[cota_legala],-1)&lt;&gt;[@cota_tva],"TVA GRESIT","")</f>
        <v/>
      </c>
      <c r="S1727">
        <f>IF([@data_scadentei]&lt;[@data_factura],"SCADENTA INAINTEA FACTURII","")</f>
        <v/>
      </c>
      <c r="T1727">
        <f>IF(NETWORKDAYS.INTL([@data_factura],[@data_factura],1,tbl_SarbatoriLegale[data])=0,"ZI NELUCRATOARE","")</f>
        <v/>
      </c>
      <c r="U1727">
        <f>IF([@motiv_anomalie]="","OK","DE INVESTIGAT")</f>
        <v/>
      </c>
      <c r="V1727">
        <f>TEXTJOIN("; ",TRUE,[@flag_oras],[@flag_tva],[@flag_scadenta],[@flag_zi])</f>
        <v/>
      </c>
    </row>
    <row r="1728">
      <c r="A1728" t="inlineStr">
        <is>
          <t>F-2025-01727</t>
        </is>
      </c>
      <c r="B1728" s="12" t="n">
        <v>46210</v>
      </c>
      <c r="C1728" t="inlineStr">
        <is>
          <t>SC NORDIS DISTRIBUTIE SRL</t>
        </is>
      </c>
      <c r="D1728" t="inlineStr">
        <is>
          <t>Constanța</t>
        </is>
      </c>
      <c r="E1728" t="inlineStr">
        <is>
          <t>PRD-001</t>
        </is>
      </c>
      <c r="F1728" t="inlineStr">
        <is>
          <t>Licenta antivirus enterprise</t>
        </is>
      </c>
      <c r="G1728" t="inlineStr">
        <is>
          <t>Licențe software</t>
        </is>
      </c>
      <c r="H1728" t="n">
        <v>5</v>
      </c>
      <c r="I1728" t="n">
        <v>2480.13</v>
      </c>
      <c r="J1728" t="n">
        <v>12400.65</v>
      </c>
      <c r="K1728" s="13" t="n">
        <v>0.19</v>
      </c>
      <c r="L1728" t="n">
        <v>2356.12</v>
      </c>
      <c r="M1728" t="n">
        <v>14756.77</v>
      </c>
      <c r="N1728" t="inlineStr">
        <is>
          <t>RON</t>
        </is>
      </c>
      <c r="O1728" t="inlineStr">
        <is>
          <t>Mangalia</t>
        </is>
      </c>
      <c r="P1728" s="12" t="n">
        <v>46240</v>
      </c>
      <c r="Q1728">
        <f>IF(COUNTIF(tbl_Localitati[oras_oficial],[@oras])=0,"ORAS NEALINIAT",IF(XLOOKUP([@oras],tbl_Localitati[oras_oficial],tbl_Localitati[judet],"?")&lt;&gt;[@judet],"JUDET NECORESPUNZATOR",""))</f>
        <v/>
      </c>
      <c r="R1728">
        <f>IF(XLOOKUP([@categorie],tbl_RegulriTVA[categorie],tbl_RegulriTVA[cota_legala],-1)&lt;&gt;[@cota_tva],"TVA GRESIT","")</f>
        <v/>
      </c>
      <c r="S1728">
        <f>IF([@data_scadentei]&lt;[@data_factura],"SCADENTA INAINTEA FACTURII","")</f>
        <v/>
      </c>
      <c r="T1728">
        <f>IF(NETWORKDAYS.INTL([@data_factura],[@data_factura],1,tbl_SarbatoriLegale[data])=0,"ZI NELUCRATOARE","")</f>
        <v/>
      </c>
      <c r="U1728">
        <f>IF([@motiv_anomalie]="","OK","DE INVESTIGAT")</f>
        <v/>
      </c>
      <c r="V1728">
        <f>TEXTJOIN("; ",TRUE,[@flag_oras],[@flag_tva],[@flag_scadenta],[@flag_zi])</f>
        <v/>
      </c>
    </row>
    <row r="1729">
      <c r="A1729" t="inlineStr">
        <is>
          <t>F-2025-01728</t>
        </is>
      </c>
      <c r="B1729" s="12" t="n">
        <v>46156</v>
      </c>
      <c r="C1729" t="inlineStr">
        <is>
          <t>SC AROMET TRADING SRL</t>
        </is>
      </c>
      <c r="D1729" t="inlineStr">
        <is>
          <t>Alba</t>
        </is>
      </c>
      <c r="E1729" t="inlineStr">
        <is>
          <t>PRD-001</t>
        </is>
      </c>
      <c r="F1729" t="inlineStr">
        <is>
          <t>Monitor 27" 4K</t>
        </is>
      </c>
      <c r="G1729" t="inlineStr">
        <is>
          <t>Hardware IT</t>
        </is>
      </c>
      <c r="H1729" t="n">
        <v>3</v>
      </c>
      <c r="I1729" t="n">
        <v>2405.11</v>
      </c>
      <c r="J1729" t="n">
        <v>7215.33</v>
      </c>
      <c r="K1729" s="13" t="n">
        <v>0.19</v>
      </c>
      <c r="L1729" t="n">
        <v>1370.91</v>
      </c>
      <c r="M1729" t="n">
        <v>8586.24</v>
      </c>
      <c r="N1729" t="inlineStr">
        <is>
          <t>RON</t>
        </is>
      </c>
      <c r="O1729" t="inlineStr">
        <is>
          <t>Alba Iulia</t>
        </is>
      </c>
      <c r="P1729" s="12" t="n">
        <v>46216</v>
      </c>
      <c r="Q1729">
        <f>IF(COUNTIF(tbl_Localitati[oras_oficial],[@oras])=0,"ORAS NEALINIAT",IF(XLOOKUP([@oras],tbl_Localitati[oras_oficial],tbl_Localitati[judet],"?")&lt;&gt;[@judet],"JUDET NECORESPUNZATOR",""))</f>
        <v/>
      </c>
      <c r="R1729">
        <f>IF(XLOOKUP([@categorie],tbl_RegulriTVA[categorie],tbl_RegulriTVA[cota_legala],-1)&lt;&gt;[@cota_tva],"TVA GRESIT","")</f>
        <v/>
      </c>
      <c r="S1729">
        <f>IF([@data_scadentei]&lt;[@data_factura],"SCADENTA INAINTEA FACTURII","")</f>
        <v/>
      </c>
      <c r="T1729">
        <f>IF(NETWORKDAYS.INTL([@data_factura],[@data_factura],1,tbl_SarbatoriLegale[data])=0,"ZI NELUCRATOARE","")</f>
        <v/>
      </c>
      <c r="U1729">
        <f>IF([@motiv_anomalie]="","OK","DE INVESTIGAT")</f>
        <v/>
      </c>
      <c r="V1729">
        <f>TEXTJOIN("; ",TRUE,[@flag_oras],[@flag_tva],[@flag_scadenta],[@flag_zi])</f>
        <v/>
      </c>
    </row>
    <row r="1730">
      <c r="A1730" t="inlineStr">
        <is>
          <t>F-2025-01729</t>
        </is>
      </c>
      <c r="B1730" s="12" t="n">
        <v>46259</v>
      </c>
      <c r="C1730" t="inlineStr">
        <is>
          <t>SC AROMET TRADING SRL</t>
        </is>
      </c>
      <c r="D1730" t="inlineStr">
        <is>
          <t>Alba</t>
        </is>
      </c>
      <c r="E1730" t="inlineStr">
        <is>
          <t>PRD-006</t>
        </is>
      </c>
      <c r="F1730" t="inlineStr">
        <is>
          <t>Licenta antivirus enterprise</t>
        </is>
      </c>
      <c r="G1730" t="inlineStr">
        <is>
          <t>Licențe software</t>
        </is>
      </c>
      <c r="H1730" t="n">
        <v>25</v>
      </c>
      <c r="I1730" t="n">
        <v>713.24</v>
      </c>
      <c r="J1730" t="n">
        <v>17831</v>
      </c>
      <c r="K1730" s="13" t="n">
        <v>0.19</v>
      </c>
      <c r="L1730" t="n">
        <v>3387.89</v>
      </c>
      <c r="M1730" t="n">
        <v>21218.89</v>
      </c>
      <c r="N1730" t="inlineStr">
        <is>
          <t>RON</t>
        </is>
      </c>
      <c r="O1730" t="inlineStr">
        <is>
          <t>Alba Iulia</t>
        </is>
      </c>
      <c r="P1730" s="12" t="n">
        <v>46289</v>
      </c>
      <c r="Q1730">
        <f>IF(COUNTIF(tbl_Localitati[oras_oficial],[@oras])=0,"ORAS NEALINIAT",IF(XLOOKUP([@oras],tbl_Localitati[oras_oficial],tbl_Localitati[judet],"?")&lt;&gt;[@judet],"JUDET NECORESPUNZATOR",""))</f>
        <v/>
      </c>
      <c r="R1730">
        <f>IF(XLOOKUP([@categorie],tbl_RegulriTVA[categorie],tbl_RegulriTVA[cota_legala],-1)&lt;&gt;[@cota_tva],"TVA GRESIT","")</f>
        <v/>
      </c>
      <c r="S1730">
        <f>IF([@data_scadentei]&lt;[@data_factura],"SCADENTA INAINTEA FACTURII","")</f>
        <v/>
      </c>
      <c r="T1730">
        <f>IF(NETWORKDAYS.INTL([@data_factura],[@data_factura],1,tbl_SarbatoriLegale[data])=0,"ZI NELUCRATOARE","")</f>
        <v/>
      </c>
      <c r="U1730">
        <f>IF([@motiv_anomalie]="","OK","DE INVESTIGAT")</f>
        <v/>
      </c>
      <c r="V1730">
        <f>TEXTJOIN("; ",TRUE,[@flag_oras],[@flag_tva],[@flag_scadenta],[@flag_zi])</f>
        <v/>
      </c>
    </row>
    <row r="1731">
      <c r="A1731" t="inlineStr">
        <is>
          <t>F-2025-01730</t>
        </is>
      </c>
      <c r="B1731" s="12" t="n">
        <v>46129</v>
      </c>
      <c r="C1731" t="inlineStr">
        <is>
          <t>SC SOLARIS ENERGY SRL</t>
        </is>
      </c>
      <c r="D1731" t="inlineStr">
        <is>
          <t>Prahova</t>
        </is>
      </c>
      <c r="E1731" t="inlineStr">
        <is>
          <t>PRD-002</t>
        </is>
      </c>
      <c r="F1731" t="inlineStr">
        <is>
          <t>Videoproiector sala</t>
        </is>
      </c>
      <c r="G1731" t="inlineStr">
        <is>
          <t>Echipamente birou</t>
        </is>
      </c>
      <c r="H1731" t="n">
        <v>1</v>
      </c>
      <c r="I1731" t="n">
        <v>1141.21</v>
      </c>
      <c r="J1731" t="n">
        <v>1141.21</v>
      </c>
      <c r="K1731" s="13" t="n">
        <v>0.19</v>
      </c>
      <c r="L1731" t="n">
        <v>216.83</v>
      </c>
      <c r="M1731" t="n">
        <v>1358.04</v>
      </c>
      <c r="N1731" t="inlineStr">
        <is>
          <t>RON</t>
        </is>
      </c>
      <c r="O1731" t="inlineStr">
        <is>
          <t>Câmpina</t>
        </is>
      </c>
      <c r="P1731" s="12" t="n">
        <v>46144</v>
      </c>
      <c r="Q1731">
        <f>IF(COUNTIF(tbl_Localitati[oras_oficial],[@oras])=0,"ORAS NEALINIAT",IF(XLOOKUP([@oras],tbl_Localitati[oras_oficial],tbl_Localitati[judet],"?")&lt;&gt;[@judet],"JUDET NECORESPUNZATOR",""))</f>
        <v/>
      </c>
      <c r="R1731">
        <f>IF(XLOOKUP([@categorie],tbl_RegulriTVA[categorie],tbl_RegulriTVA[cota_legala],-1)&lt;&gt;[@cota_tva],"TVA GRESIT","")</f>
        <v/>
      </c>
      <c r="S1731">
        <f>IF([@data_scadentei]&lt;[@data_factura],"SCADENTA INAINTEA FACTURII","")</f>
        <v/>
      </c>
      <c r="T1731">
        <f>IF(NETWORKDAYS.INTL([@data_factura],[@data_factura],1,tbl_SarbatoriLegale[data])=0,"ZI NELUCRATOARE","")</f>
        <v/>
      </c>
      <c r="U1731">
        <f>IF([@motiv_anomalie]="","OK","DE INVESTIGAT")</f>
        <v/>
      </c>
      <c r="V1731">
        <f>TEXTJOIN("; ",TRUE,[@flag_oras],[@flag_tva],[@flag_scadenta],[@flag_zi])</f>
        <v/>
      </c>
    </row>
    <row r="1732">
      <c r="A1732" t="inlineStr">
        <is>
          <t>F-2025-01731</t>
        </is>
      </c>
      <c r="B1732" s="12" t="n">
        <v>46352</v>
      </c>
      <c r="C1732" t="inlineStr">
        <is>
          <t>SC INTEGROMED SA</t>
        </is>
      </c>
      <c r="D1732" t="inlineStr">
        <is>
          <t>Cluj</t>
        </is>
      </c>
      <c r="E1732" t="inlineStr">
        <is>
          <t>PRD-003</t>
        </is>
      </c>
      <c r="F1732" t="inlineStr">
        <is>
          <t>Videoproiector sala</t>
        </is>
      </c>
      <c r="G1732" t="inlineStr">
        <is>
          <t>Echipamente birou</t>
        </is>
      </c>
      <c r="H1732" t="n">
        <v>5</v>
      </c>
      <c r="I1732" t="n">
        <v>4244.85</v>
      </c>
      <c r="J1732" t="n">
        <v>21224.25</v>
      </c>
      <c r="K1732" s="13" t="n">
        <v>0.19</v>
      </c>
      <c r="L1732" t="n">
        <v>4032.61</v>
      </c>
      <c r="M1732" t="n">
        <v>25256.86</v>
      </c>
      <c r="N1732" t="inlineStr">
        <is>
          <t>RON</t>
        </is>
      </c>
      <c r="O1732" t="inlineStr">
        <is>
          <t>Cluj-Napoca</t>
        </is>
      </c>
      <c r="P1732" s="12" t="n">
        <v>46367</v>
      </c>
      <c r="Q1732">
        <f>IF(COUNTIF(tbl_Localitati[oras_oficial],[@oras])=0,"ORAS NEALINIAT",IF(XLOOKUP([@oras],tbl_Localitati[oras_oficial],tbl_Localitati[judet],"?")&lt;&gt;[@judet],"JUDET NECORESPUNZATOR",""))</f>
        <v/>
      </c>
      <c r="R1732">
        <f>IF(XLOOKUP([@categorie],tbl_RegulriTVA[categorie],tbl_RegulriTVA[cota_legala],-1)&lt;&gt;[@cota_tva],"TVA GRESIT","")</f>
        <v/>
      </c>
      <c r="S1732">
        <f>IF([@data_scadentei]&lt;[@data_factura],"SCADENTA INAINTEA FACTURII","")</f>
        <v/>
      </c>
      <c r="T1732">
        <f>IF(NETWORKDAYS.INTL([@data_factura],[@data_factura],1,tbl_SarbatoriLegale[data])=0,"ZI NELUCRATOARE","")</f>
        <v/>
      </c>
      <c r="U1732">
        <f>IF([@motiv_anomalie]="","OK","DE INVESTIGAT")</f>
        <v/>
      </c>
      <c r="V1732">
        <f>TEXTJOIN("; ",TRUE,[@flag_oras],[@flag_tva],[@flag_scadenta],[@flag_zi])</f>
        <v/>
      </c>
    </row>
    <row r="1733">
      <c r="A1733" t="inlineStr">
        <is>
          <t>F-2025-01732</t>
        </is>
      </c>
      <c r="B1733" s="12" t="n">
        <v>46083</v>
      </c>
      <c r="C1733" t="inlineStr">
        <is>
          <t>SC UNIFOOD DISTRIBUTION SA</t>
        </is>
      </c>
      <c r="D1733" t="inlineStr">
        <is>
          <t>Sibiu</t>
        </is>
      </c>
      <c r="E1733" t="inlineStr">
        <is>
          <t>PRD-009</t>
        </is>
      </c>
      <c r="F1733" t="inlineStr">
        <is>
          <t>Server rack 1U</t>
        </is>
      </c>
      <c r="G1733" t="inlineStr">
        <is>
          <t>Hardware IT</t>
        </is>
      </c>
      <c r="H1733" t="n">
        <v>50</v>
      </c>
      <c r="I1733" t="n">
        <v>28.02</v>
      </c>
      <c r="J1733" t="n">
        <v>1401</v>
      </c>
      <c r="K1733" s="13" t="n">
        <v>0.19</v>
      </c>
      <c r="L1733" t="n">
        <v>266.19</v>
      </c>
      <c r="M1733" t="n">
        <v>1667.19</v>
      </c>
      <c r="N1733" t="inlineStr">
        <is>
          <t>RON</t>
        </is>
      </c>
      <c r="O1733" t="inlineStr">
        <is>
          <t>Mediaș</t>
        </is>
      </c>
      <c r="P1733" s="12" t="n">
        <v>46113</v>
      </c>
      <c r="Q1733">
        <f>IF(COUNTIF(tbl_Localitati[oras_oficial],[@oras])=0,"ORAS NEALINIAT",IF(XLOOKUP([@oras],tbl_Localitati[oras_oficial],tbl_Localitati[judet],"?")&lt;&gt;[@judet],"JUDET NECORESPUNZATOR",""))</f>
        <v/>
      </c>
      <c r="R1733">
        <f>IF(XLOOKUP([@categorie],tbl_RegulriTVA[categorie],tbl_RegulriTVA[cota_legala],-1)&lt;&gt;[@cota_tva],"TVA GRESIT","")</f>
        <v/>
      </c>
      <c r="S1733">
        <f>IF([@data_scadentei]&lt;[@data_factura],"SCADENTA INAINTEA FACTURII","")</f>
        <v/>
      </c>
      <c r="T1733">
        <f>IF(NETWORKDAYS.INTL([@data_factura],[@data_factura],1,tbl_SarbatoriLegale[data])=0,"ZI NELUCRATOARE","")</f>
        <v/>
      </c>
      <c r="U1733">
        <f>IF([@motiv_anomalie]="","OK","DE INVESTIGAT")</f>
        <v/>
      </c>
      <c r="V1733">
        <f>TEXTJOIN("; ",TRUE,[@flag_oras],[@flag_tva],[@flag_scadenta],[@flag_zi])</f>
        <v/>
      </c>
    </row>
    <row r="1734">
      <c r="A1734" t="inlineStr">
        <is>
          <t>F-2025-01733</t>
        </is>
      </c>
      <c r="B1734" s="12" t="n">
        <v>46078</v>
      </c>
      <c r="C1734" t="inlineStr">
        <is>
          <t>SC METALPLAST INVEST SA</t>
        </is>
      </c>
      <c r="D1734" t="inlineStr">
        <is>
          <t>Cluj</t>
        </is>
      </c>
      <c r="E1734" t="inlineStr">
        <is>
          <t>PRD-005</t>
        </is>
      </c>
      <c r="F1734" t="inlineStr">
        <is>
          <t>Ceai cutie 100buc</t>
        </is>
      </c>
      <c r="G1734" t="inlineStr">
        <is>
          <t>Alimente</t>
        </is>
      </c>
      <c r="H1734" t="n">
        <v>5</v>
      </c>
      <c r="I1734" t="n">
        <v>240.59</v>
      </c>
      <c r="J1734" t="n">
        <v>1202.95</v>
      </c>
      <c r="K1734" s="13" t="n">
        <v>0.09</v>
      </c>
      <c r="L1734" t="n">
        <v>108.27</v>
      </c>
      <c r="M1734" t="n">
        <v>1311.22</v>
      </c>
      <c r="N1734" t="inlineStr">
        <is>
          <t>RON</t>
        </is>
      </c>
      <c r="O1734" t="inlineStr">
        <is>
          <t>Turda</t>
        </is>
      </c>
      <c r="P1734" s="12" t="n">
        <v>46093</v>
      </c>
      <c r="Q1734">
        <f>IF(COUNTIF(tbl_Localitati[oras_oficial],[@oras])=0,"ORAS NEALINIAT",IF(XLOOKUP([@oras],tbl_Localitati[oras_oficial],tbl_Localitati[judet],"?")&lt;&gt;[@judet],"JUDET NECORESPUNZATOR",""))</f>
        <v/>
      </c>
      <c r="R1734">
        <f>IF(XLOOKUP([@categorie],tbl_RegulriTVA[categorie],tbl_RegulriTVA[cota_legala],-1)&lt;&gt;[@cota_tva],"TVA GRESIT","")</f>
        <v/>
      </c>
      <c r="S1734">
        <f>IF([@data_scadentei]&lt;[@data_factura],"SCADENTA INAINTEA FACTURII","")</f>
        <v/>
      </c>
      <c r="T1734">
        <f>IF(NETWORKDAYS.INTL([@data_factura],[@data_factura],1,tbl_SarbatoriLegale[data])=0,"ZI NELUCRATOARE","")</f>
        <v/>
      </c>
      <c r="U1734">
        <f>IF([@motiv_anomalie]="","OK","DE INVESTIGAT")</f>
        <v/>
      </c>
      <c r="V1734">
        <f>TEXTJOIN("; ",TRUE,[@flag_oras],[@flag_tva],[@flag_scadenta],[@flag_zi])</f>
        <v/>
      </c>
    </row>
    <row r="1735">
      <c r="A1735" t="inlineStr">
        <is>
          <t>F-2025-01734</t>
        </is>
      </c>
      <c r="B1735" s="12" t="n">
        <v>46380</v>
      </c>
      <c r="C1735" t="inlineStr">
        <is>
          <t>SC AROMET TRADING SRL</t>
        </is>
      </c>
      <c r="D1735" t="inlineStr">
        <is>
          <t>Alba</t>
        </is>
      </c>
      <c r="E1735" t="inlineStr">
        <is>
          <t>PRD-011</t>
        </is>
      </c>
      <c r="F1735" t="inlineStr">
        <is>
          <t>Audit infrastructura</t>
        </is>
      </c>
      <c r="G1735" t="inlineStr">
        <is>
          <t>Servicii consultanță</t>
        </is>
      </c>
      <c r="H1735" t="n">
        <v>10</v>
      </c>
      <c r="I1735" t="n">
        <v>45.02</v>
      </c>
      <c r="J1735" t="n">
        <v>450.2</v>
      </c>
      <c r="K1735" s="13" t="n">
        <v>0.19</v>
      </c>
      <c r="L1735" t="n">
        <v>85.54000000000001</v>
      </c>
      <c r="M1735" t="n">
        <v>535.74</v>
      </c>
      <c r="N1735" t="inlineStr">
        <is>
          <t>RON</t>
        </is>
      </c>
      <c r="O1735" t="inlineStr">
        <is>
          <t>Alba Iulia</t>
        </is>
      </c>
      <c r="P1735" s="12" t="n">
        <v>46440</v>
      </c>
      <c r="Q1735">
        <f>IF(COUNTIF(tbl_Localitati[oras_oficial],[@oras])=0,"ORAS NEALINIAT",IF(XLOOKUP([@oras],tbl_Localitati[oras_oficial],tbl_Localitati[judet],"?")&lt;&gt;[@judet],"JUDET NECORESPUNZATOR",""))</f>
        <v/>
      </c>
      <c r="R1735">
        <f>IF(XLOOKUP([@categorie],tbl_RegulriTVA[categorie],tbl_RegulriTVA[cota_legala],-1)&lt;&gt;[@cota_tva],"TVA GRESIT","")</f>
        <v/>
      </c>
      <c r="S1735">
        <f>IF([@data_scadentei]&lt;[@data_factura],"SCADENTA INAINTEA FACTURII","")</f>
        <v/>
      </c>
      <c r="T1735">
        <f>IF(NETWORKDAYS.INTL([@data_factura],[@data_factura],1,tbl_SarbatoriLegale[data])=0,"ZI NELUCRATOARE","")</f>
        <v/>
      </c>
      <c r="U1735">
        <f>IF([@motiv_anomalie]="","OK","DE INVESTIGAT")</f>
        <v/>
      </c>
      <c r="V1735">
        <f>TEXTJOIN("; ",TRUE,[@flag_oras],[@flag_tva],[@flag_scadenta],[@flag_zi])</f>
        <v/>
      </c>
    </row>
    <row r="1736">
      <c r="A1736" t="inlineStr">
        <is>
          <t>F-2025-01735</t>
        </is>
      </c>
      <c r="B1736" s="12" t="n">
        <v>46114</v>
      </c>
      <c r="C1736" t="inlineStr">
        <is>
          <t>SC UNIFOOD DISTRIBUTION SA</t>
        </is>
      </c>
      <c r="D1736" t="inlineStr">
        <is>
          <t>Sibiu</t>
        </is>
      </c>
      <c r="E1736" t="inlineStr">
        <is>
          <t>PRD-005</t>
        </is>
      </c>
      <c r="F1736" t="inlineStr">
        <is>
          <t>Tocator documente</t>
        </is>
      </c>
      <c r="G1736" t="inlineStr">
        <is>
          <t>Echipamente birou</t>
        </is>
      </c>
      <c r="H1736" t="n">
        <v>1</v>
      </c>
      <c r="I1736" t="n">
        <v>250.14</v>
      </c>
      <c r="J1736" t="n">
        <v>250.14</v>
      </c>
      <c r="K1736" s="13" t="n">
        <v>0.19</v>
      </c>
      <c r="L1736" t="n">
        <v>47.53</v>
      </c>
      <c r="M1736" t="n">
        <v>297.67</v>
      </c>
      <c r="N1736" t="inlineStr">
        <is>
          <t>RON</t>
        </is>
      </c>
      <c r="O1736" t="inlineStr">
        <is>
          <t>Mediaș</t>
        </is>
      </c>
      <c r="P1736" s="12" t="n">
        <v>46159</v>
      </c>
      <c r="Q1736">
        <f>IF(COUNTIF(tbl_Localitati[oras_oficial],[@oras])=0,"ORAS NEALINIAT",IF(XLOOKUP([@oras],tbl_Localitati[oras_oficial],tbl_Localitati[judet],"?")&lt;&gt;[@judet],"JUDET NECORESPUNZATOR",""))</f>
        <v/>
      </c>
      <c r="R1736">
        <f>IF(XLOOKUP([@categorie],tbl_RegulriTVA[categorie],tbl_RegulriTVA[cota_legala],-1)&lt;&gt;[@cota_tva],"TVA GRESIT","")</f>
        <v/>
      </c>
      <c r="S1736">
        <f>IF([@data_scadentei]&lt;[@data_factura],"SCADENTA INAINTEA FACTURII","")</f>
        <v/>
      </c>
      <c r="T1736">
        <f>IF(NETWORKDAYS.INTL([@data_factura],[@data_factura],1,tbl_SarbatoriLegale[data])=0,"ZI NELUCRATOARE","")</f>
        <v/>
      </c>
      <c r="U1736">
        <f>IF([@motiv_anomalie]="","OK","DE INVESTIGAT")</f>
        <v/>
      </c>
      <c r="V1736">
        <f>TEXTJOIN("; ",TRUE,[@flag_oras],[@flag_tva],[@flag_scadenta],[@flag_zi])</f>
        <v/>
      </c>
    </row>
    <row r="1737">
      <c r="A1737" t="inlineStr">
        <is>
          <t>F-2025-01736</t>
        </is>
      </c>
      <c r="B1737" s="12" t="n">
        <v>46386</v>
      </c>
      <c r="C1737" t="inlineStr">
        <is>
          <t>SC DACTECH SOLUTIONS SRL</t>
        </is>
      </c>
      <c r="D1737" t="inlineStr">
        <is>
          <t>Argeș</t>
        </is>
      </c>
      <c r="E1737" t="inlineStr">
        <is>
          <t>PRD-002</t>
        </is>
      </c>
      <c r="F1737" t="inlineStr">
        <is>
          <t>Videoproiector sala</t>
        </is>
      </c>
      <c r="G1737" t="inlineStr">
        <is>
          <t>Echipamente birou</t>
        </is>
      </c>
      <c r="H1737" t="n">
        <v>2</v>
      </c>
      <c r="I1737" t="n">
        <v>1098.3</v>
      </c>
      <c r="J1737" t="n">
        <v>2196.6</v>
      </c>
      <c r="K1737" s="13" t="n">
        <v>0.19</v>
      </c>
      <c r="L1737" t="n">
        <v>417.35</v>
      </c>
      <c r="M1737" t="n">
        <v>2613.95</v>
      </c>
      <c r="N1737" t="inlineStr">
        <is>
          <t>RON</t>
        </is>
      </c>
      <c r="O1737" t="inlineStr">
        <is>
          <t>Pitești</t>
        </is>
      </c>
      <c r="P1737" s="12" t="n">
        <v>46416</v>
      </c>
      <c r="Q1737">
        <f>IF(COUNTIF(tbl_Localitati[oras_oficial],[@oras])=0,"ORAS NEALINIAT",IF(XLOOKUP([@oras],tbl_Localitati[oras_oficial],tbl_Localitati[judet],"?")&lt;&gt;[@judet],"JUDET NECORESPUNZATOR",""))</f>
        <v/>
      </c>
      <c r="R1737">
        <f>IF(XLOOKUP([@categorie],tbl_RegulriTVA[categorie],tbl_RegulriTVA[cota_legala],-1)&lt;&gt;[@cota_tva],"TVA GRESIT","")</f>
        <v/>
      </c>
      <c r="S1737">
        <f>IF([@data_scadentei]&lt;[@data_factura],"SCADENTA INAINTEA FACTURII","")</f>
        <v/>
      </c>
      <c r="T1737">
        <f>IF(NETWORKDAYS.INTL([@data_factura],[@data_factura],1,tbl_SarbatoriLegale[data])=0,"ZI NELUCRATOARE","")</f>
        <v/>
      </c>
      <c r="U1737">
        <f>IF([@motiv_anomalie]="","OK","DE INVESTIGAT")</f>
        <v/>
      </c>
      <c r="V1737">
        <f>TEXTJOIN("; ",TRUE,[@flag_oras],[@flag_tva],[@flag_scadenta],[@flag_zi])</f>
        <v/>
      </c>
    </row>
    <row r="1738">
      <c r="A1738" t="inlineStr">
        <is>
          <t>F-2025-01737</t>
        </is>
      </c>
      <c r="B1738" s="12" t="n">
        <v>46227</v>
      </c>
      <c r="C1738" t="inlineStr">
        <is>
          <t>SC INTEGROMED SA</t>
        </is>
      </c>
      <c r="D1738" t="inlineStr">
        <is>
          <t>Cluj</t>
        </is>
      </c>
      <c r="E1738" t="inlineStr">
        <is>
          <t>PRD-004</t>
        </is>
      </c>
      <c r="F1738" t="inlineStr">
        <is>
          <t>Tocator documente</t>
        </is>
      </c>
      <c r="G1738" t="inlineStr">
        <is>
          <t>Echipamente birou</t>
        </is>
      </c>
      <c r="H1738" t="n">
        <v>1</v>
      </c>
      <c r="I1738" t="n">
        <v>918.26</v>
      </c>
      <c r="J1738" t="n">
        <v>918.26</v>
      </c>
      <c r="K1738" s="13" t="n">
        <v>0.19</v>
      </c>
      <c r="L1738" t="n">
        <v>174.47</v>
      </c>
      <c r="M1738" t="n">
        <v>1092.73</v>
      </c>
      <c r="N1738" t="inlineStr">
        <is>
          <t>RON</t>
        </is>
      </c>
      <c r="O1738" t="inlineStr">
        <is>
          <t>Cluj-Napoca</t>
        </is>
      </c>
      <c r="P1738" s="12" t="n">
        <v>46257</v>
      </c>
      <c r="Q1738">
        <f>IF(COUNTIF(tbl_Localitati[oras_oficial],[@oras])=0,"ORAS NEALINIAT",IF(XLOOKUP([@oras],tbl_Localitati[oras_oficial],tbl_Localitati[judet],"?")&lt;&gt;[@judet],"JUDET NECORESPUNZATOR",""))</f>
        <v/>
      </c>
      <c r="R1738">
        <f>IF(XLOOKUP([@categorie],tbl_RegulriTVA[categorie],tbl_RegulriTVA[cota_legala],-1)&lt;&gt;[@cota_tva],"TVA GRESIT","")</f>
        <v/>
      </c>
      <c r="S1738">
        <f>IF([@data_scadentei]&lt;[@data_factura],"SCADENTA INAINTEA FACTURII","")</f>
        <v/>
      </c>
      <c r="T1738">
        <f>IF(NETWORKDAYS.INTL([@data_factura],[@data_factura],1,tbl_SarbatoriLegale[data])=0,"ZI NELUCRATOARE","")</f>
        <v/>
      </c>
      <c r="U1738">
        <f>IF([@motiv_anomalie]="","OK","DE INVESTIGAT")</f>
        <v/>
      </c>
      <c r="V1738">
        <f>TEXTJOIN("; ",TRUE,[@flag_oras],[@flag_tva],[@flag_scadenta],[@flag_zi])</f>
        <v/>
      </c>
    </row>
    <row r="1739">
      <c r="A1739" t="inlineStr">
        <is>
          <t>F-2025-01738</t>
        </is>
      </c>
      <c r="B1739" s="12" t="n">
        <v>46078</v>
      </c>
      <c r="C1739" t="inlineStr">
        <is>
          <t>SC OMEGA SOFT SRL</t>
        </is>
      </c>
      <c r="D1739" t="inlineStr">
        <is>
          <t>Dolj</t>
        </is>
      </c>
      <c r="E1739" t="inlineStr">
        <is>
          <t>PRD-007</t>
        </is>
      </c>
      <c r="F1739" t="inlineStr">
        <is>
          <t>Apa plata bax</t>
        </is>
      </c>
      <c r="G1739" t="inlineStr">
        <is>
          <t>Alimente</t>
        </is>
      </c>
      <c r="H1739" t="n">
        <v>1</v>
      </c>
      <c r="I1739" t="n">
        <v>173.99</v>
      </c>
      <c r="J1739" t="n">
        <v>173.99</v>
      </c>
      <c r="K1739" s="13" t="n">
        <v>0.09</v>
      </c>
      <c r="L1739" t="n">
        <v>15.66</v>
      </c>
      <c r="M1739" t="n">
        <v>189.65</v>
      </c>
      <c r="N1739" t="inlineStr">
        <is>
          <t>RON</t>
        </is>
      </c>
      <c r="O1739" t="inlineStr">
        <is>
          <t>Craiova</t>
        </is>
      </c>
      <c r="P1739" s="12" t="n">
        <v>46123</v>
      </c>
      <c r="Q1739">
        <f>IF(COUNTIF(tbl_Localitati[oras_oficial],[@oras])=0,"ORAS NEALINIAT",IF(XLOOKUP([@oras],tbl_Localitati[oras_oficial],tbl_Localitati[judet],"?")&lt;&gt;[@judet],"JUDET NECORESPUNZATOR",""))</f>
        <v/>
      </c>
      <c r="R1739">
        <f>IF(XLOOKUP([@categorie],tbl_RegulriTVA[categorie],tbl_RegulriTVA[cota_legala],-1)&lt;&gt;[@cota_tva],"TVA GRESIT","")</f>
        <v/>
      </c>
      <c r="S1739">
        <f>IF([@data_scadentei]&lt;[@data_factura],"SCADENTA INAINTEA FACTURII","")</f>
        <v/>
      </c>
      <c r="T1739">
        <f>IF(NETWORKDAYS.INTL([@data_factura],[@data_factura],1,tbl_SarbatoriLegale[data])=0,"ZI NELUCRATOARE","")</f>
        <v/>
      </c>
      <c r="U1739">
        <f>IF([@motiv_anomalie]="","OK","DE INVESTIGAT")</f>
        <v/>
      </c>
      <c r="V1739">
        <f>TEXTJOIN("; ",TRUE,[@flag_oras],[@flag_tva],[@flag_scadenta],[@flag_zi])</f>
        <v/>
      </c>
    </row>
    <row r="1740">
      <c r="A1740" t="inlineStr">
        <is>
          <t>F-2025-01739</t>
        </is>
      </c>
      <c r="B1740" s="12" t="n">
        <v>46142</v>
      </c>
      <c r="C1740" t="inlineStr">
        <is>
          <t>SC AROMET TRADING SRL</t>
        </is>
      </c>
      <c r="D1740" t="inlineStr">
        <is>
          <t>Alba</t>
        </is>
      </c>
      <c r="E1740" t="inlineStr">
        <is>
          <t>PRD-001</t>
        </is>
      </c>
      <c r="F1740" t="inlineStr">
        <is>
          <t>Switch gigabit 24p</t>
        </is>
      </c>
      <c r="G1740" t="inlineStr">
        <is>
          <t>Hardware IT</t>
        </is>
      </c>
      <c r="H1740" t="n">
        <v>3</v>
      </c>
      <c r="I1740" t="n">
        <v>2313.95</v>
      </c>
      <c r="J1740" t="n">
        <v>6941.85</v>
      </c>
      <c r="K1740" s="13" t="n">
        <v>0.19</v>
      </c>
      <c r="L1740" t="n">
        <v>1318.95</v>
      </c>
      <c r="M1740" t="n">
        <v>8260.799999999999</v>
      </c>
      <c r="N1740" t="inlineStr">
        <is>
          <t>RON</t>
        </is>
      </c>
      <c r="O1740" t="inlineStr">
        <is>
          <t>Alba Iulia</t>
        </is>
      </c>
      <c r="P1740" s="12" t="n">
        <v>46202</v>
      </c>
      <c r="Q1740">
        <f>IF(COUNTIF(tbl_Localitati[oras_oficial],[@oras])=0,"ORAS NEALINIAT",IF(XLOOKUP([@oras],tbl_Localitati[oras_oficial],tbl_Localitati[judet],"?")&lt;&gt;[@judet],"JUDET NECORESPUNZATOR",""))</f>
        <v/>
      </c>
      <c r="R1740">
        <f>IF(XLOOKUP([@categorie],tbl_RegulriTVA[categorie],tbl_RegulriTVA[cota_legala],-1)&lt;&gt;[@cota_tva],"TVA GRESIT","")</f>
        <v/>
      </c>
      <c r="S1740">
        <f>IF([@data_scadentei]&lt;[@data_factura],"SCADENTA INAINTEA FACTURII","")</f>
        <v/>
      </c>
      <c r="T1740">
        <f>IF(NETWORKDAYS.INTL([@data_factura],[@data_factura],1,tbl_SarbatoriLegale[data])=0,"ZI NELUCRATOARE","")</f>
        <v/>
      </c>
      <c r="U1740">
        <f>IF([@motiv_anomalie]="","OK","DE INVESTIGAT")</f>
        <v/>
      </c>
      <c r="V1740">
        <f>TEXTJOIN("; ",TRUE,[@flag_oras],[@flag_tva],[@flag_scadenta],[@flag_zi])</f>
        <v/>
      </c>
    </row>
    <row r="1741">
      <c r="A1741" t="inlineStr">
        <is>
          <t>F-2025-01740</t>
        </is>
      </c>
      <c r="B1741" s="12" t="n">
        <v>46189</v>
      </c>
      <c r="C1741" t="inlineStr">
        <is>
          <t>SC RAPID LOGISTIC SA</t>
        </is>
      </c>
      <c r="D1741" t="inlineStr">
        <is>
          <t>Prahova</t>
        </is>
      </c>
      <c r="E1741" t="inlineStr">
        <is>
          <t>PRD-009</t>
        </is>
      </c>
      <c r="F1741" t="inlineStr">
        <is>
          <t>Switch gigabit 24p</t>
        </is>
      </c>
      <c r="G1741" t="inlineStr">
        <is>
          <t>Hardware IT</t>
        </is>
      </c>
      <c r="H1741" t="n">
        <v>20</v>
      </c>
      <c r="I1741" t="n">
        <v>26.82</v>
      </c>
      <c r="J1741" t="n">
        <v>536.4</v>
      </c>
      <c r="K1741" s="13" t="n">
        <v>0.19</v>
      </c>
      <c r="L1741" t="n">
        <v>101.92</v>
      </c>
      <c r="M1741" t="n">
        <v>638.3200000000001</v>
      </c>
      <c r="N1741" t="inlineStr">
        <is>
          <t>EUR</t>
        </is>
      </c>
      <c r="O1741" t="inlineStr">
        <is>
          <t>Ploiești</t>
        </is>
      </c>
      <c r="P1741" s="12" t="n">
        <v>46219</v>
      </c>
      <c r="Q1741">
        <f>IF(COUNTIF(tbl_Localitati[oras_oficial],[@oras])=0,"ORAS NEALINIAT",IF(XLOOKUP([@oras],tbl_Localitati[oras_oficial],tbl_Localitati[judet],"?")&lt;&gt;[@judet],"JUDET NECORESPUNZATOR",""))</f>
        <v/>
      </c>
      <c r="R1741">
        <f>IF(XLOOKUP([@categorie],tbl_RegulriTVA[categorie],tbl_RegulriTVA[cota_legala],-1)&lt;&gt;[@cota_tva],"TVA GRESIT","")</f>
        <v/>
      </c>
      <c r="S1741">
        <f>IF([@data_scadentei]&lt;[@data_factura],"SCADENTA INAINTEA FACTURII","")</f>
        <v/>
      </c>
      <c r="T1741">
        <f>IF(NETWORKDAYS.INTL([@data_factura],[@data_factura],1,tbl_SarbatoriLegale[data])=0,"ZI NELUCRATOARE","")</f>
        <v/>
      </c>
      <c r="U1741">
        <f>IF([@motiv_anomalie]="","OK","DE INVESTIGAT")</f>
        <v/>
      </c>
      <c r="V1741">
        <f>TEXTJOIN("; ",TRUE,[@flag_oras],[@flag_tva],[@flag_scadenta],[@flag_zi])</f>
        <v/>
      </c>
    </row>
    <row r="1742">
      <c r="A1742" t="inlineStr">
        <is>
          <t>F-2025-01741</t>
        </is>
      </c>
      <c r="B1742" s="12" t="n">
        <v>46147</v>
      </c>
      <c r="C1742" t="inlineStr">
        <is>
          <t>SC INTEGROMED SA</t>
        </is>
      </c>
      <c r="D1742" t="inlineStr">
        <is>
          <t>Cluj</t>
        </is>
      </c>
      <c r="E1742" t="inlineStr">
        <is>
          <t>PRD-010</t>
        </is>
      </c>
      <c r="F1742" t="inlineStr">
        <is>
          <t>Switch gigabit 24p</t>
        </is>
      </c>
      <c r="G1742" t="inlineStr">
        <is>
          <t>Hardware IT</t>
        </is>
      </c>
      <c r="H1742" t="n">
        <v>5</v>
      </c>
      <c r="I1742" t="n">
        <v>363.02</v>
      </c>
      <c r="J1742" t="n">
        <v>1815.1</v>
      </c>
      <c r="K1742" s="13" t="n">
        <v>0.19</v>
      </c>
      <c r="L1742" t="n">
        <v>344.87</v>
      </c>
      <c r="M1742" t="n">
        <v>2159.97</v>
      </c>
      <c r="N1742" t="inlineStr">
        <is>
          <t>RON</t>
        </is>
      </c>
      <c r="O1742" t="inlineStr">
        <is>
          <t>Cluj-Napoca</t>
        </is>
      </c>
      <c r="P1742" s="12" t="n">
        <v>46162</v>
      </c>
      <c r="Q1742">
        <f>IF(COUNTIF(tbl_Localitati[oras_oficial],[@oras])=0,"ORAS NEALINIAT",IF(XLOOKUP([@oras],tbl_Localitati[oras_oficial],tbl_Localitati[judet],"?")&lt;&gt;[@judet],"JUDET NECORESPUNZATOR",""))</f>
        <v/>
      </c>
      <c r="R1742">
        <f>IF(XLOOKUP([@categorie],tbl_RegulriTVA[categorie],tbl_RegulriTVA[cota_legala],-1)&lt;&gt;[@cota_tva],"TVA GRESIT","")</f>
        <v/>
      </c>
      <c r="S1742">
        <f>IF([@data_scadentei]&lt;[@data_factura],"SCADENTA INAINTEA FACTURII","")</f>
        <v/>
      </c>
      <c r="T1742">
        <f>IF(NETWORKDAYS.INTL([@data_factura],[@data_factura],1,tbl_SarbatoriLegale[data])=0,"ZI NELUCRATOARE","")</f>
        <v/>
      </c>
      <c r="U1742">
        <f>IF([@motiv_anomalie]="","OK","DE INVESTIGAT")</f>
        <v/>
      </c>
      <c r="V1742">
        <f>TEXTJOIN("; ",TRUE,[@flag_oras],[@flag_tva],[@flag_scadenta],[@flag_zi])</f>
        <v/>
      </c>
    </row>
    <row r="1743">
      <c r="A1743" t="inlineStr">
        <is>
          <t>F-2025-01742</t>
        </is>
      </c>
      <c r="B1743" s="12" t="n">
        <v>46377</v>
      </c>
      <c r="C1743" t="inlineStr">
        <is>
          <t>SC NORDIS DISTRIBUTIE SRL</t>
        </is>
      </c>
      <c r="D1743" t="inlineStr">
        <is>
          <t>Constanța</t>
        </is>
      </c>
      <c r="E1743" t="inlineStr">
        <is>
          <t>PRD-010</t>
        </is>
      </c>
      <c r="F1743" t="inlineStr">
        <is>
          <t>Consultanta implementare IT</t>
        </is>
      </c>
      <c r="G1743" t="inlineStr">
        <is>
          <t>Servicii consultanță</t>
        </is>
      </c>
      <c r="H1743" t="n">
        <v>100</v>
      </c>
      <c r="I1743" t="n">
        <v>341.09</v>
      </c>
      <c r="J1743" t="n">
        <v>34109</v>
      </c>
      <c r="K1743" s="13" t="n">
        <v>0.19</v>
      </c>
      <c r="L1743" t="n">
        <v>6480.71</v>
      </c>
      <c r="M1743" t="n">
        <v>40589.71</v>
      </c>
      <c r="N1743" t="inlineStr">
        <is>
          <t>RON</t>
        </is>
      </c>
      <c r="O1743" t="inlineStr">
        <is>
          <t>Mangalia</t>
        </is>
      </c>
      <c r="P1743" s="12" t="n">
        <v>46437</v>
      </c>
      <c r="Q1743">
        <f>IF(COUNTIF(tbl_Localitati[oras_oficial],[@oras])=0,"ORAS NEALINIAT",IF(XLOOKUP([@oras],tbl_Localitati[oras_oficial],tbl_Localitati[judet],"?")&lt;&gt;[@judet],"JUDET NECORESPUNZATOR",""))</f>
        <v/>
      </c>
      <c r="R1743">
        <f>IF(XLOOKUP([@categorie],tbl_RegulriTVA[categorie],tbl_RegulriTVA[cota_legala],-1)&lt;&gt;[@cota_tva],"TVA GRESIT","")</f>
        <v/>
      </c>
      <c r="S1743">
        <f>IF([@data_scadentei]&lt;[@data_factura],"SCADENTA INAINTEA FACTURII","")</f>
        <v/>
      </c>
      <c r="T1743">
        <f>IF(NETWORKDAYS.INTL([@data_factura],[@data_factura],1,tbl_SarbatoriLegale[data])=0,"ZI NELUCRATOARE","")</f>
        <v/>
      </c>
      <c r="U1743">
        <f>IF([@motiv_anomalie]="","OK","DE INVESTIGAT")</f>
        <v/>
      </c>
      <c r="V1743">
        <f>TEXTJOIN("; ",TRUE,[@flag_oras],[@flag_tva],[@flag_scadenta],[@flag_zi])</f>
        <v/>
      </c>
    </row>
    <row r="1744">
      <c r="A1744" t="inlineStr">
        <is>
          <t>F-2025-01743</t>
        </is>
      </c>
      <c r="B1744" s="12" t="n">
        <v>46147</v>
      </c>
      <c r="C1744" t="inlineStr">
        <is>
          <t>SC ELECTROBUILD SRL</t>
        </is>
      </c>
      <c r="D1744" t="inlineStr">
        <is>
          <t>Bacău</t>
        </is>
      </c>
      <c r="E1744" t="inlineStr">
        <is>
          <t>PRD-010</t>
        </is>
      </c>
      <c r="F1744" t="inlineStr">
        <is>
          <t>Laptop business 15"</t>
        </is>
      </c>
      <c r="G1744" t="inlineStr">
        <is>
          <t>Hardware IT</t>
        </is>
      </c>
      <c r="H1744" t="n">
        <v>10</v>
      </c>
      <c r="I1744" t="n">
        <v>351.36</v>
      </c>
      <c r="J1744" t="n">
        <v>3513.6</v>
      </c>
      <c r="K1744" s="13" t="n">
        <v>0.19</v>
      </c>
      <c r="L1744" t="n">
        <v>667.58</v>
      </c>
      <c r="M1744" t="n">
        <v>4181.18</v>
      </c>
      <c r="N1744" t="inlineStr">
        <is>
          <t>RON</t>
        </is>
      </c>
      <c r="O1744" t="inlineStr">
        <is>
          <t>Bacău</t>
        </is>
      </c>
      <c r="P1744" s="12" t="n">
        <v>46177</v>
      </c>
      <c r="Q1744">
        <f>IF(COUNTIF(tbl_Localitati[oras_oficial],[@oras])=0,"ORAS NEALINIAT",IF(XLOOKUP([@oras],tbl_Localitati[oras_oficial],tbl_Localitati[judet],"?")&lt;&gt;[@judet],"JUDET NECORESPUNZATOR",""))</f>
        <v/>
      </c>
      <c r="R1744">
        <f>IF(XLOOKUP([@categorie],tbl_RegulriTVA[categorie],tbl_RegulriTVA[cota_legala],-1)&lt;&gt;[@cota_tva],"TVA GRESIT","")</f>
        <v/>
      </c>
      <c r="S1744">
        <f>IF([@data_scadentei]&lt;[@data_factura],"SCADENTA INAINTEA FACTURII","")</f>
        <v/>
      </c>
      <c r="T1744">
        <f>IF(NETWORKDAYS.INTL([@data_factura],[@data_factura],1,tbl_SarbatoriLegale[data])=0,"ZI NELUCRATOARE","")</f>
        <v/>
      </c>
      <c r="U1744">
        <f>IF([@motiv_anomalie]="","OK","DE INVESTIGAT")</f>
        <v/>
      </c>
      <c r="V1744">
        <f>TEXTJOIN("; ",TRUE,[@flag_oras],[@flag_tva],[@flag_scadenta],[@flag_zi])</f>
        <v/>
      </c>
    </row>
    <row r="1745">
      <c r="A1745" t="inlineStr">
        <is>
          <t>F-2025-01744</t>
        </is>
      </c>
      <c r="B1745" s="12" t="n">
        <v>46147</v>
      </c>
      <c r="C1745" t="inlineStr">
        <is>
          <t>SC NORDIS DISTRIBUTIE SRL</t>
        </is>
      </c>
      <c r="D1745" t="inlineStr">
        <is>
          <t>Constanța</t>
        </is>
      </c>
      <c r="E1745" t="inlineStr">
        <is>
          <t>PRD-005</t>
        </is>
      </c>
      <c r="F1745" t="inlineStr">
        <is>
          <t>Set carti formare</t>
        </is>
      </c>
      <c r="G1745" t="inlineStr">
        <is>
          <t>Cărți și manuale</t>
        </is>
      </c>
      <c r="H1745" t="n">
        <v>1</v>
      </c>
      <c r="I1745" t="n">
        <v>247.01</v>
      </c>
      <c r="J1745" t="n">
        <v>247.01</v>
      </c>
      <c r="K1745" s="13" t="n">
        <v>0.05</v>
      </c>
      <c r="L1745" t="n">
        <v>12.35</v>
      </c>
      <c r="M1745" t="n">
        <v>259.36</v>
      </c>
      <c r="N1745" t="inlineStr">
        <is>
          <t>RON</t>
        </is>
      </c>
      <c r="O1745" t="inlineStr">
        <is>
          <t>Mangalia</t>
        </is>
      </c>
      <c r="P1745" s="12" t="n">
        <v>46177</v>
      </c>
      <c r="Q1745">
        <f>IF(COUNTIF(tbl_Localitati[oras_oficial],[@oras])=0,"ORAS NEALINIAT",IF(XLOOKUP([@oras],tbl_Localitati[oras_oficial],tbl_Localitati[judet],"?")&lt;&gt;[@judet],"JUDET NECORESPUNZATOR",""))</f>
        <v/>
      </c>
      <c r="R1745">
        <f>IF(XLOOKUP([@categorie],tbl_RegulriTVA[categorie],tbl_RegulriTVA[cota_legala],-1)&lt;&gt;[@cota_tva],"TVA GRESIT","")</f>
        <v/>
      </c>
      <c r="S1745">
        <f>IF([@data_scadentei]&lt;[@data_factura],"SCADENTA INAINTEA FACTURII","")</f>
        <v/>
      </c>
      <c r="T1745">
        <f>IF(NETWORKDAYS.INTL([@data_factura],[@data_factura],1,tbl_SarbatoriLegale[data])=0,"ZI NELUCRATOARE","")</f>
        <v/>
      </c>
      <c r="U1745">
        <f>IF([@motiv_anomalie]="","OK","DE INVESTIGAT")</f>
        <v/>
      </c>
      <c r="V1745">
        <f>TEXTJOIN("; ",TRUE,[@flag_oras],[@flag_tva],[@flag_scadenta],[@flag_zi])</f>
        <v/>
      </c>
    </row>
    <row r="1746">
      <c r="A1746" t="inlineStr">
        <is>
          <t>F-2025-01745</t>
        </is>
      </c>
      <c r="B1746" s="12" t="n">
        <v>46192</v>
      </c>
      <c r="C1746" t="inlineStr">
        <is>
          <t>SC RAPID LOGISTIC SA</t>
        </is>
      </c>
      <c r="D1746" t="inlineStr">
        <is>
          <t>Prahova</t>
        </is>
      </c>
      <c r="E1746" t="inlineStr">
        <is>
          <t>PRD-009</t>
        </is>
      </c>
      <c r="F1746" t="inlineStr">
        <is>
          <t>Licenta ERP contabilitate</t>
        </is>
      </c>
      <c r="G1746" t="inlineStr">
        <is>
          <t>Licențe software</t>
        </is>
      </c>
      <c r="H1746" t="n">
        <v>20</v>
      </c>
      <c r="I1746" t="n">
        <v>28.82</v>
      </c>
      <c r="J1746" t="n">
        <v>576.4</v>
      </c>
      <c r="K1746" s="13" t="n">
        <v>0.19</v>
      </c>
      <c r="L1746" t="n">
        <v>109.52</v>
      </c>
      <c r="M1746" t="n">
        <v>685.92</v>
      </c>
      <c r="N1746" t="inlineStr">
        <is>
          <t>RON</t>
        </is>
      </c>
      <c r="O1746" t="inlineStr">
        <is>
          <t>Ploiești</t>
        </is>
      </c>
      <c r="P1746" s="12" t="n">
        <v>46252</v>
      </c>
      <c r="Q1746">
        <f>IF(COUNTIF(tbl_Localitati[oras_oficial],[@oras])=0,"ORAS NEALINIAT",IF(XLOOKUP([@oras],tbl_Localitati[oras_oficial],tbl_Localitati[judet],"?")&lt;&gt;[@judet],"JUDET NECORESPUNZATOR",""))</f>
        <v/>
      </c>
      <c r="R1746">
        <f>IF(XLOOKUP([@categorie],tbl_RegulriTVA[categorie],tbl_RegulriTVA[cota_legala],-1)&lt;&gt;[@cota_tva],"TVA GRESIT","")</f>
        <v/>
      </c>
      <c r="S1746">
        <f>IF([@data_scadentei]&lt;[@data_factura],"SCADENTA INAINTEA FACTURII","")</f>
        <v/>
      </c>
      <c r="T1746">
        <f>IF(NETWORKDAYS.INTL([@data_factura],[@data_factura],1,tbl_SarbatoriLegale[data])=0,"ZI NELUCRATOARE","")</f>
        <v/>
      </c>
      <c r="U1746">
        <f>IF([@motiv_anomalie]="","OK","DE INVESTIGAT")</f>
        <v/>
      </c>
      <c r="V1746">
        <f>TEXTJOIN("; ",TRUE,[@flag_oras],[@flag_tva],[@flag_scadenta],[@flag_zi])</f>
        <v/>
      </c>
    </row>
    <row r="1747">
      <c r="A1747" t="inlineStr">
        <is>
          <t>F-2025-01746</t>
        </is>
      </c>
      <c r="B1747" s="12" t="n">
        <v>46314</v>
      </c>
      <c r="C1747" t="inlineStr">
        <is>
          <t>SC RAPID LOGISTIC SA</t>
        </is>
      </c>
      <c r="D1747" t="inlineStr">
        <is>
          <t>Prahova</t>
        </is>
      </c>
      <c r="E1747" t="inlineStr">
        <is>
          <t>PRD-007</t>
        </is>
      </c>
      <c r="F1747" t="inlineStr">
        <is>
          <t>Laptop business 15"</t>
        </is>
      </c>
      <c r="G1747" t="inlineStr">
        <is>
          <t>Hardware IT</t>
        </is>
      </c>
      <c r="H1747" t="n">
        <v>50</v>
      </c>
      <c r="I1747" t="n">
        <v>185.05</v>
      </c>
      <c r="J1747" t="n">
        <v>9252.5</v>
      </c>
      <c r="K1747" s="13" t="n">
        <v>0.09</v>
      </c>
      <c r="L1747" t="n">
        <v>832.73</v>
      </c>
      <c r="M1747" t="n">
        <v>10085.23</v>
      </c>
      <c r="N1747" t="inlineStr">
        <is>
          <t>RON</t>
        </is>
      </c>
      <c r="O1747" t="inlineStr">
        <is>
          <t>Ploiești</t>
        </is>
      </c>
      <c r="P1747" s="12" t="n">
        <v>46344</v>
      </c>
      <c r="Q1747">
        <f>IF(COUNTIF(tbl_Localitati[oras_oficial],[@oras])=0,"ORAS NEALINIAT",IF(XLOOKUP([@oras],tbl_Localitati[oras_oficial],tbl_Localitati[judet],"?")&lt;&gt;[@judet],"JUDET NECORESPUNZATOR",""))</f>
        <v/>
      </c>
      <c r="R1747">
        <f>IF(XLOOKUP([@categorie],tbl_RegulriTVA[categorie],tbl_RegulriTVA[cota_legala],-1)&lt;&gt;[@cota_tva],"TVA GRESIT","")</f>
        <v/>
      </c>
      <c r="S1747">
        <f>IF([@data_scadentei]&lt;[@data_factura],"SCADENTA INAINTEA FACTURII","")</f>
        <v/>
      </c>
      <c r="T1747">
        <f>IF(NETWORKDAYS.INTL([@data_factura],[@data_factura],1,tbl_SarbatoriLegale[data])=0,"ZI NELUCRATOARE","")</f>
        <v/>
      </c>
      <c r="U1747">
        <f>IF([@motiv_anomalie]="","OK","DE INVESTIGAT")</f>
        <v/>
      </c>
      <c r="V1747">
        <f>TEXTJOIN("; ",TRUE,[@flag_oras],[@flag_tva],[@flag_scadenta],[@flag_zi])</f>
        <v/>
      </c>
    </row>
    <row r="1748">
      <c r="A1748" t="inlineStr">
        <is>
          <t>F-2025-01747</t>
        </is>
      </c>
      <c r="B1748" s="12" t="n">
        <v>46094</v>
      </c>
      <c r="C1748" t="inlineStr">
        <is>
          <t>SC DACTECH SOLUTIONS SRL</t>
        </is>
      </c>
      <c r="D1748" t="inlineStr">
        <is>
          <t>Argeș</t>
        </is>
      </c>
      <c r="E1748" t="inlineStr">
        <is>
          <t>PRD-007</t>
        </is>
      </c>
      <c r="F1748" t="inlineStr">
        <is>
          <t>Switch gigabit 24p</t>
        </is>
      </c>
      <c r="G1748" t="inlineStr">
        <is>
          <t>Hardware IT</t>
        </is>
      </c>
      <c r="H1748" t="n">
        <v>5</v>
      </c>
      <c r="I1748" t="n">
        <v>185.06</v>
      </c>
      <c r="J1748" t="n">
        <v>925.3</v>
      </c>
      <c r="K1748" s="13" t="n">
        <v>0.19</v>
      </c>
      <c r="L1748" t="n">
        <v>175.81</v>
      </c>
      <c r="M1748" t="n">
        <v>1101.11</v>
      </c>
      <c r="N1748" t="inlineStr">
        <is>
          <t>RON</t>
        </is>
      </c>
      <c r="O1748" t="inlineStr">
        <is>
          <t>Pitești</t>
        </is>
      </c>
      <c r="P1748" s="12" t="n">
        <v>46109</v>
      </c>
      <c r="Q1748">
        <f>IF(COUNTIF(tbl_Localitati[oras_oficial],[@oras])=0,"ORAS NEALINIAT",IF(XLOOKUP([@oras],tbl_Localitati[oras_oficial],tbl_Localitati[judet],"?")&lt;&gt;[@judet],"JUDET NECORESPUNZATOR",""))</f>
        <v/>
      </c>
      <c r="R1748">
        <f>IF(XLOOKUP([@categorie],tbl_RegulriTVA[categorie],tbl_RegulriTVA[cota_legala],-1)&lt;&gt;[@cota_tva],"TVA GRESIT","")</f>
        <v/>
      </c>
      <c r="S1748">
        <f>IF([@data_scadentei]&lt;[@data_factura],"SCADENTA INAINTEA FACTURII","")</f>
        <v/>
      </c>
      <c r="T1748">
        <f>IF(NETWORKDAYS.INTL([@data_factura],[@data_factura],1,tbl_SarbatoriLegale[data])=0,"ZI NELUCRATOARE","")</f>
        <v/>
      </c>
      <c r="U1748">
        <f>IF([@motiv_anomalie]="","OK","DE INVESTIGAT")</f>
        <v/>
      </c>
      <c r="V1748">
        <f>TEXTJOIN("; ",TRUE,[@flag_oras],[@flag_tva],[@flag_scadenta],[@flag_zi])</f>
        <v/>
      </c>
    </row>
    <row r="1749">
      <c r="A1749" t="inlineStr">
        <is>
          <t>F-2025-01748</t>
        </is>
      </c>
      <c r="B1749" s="12" t="n">
        <v>46127</v>
      </c>
      <c r="C1749" t="inlineStr">
        <is>
          <t>SC INTEGROMED SA</t>
        </is>
      </c>
      <c r="D1749" t="inlineStr">
        <is>
          <t>Cluj</t>
        </is>
      </c>
      <c r="E1749" t="inlineStr">
        <is>
          <t>PRD-003</t>
        </is>
      </c>
      <c r="F1749" t="inlineStr">
        <is>
          <t>Apa plata bax</t>
        </is>
      </c>
      <c r="G1749" t="inlineStr">
        <is>
          <t>Alimente</t>
        </is>
      </c>
      <c r="H1749" t="n">
        <v>5</v>
      </c>
      <c r="I1749" t="n">
        <v>4093.28</v>
      </c>
      <c r="J1749" t="n">
        <v>20466.4</v>
      </c>
      <c r="K1749" s="13" t="n">
        <v>0.09</v>
      </c>
      <c r="L1749" t="n">
        <v>1841.98</v>
      </c>
      <c r="M1749" t="n">
        <v>22308.38</v>
      </c>
      <c r="N1749" t="inlineStr">
        <is>
          <t>USD</t>
        </is>
      </c>
      <c r="O1749" t="inlineStr">
        <is>
          <t>Cluj-Napoca</t>
        </is>
      </c>
      <c r="P1749" s="12" t="n">
        <v>46172</v>
      </c>
      <c r="Q1749">
        <f>IF(COUNTIF(tbl_Localitati[oras_oficial],[@oras])=0,"ORAS NEALINIAT",IF(XLOOKUP([@oras],tbl_Localitati[oras_oficial],tbl_Localitati[judet],"?")&lt;&gt;[@judet],"JUDET NECORESPUNZATOR",""))</f>
        <v/>
      </c>
      <c r="R1749">
        <f>IF(XLOOKUP([@categorie],tbl_RegulriTVA[categorie],tbl_RegulriTVA[cota_legala],-1)&lt;&gt;[@cota_tva],"TVA GRESIT","")</f>
        <v/>
      </c>
      <c r="S1749">
        <f>IF([@data_scadentei]&lt;[@data_factura],"SCADENTA INAINTEA FACTURII","")</f>
        <v/>
      </c>
      <c r="T1749">
        <f>IF(NETWORKDAYS.INTL([@data_factura],[@data_factura],1,tbl_SarbatoriLegale[data])=0,"ZI NELUCRATOARE","")</f>
        <v/>
      </c>
      <c r="U1749">
        <f>IF([@motiv_anomalie]="","OK","DE INVESTIGAT")</f>
        <v/>
      </c>
      <c r="V1749">
        <f>TEXTJOIN("; ",TRUE,[@flag_oras],[@flag_tva],[@flag_scadenta],[@flag_zi])</f>
        <v/>
      </c>
    </row>
    <row r="1750">
      <c r="A1750" t="inlineStr">
        <is>
          <t>F-2025-01749</t>
        </is>
      </c>
      <c r="B1750" s="12" t="n">
        <v>46112</v>
      </c>
      <c r="C1750" t="inlineStr">
        <is>
          <t>SC DACTECH SOLUTIONS SRL</t>
        </is>
      </c>
      <c r="D1750" t="inlineStr">
        <is>
          <t>Argeș</t>
        </is>
      </c>
      <c r="E1750" t="inlineStr">
        <is>
          <t>PRD-005</t>
        </is>
      </c>
      <c r="F1750" t="inlineStr">
        <is>
          <t>Consultanta implementare IT</t>
        </is>
      </c>
      <c r="G1750" t="inlineStr">
        <is>
          <t>Servicii consultanță</t>
        </is>
      </c>
      <c r="H1750" t="n">
        <v>1</v>
      </c>
      <c r="I1750" t="n">
        <v>262.14</v>
      </c>
      <c r="J1750" t="n">
        <v>262.14</v>
      </c>
      <c r="K1750" s="13" t="n">
        <v>0.19</v>
      </c>
      <c r="L1750" t="n">
        <v>49.81</v>
      </c>
      <c r="M1750" t="n">
        <v>311.95</v>
      </c>
      <c r="N1750" t="inlineStr">
        <is>
          <t>RON</t>
        </is>
      </c>
      <c r="O1750" t="inlineStr">
        <is>
          <t>Pitești</t>
        </is>
      </c>
      <c r="P1750" s="12" t="n">
        <v>46142</v>
      </c>
      <c r="Q1750">
        <f>IF(COUNTIF(tbl_Localitati[oras_oficial],[@oras])=0,"ORAS NEALINIAT",IF(XLOOKUP([@oras],tbl_Localitati[oras_oficial],tbl_Localitati[judet],"?")&lt;&gt;[@judet],"JUDET NECORESPUNZATOR",""))</f>
        <v/>
      </c>
      <c r="R1750">
        <f>IF(XLOOKUP([@categorie],tbl_RegulriTVA[categorie],tbl_RegulriTVA[cota_legala],-1)&lt;&gt;[@cota_tva],"TVA GRESIT","")</f>
        <v/>
      </c>
      <c r="S1750">
        <f>IF([@data_scadentei]&lt;[@data_factura],"SCADENTA INAINTEA FACTURII","")</f>
        <v/>
      </c>
      <c r="T1750">
        <f>IF(NETWORKDAYS.INTL([@data_factura],[@data_factura],1,tbl_SarbatoriLegale[data])=0,"ZI NELUCRATOARE","")</f>
        <v/>
      </c>
      <c r="U1750">
        <f>IF([@motiv_anomalie]="","OK","DE INVESTIGAT")</f>
        <v/>
      </c>
      <c r="V1750">
        <f>TEXTJOIN("; ",TRUE,[@flag_oras],[@flag_tva],[@flag_scadenta],[@flag_zi])</f>
        <v/>
      </c>
    </row>
    <row r="1751">
      <c r="A1751" t="inlineStr">
        <is>
          <t>F-2025-01750</t>
        </is>
      </c>
      <c r="B1751" s="12" t="n">
        <v>46057</v>
      </c>
      <c r="C1751" t="inlineStr">
        <is>
          <t>SC ELECTROBUILD SRL</t>
        </is>
      </c>
      <c r="D1751" t="inlineStr">
        <is>
          <t>Bacău</t>
        </is>
      </c>
      <c r="E1751" t="inlineStr">
        <is>
          <t>PRD-011</t>
        </is>
      </c>
      <c r="F1751" t="inlineStr">
        <is>
          <t>Abonament suita cloud</t>
        </is>
      </c>
      <c r="G1751" t="inlineStr">
        <is>
          <t>Licențe software</t>
        </is>
      </c>
      <c r="H1751" t="n">
        <v>10</v>
      </c>
      <c r="I1751" t="n">
        <v>44.19</v>
      </c>
      <c r="J1751" t="n">
        <v>441.9</v>
      </c>
      <c r="K1751" s="13" t="n">
        <v>0.19</v>
      </c>
      <c r="L1751" t="n">
        <v>83.95999999999999</v>
      </c>
      <c r="M1751" t="n">
        <v>525.86</v>
      </c>
      <c r="N1751" t="inlineStr">
        <is>
          <t>RON</t>
        </is>
      </c>
      <c r="O1751" t="inlineStr">
        <is>
          <t>Bacău</t>
        </is>
      </c>
      <c r="P1751" s="12" t="n">
        <v>46117</v>
      </c>
      <c r="Q1751">
        <f>IF(COUNTIF(tbl_Localitati[oras_oficial],[@oras])=0,"ORAS NEALINIAT",IF(XLOOKUP([@oras],tbl_Localitati[oras_oficial],tbl_Localitati[judet],"?")&lt;&gt;[@judet],"JUDET NECORESPUNZATOR",""))</f>
        <v/>
      </c>
      <c r="R1751">
        <f>IF(XLOOKUP([@categorie],tbl_RegulriTVA[categorie],tbl_RegulriTVA[cota_legala],-1)&lt;&gt;[@cota_tva],"TVA GRESIT","")</f>
        <v/>
      </c>
      <c r="S1751">
        <f>IF([@data_scadentei]&lt;[@data_factura],"SCADENTA INAINTEA FACTURII","")</f>
        <v/>
      </c>
      <c r="T1751">
        <f>IF(NETWORKDAYS.INTL([@data_factura],[@data_factura],1,tbl_SarbatoriLegale[data])=0,"ZI NELUCRATOARE","")</f>
        <v/>
      </c>
      <c r="U1751">
        <f>IF([@motiv_anomalie]="","OK","DE INVESTIGAT")</f>
        <v/>
      </c>
      <c r="V1751">
        <f>TEXTJOIN("; ",TRUE,[@flag_oras],[@flag_tva],[@flag_scadenta],[@flag_zi])</f>
        <v/>
      </c>
    </row>
    <row r="1752">
      <c r="A1752" t="inlineStr">
        <is>
          <t>F-2025-01751</t>
        </is>
      </c>
      <c r="B1752" s="12" t="n">
        <v>46213</v>
      </c>
      <c r="C1752" t="inlineStr">
        <is>
          <t>SC UNIFOOD DISTRIBUTION SA</t>
        </is>
      </c>
      <c r="D1752" t="inlineStr">
        <is>
          <t>Sibiu</t>
        </is>
      </c>
      <c r="E1752" t="inlineStr">
        <is>
          <t>PRD-004</t>
        </is>
      </c>
      <c r="F1752" t="inlineStr">
        <is>
          <t>Server rack 1U</t>
        </is>
      </c>
      <c r="G1752" t="inlineStr">
        <is>
          <t>Hardware IT</t>
        </is>
      </c>
      <c r="H1752" t="n">
        <v>3</v>
      </c>
      <c r="I1752" t="n">
        <v>879.83</v>
      </c>
      <c r="J1752" t="n">
        <v>2639.49</v>
      </c>
      <c r="K1752" s="13" t="n">
        <v>0.19</v>
      </c>
      <c r="L1752" t="n">
        <v>501.5</v>
      </c>
      <c r="M1752" t="n">
        <v>3140.99</v>
      </c>
      <c r="N1752" t="inlineStr">
        <is>
          <t>RON</t>
        </is>
      </c>
      <c r="O1752" t="inlineStr">
        <is>
          <t>Mediaș</t>
        </is>
      </c>
      <c r="P1752" s="12" t="n">
        <v>46258</v>
      </c>
      <c r="Q1752">
        <f>IF(COUNTIF(tbl_Localitati[oras_oficial],[@oras])=0,"ORAS NEALINIAT",IF(XLOOKUP([@oras],tbl_Localitati[oras_oficial],tbl_Localitati[judet],"?")&lt;&gt;[@judet],"JUDET NECORESPUNZATOR",""))</f>
        <v/>
      </c>
      <c r="R1752">
        <f>IF(XLOOKUP([@categorie],tbl_RegulriTVA[categorie],tbl_RegulriTVA[cota_legala],-1)&lt;&gt;[@cota_tva],"TVA GRESIT","")</f>
        <v/>
      </c>
      <c r="S1752">
        <f>IF([@data_scadentei]&lt;[@data_factura],"SCADENTA INAINTEA FACTURII","")</f>
        <v/>
      </c>
      <c r="T1752">
        <f>IF(NETWORKDAYS.INTL([@data_factura],[@data_factura],1,tbl_SarbatoriLegale[data])=0,"ZI NELUCRATOARE","")</f>
        <v/>
      </c>
      <c r="U1752">
        <f>IF([@motiv_anomalie]="","OK","DE INVESTIGAT")</f>
        <v/>
      </c>
      <c r="V1752">
        <f>TEXTJOIN("; ",TRUE,[@flag_oras],[@flag_tva],[@flag_scadenta],[@flag_zi])</f>
        <v/>
      </c>
    </row>
    <row r="1753">
      <c r="A1753" t="inlineStr">
        <is>
          <t>F-2025-01752</t>
        </is>
      </c>
      <c r="B1753" s="12" t="n">
        <v>46267</v>
      </c>
      <c r="C1753" t="inlineStr">
        <is>
          <t>SC OMEGA SOFT SRL</t>
        </is>
      </c>
      <c r="D1753" t="inlineStr">
        <is>
          <t>Dolj</t>
        </is>
      </c>
      <c r="E1753" t="inlineStr">
        <is>
          <t>PRD-009</t>
        </is>
      </c>
      <c r="F1753" t="inlineStr">
        <is>
          <t>Dezinfectant maini 5L</t>
        </is>
      </c>
      <c r="G1753" t="inlineStr">
        <is>
          <t>Produse farmaceutice</t>
        </is>
      </c>
      <c r="H1753" t="n">
        <v>100</v>
      </c>
      <c r="I1753" t="n">
        <v>28.21</v>
      </c>
      <c r="J1753" t="n">
        <v>2821</v>
      </c>
      <c r="K1753" s="13" t="n">
        <v>0.09</v>
      </c>
      <c r="L1753" t="n">
        <v>253.89</v>
      </c>
      <c r="M1753" t="n">
        <v>3074.89</v>
      </c>
      <c r="N1753" t="inlineStr">
        <is>
          <t>RON</t>
        </is>
      </c>
      <c r="O1753" t="inlineStr">
        <is>
          <t>Craiova</t>
        </is>
      </c>
      <c r="P1753" s="12" t="n">
        <v>46297</v>
      </c>
      <c r="Q1753">
        <f>IF(COUNTIF(tbl_Localitati[oras_oficial],[@oras])=0,"ORAS NEALINIAT",IF(XLOOKUP([@oras],tbl_Localitati[oras_oficial],tbl_Localitati[judet],"?")&lt;&gt;[@judet],"JUDET NECORESPUNZATOR",""))</f>
        <v/>
      </c>
      <c r="R1753">
        <f>IF(XLOOKUP([@categorie],tbl_RegulriTVA[categorie],tbl_RegulriTVA[cota_legala],-1)&lt;&gt;[@cota_tva],"TVA GRESIT","")</f>
        <v/>
      </c>
      <c r="S1753">
        <f>IF([@data_scadentei]&lt;[@data_factura],"SCADENTA INAINTEA FACTURII","")</f>
        <v/>
      </c>
      <c r="T1753">
        <f>IF(NETWORKDAYS.INTL([@data_factura],[@data_factura],1,tbl_SarbatoriLegale[data])=0,"ZI NELUCRATOARE","")</f>
        <v/>
      </c>
      <c r="U1753">
        <f>IF([@motiv_anomalie]="","OK","DE INVESTIGAT")</f>
        <v/>
      </c>
      <c r="V1753">
        <f>TEXTJOIN("; ",TRUE,[@flag_oras],[@flag_tva],[@flag_scadenta],[@flag_zi])</f>
        <v/>
      </c>
    </row>
    <row r="1754">
      <c r="A1754" t="inlineStr">
        <is>
          <t>F-2025-01753</t>
        </is>
      </c>
      <c r="B1754" s="12" t="n">
        <v>46210</v>
      </c>
      <c r="C1754" t="inlineStr">
        <is>
          <t>SC ZENITH AUTO SRL</t>
        </is>
      </c>
      <c r="D1754" t="inlineStr">
        <is>
          <t>București</t>
        </is>
      </c>
      <c r="E1754" t="inlineStr">
        <is>
          <t>PRD-007</t>
        </is>
      </c>
      <c r="F1754" t="inlineStr">
        <is>
          <t>Tocator documente</t>
        </is>
      </c>
      <c r="G1754" t="inlineStr">
        <is>
          <t>Echipamente birou</t>
        </is>
      </c>
      <c r="H1754" t="n">
        <v>25</v>
      </c>
      <c r="I1754" t="n">
        <v>177.97</v>
      </c>
      <c r="J1754" t="n">
        <v>4449.25</v>
      </c>
      <c r="K1754" s="13" t="n">
        <v>0.19</v>
      </c>
      <c r="L1754" t="n">
        <v>845.36</v>
      </c>
      <c r="M1754" t="n">
        <v>5294.61</v>
      </c>
      <c r="N1754" t="inlineStr">
        <is>
          <t>RON</t>
        </is>
      </c>
      <c r="O1754" t="inlineStr">
        <is>
          <t>București</t>
        </is>
      </c>
      <c r="P1754" s="12" t="n">
        <v>46240</v>
      </c>
      <c r="Q1754">
        <f>IF(COUNTIF(tbl_Localitati[oras_oficial],[@oras])=0,"ORAS NEALINIAT",IF(XLOOKUP([@oras],tbl_Localitati[oras_oficial],tbl_Localitati[judet],"?")&lt;&gt;[@judet],"JUDET NECORESPUNZATOR",""))</f>
        <v/>
      </c>
      <c r="R1754">
        <f>IF(XLOOKUP([@categorie],tbl_RegulriTVA[categorie],tbl_RegulriTVA[cota_legala],-1)&lt;&gt;[@cota_tva],"TVA GRESIT","")</f>
        <v/>
      </c>
      <c r="S1754">
        <f>IF([@data_scadentei]&lt;[@data_factura],"SCADENTA INAINTEA FACTURII","")</f>
        <v/>
      </c>
      <c r="T1754">
        <f>IF(NETWORKDAYS.INTL([@data_factura],[@data_factura],1,tbl_SarbatoriLegale[data])=0,"ZI NELUCRATOARE","")</f>
        <v/>
      </c>
      <c r="U1754">
        <f>IF([@motiv_anomalie]="","OK","DE INVESTIGAT")</f>
        <v/>
      </c>
      <c r="V1754">
        <f>TEXTJOIN("; ",TRUE,[@flag_oras],[@flag_tva],[@flag_scadenta],[@flag_zi])</f>
        <v/>
      </c>
    </row>
    <row r="1755">
      <c r="A1755" t="inlineStr">
        <is>
          <t>F-2025-01754</t>
        </is>
      </c>
      <c r="B1755" s="12" t="n">
        <v>46098</v>
      </c>
      <c r="C1755" t="inlineStr">
        <is>
          <t>SC AROMET TRADING SRL</t>
        </is>
      </c>
      <c r="D1755" t="inlineStr">
        <is>
          <t>Alba</t>
        </is>
      </c>
      <c r="E1755" t="inlineStr">
        <is>
          <t>PRD-011</t>
        </is>
      </c>
      <c r="F1755" t="inlineStr">
        <is>
          <t>Laptop business 15"</t>
        </is>
      </c>
      <c r="G1755" t="inlineStr">
        <is>
          <t>Hardware IT</t>
        </is>
      </c>
      <c r="H1755" t="n">
        <v>20</v>
      </c>
      <c r="I1755" t="n">
        <v>42.77</v>
      </c>
      <c r="J1755" t="n">
        <v>855.4</v>
      </c>
      <c r="K1755" s="13" t="n">
        <v>0.19</v>
      </c>
      <c r="L1755" t="n">
        <v>162.53</v>
      </c>
      <c r="M1755" t="n">
        <v>1017.93</v>
      </c>
      <c r="N1755" t="inlineStr">
        <is>
          <t>RON</t>
        </is>
      </c>
      <c r="O1755" t="inlineStr">
        <is>
          <t>Alba Iulia</t>
        </is>
      </c>
      <c r="P1755" s="12" t="n">
        <v>46128</v>
      </c>
      <c r="Q1755">
        <f>IF(COUNTIF(tbl_Localitati[oras_oficial],[@oras])=0,"ORAS NEALINIAT",IF(XLOOKUP([@oras],tbl_Localitati[oras_oficial],tbl_Localitati[judet],"?")&lt;&gt;[@judet],"JUDET NECORESPUNZATOR",""))</f>
        <v/>
      </c>
      <c r="R1755">
        <f>IF(XLOOKUP([@categorie],tbl_RegulriTVA[categorie],tbl_RegulriTVA[cota_legala],-1)&lt;&gt;[@cota_tva],"TVA GRESIT","")</f>
        <v/>
      </c>
      <c r="S1755">
        <f>IF([@data_scadentei]&lt;[@data_factura],"SCADENTA INAINTEA FACTURII","")</f>
        <v/>
      </c>
      <c r="T1755">
        <f>IF(NETWORKDAYS.INTL([@data_factura],[@data_factura],1,tbl_SarbatoriLegale[data])=0,"ZI NELUCRATOARE","")</f>
        <v/>
      </c>
      <c r="U1755">
        <f>IF([@motiv_anomalie]="","OK","DE INVESTIGAT")</f>
        <v/>
      </c>
      <c r="V1755">
        <f>TEXTJOIN("; ",TRUE,[@flag_oras],[@flag_tva],[@flag_scadenta],[@flag_zi])</f>
        <v/>
      </c>
    </row>
    <row r="1756">
      <c r="A1756" t="inlineStr">
        <is>
          <t>F-2025-01755</t>
        </is>
      </c>
      <c r="B1756" s="12" t="n">
        <v>46308</v>
      </c>
      <c r="C1756" t="inlineStr">
        <is>
          <t>SC OMEGA SOFT SRL</t>
        </is>
      </c>
      <c r="D1756" t="inlineStr">
        <is>
          <t>Dolj</t>
        </is>
      </c>
      <c r="E1756" t="inlineStr">
        <is>
          <t>PRD-007</t>
        </is>
      </c>
      <c r="F1756" t="inlineStr">
        <is>
          <t>Videoproiector sala</t>
        </is>
      </c>
      <c r="G1756" t="inlineStr">
        <is>
          <t>Echipamente birou</t>
        </is>
      </c>
      <c r="H1756" t="n">
        <v>10</v>
      </c>
      <c r="I1756" t="n">
        <v>178.89</v>
      </c>
      <c r="J1756" t="n">
        <v>1788.9</v>
      </c>
      <c r="K1756" s="13" t="n">
        <v>0.19</v>
      </c>
      <c r="L1756" t="n">
        <v>339.89</v>
      </c>
      <c r="M1756" t="n">
        <v>2128.79</v>
      </c>
      <c r="N1756" t="inlineStr">
        <is>
          <t>RON</t>
        </is>
      </c>
      <c r="O1756" t="inlineStr">
        <is>
          <t>Craiova</t>
        </is>
      </c>
      <c r="P1756" s="12" t="n">
        <v>46323</v>
      </c>
      <c r="Q1756">
        <f>IF(COUNTIF(tbl_Localitati[oras_oficial],[@oras])=0,"ORAS NEALINIAT",IF(XLOOKUP([@oras],tbl_Localitati[oras_oficial],tbl_Localitati[judet],"?")&lt;&gt;[@judet],"JUDET NECORESPUNZATOR",""))</f>
        <v/>
      </c>
      <c r="R1756">
        <f>IF(XLOOKUP([@categorie],tbl_RegulriTVA[categorie],tbl_RegulriTVA[cota_legala],-1)&lt;&gt;[@cota_tva],"TVA GRESIT","")</f>
        <v/>
      </c>
      <c r="S1756">
        <f>IF([@data_scadentei]&lt;[@data_factura],"SCADENTA INAINTEA FACTURII","")</f>
        <v/>
      </c>
      <c r="T1756">
        <f>IF(NETWORKDAYS.INTL([@data_factura],[@data_factura],1,tbl_SarbatoriLegale[data])=0,"ZI NELUCRATOARE","")</f>
        <v/>
      </c>
      <c r="U1756">
        <f>IF([@motiv_anomalie]="","OK","DE INVESTIGAT")</f>
        <v/>
      </c>
      <c r="V1756">
        <f>TEXTJOIN("; ",TRUE,[@flag_oras],[@flag_tva],[@flag_scadenta],[@flag_zi])</f>
        <v/>
      </c>
    </row>
    <row r="1757">
      <c r="A1757" t="inlineStr">
        <is>
          <t>F-2025-01756</t>
        </is>
      </c>
      <c r="B1757" s="12" t="n">
        <v>46107</v>
      </c>
      <c r="C1757" t="inlineStr">
        <is>
          <t>SC METALPLAST INVEST SA</t>
        </is>
      </c>
      <c r="D1757" t="inlineStr">
        <is>
          <t>Cluj</t>
        </is>
      </c>
      <c r="E1757" t="inlineStr">
        <is>
          <t>PRD-011</t>
        </is>
      </c>
      <c r="F1757" t="inlineStr">
        <is>
          <t>Tocator documente</t>
        </is>
      </c>
      <c r="G1757" t="inlineStr">
        <is>
          <t>Echipamente birou</t>
        </is>
      </c>
      <c r="H1757" t="n">
        <v>10</v>
      </c>
      <c r="I1757" t="n">
        <v>44.17</v>
      </c>
      <c r="J1757" t="n">
        <v>441.7</v>
      </c>
      <c r="K1757" s="13" t="n">
        <v>0.19</v>
      </c>
      <c r="L1757" t="n">
        <v>83.92</v>
      </c>
      <c r="M1757" t="n">
        <v>525.62</v>
      </c>
      <c r="N1757" t="inlineStr">
        <is>
          <t>RON</t>
        </is>
      </c>
      <c r="O1757" t="inlineStr">
        <is>
          <t>Turda</t>
        </is>
      </c>
      <c r="P1757" s="12" t="n">
        <v>46167</v>
      </c>
      <c r="Q1757">
        <f>IF(COUNTIF(tbl_Localitati[oras_oficial],[@oras])=0,"ORAS NEALINIAT",IF(XLOOKUP([@oras],tbl_Localitati[oras_oficial],tbl_Localitati[judet],"?")&lt;&gt;[@judet],"JUDET NECORESPUNZATOR",""))</f>
        <v/>
      </c>
      <c r="R1757">
        <f>IF(XLOOKUP([@categorie],tbl_RegulriTVA[categorie],tbl_RegulriTVA[cota_legala],-1)&lt;&gt;[@cota_tva],"TVA GRESIT","")</f>
        <v/>
      </c>
      <c r="S1757">
        <f>IF([@data_scadentei]&lt;[@data_factura],"SCADENTA INAINTEA FACTURII","")</f>
        <v/>
      </c>
      <c r="T1757">
        <f>IF(NETWORKDAYS.INTL([@data_factura],[@data_factura],1,tbl_SarbatoriLegale[data])=0,"ZI NELUCRATOARE","")</f>
        <v/>
      </c>
      <c r="U1757">
        <f>IF([@motiv_anomalie]="","OK","DE INVESTIGAT")</f>
        <v/>
      </c>
      <c r="V1757">
        <f>TEXTJOIN("; ",TRUE,[@flag_oras],[@flag_tva],[@flag_scadenta],[@flag_zi])</f>
        <v/>
      </c>
    </row>
    <row r="1758">
      <c r="A1758" t="inlineStr">
        <is>
          <t>F-2025-01757</t>
        </is>
      </c>
      <c r="B1758" s="12" t="n">
        <v>46101</v>
      </c>
      <c r="C1758" t="inlineStr">
        <is>
          <t>SC RAPID LOGISTIC SA</t>
        </is>
      </c>
      <c r="D1758" t="inlineStr">
        <is>
          <t>Prahova</t>
        </is>
      </c>
      <c r="E1758" t="inlineStr">
        <is>
          <t>PRD-009</t>
        </is>
      </c>
      <c r="F1758" t="inlineStr">
        <is>
          <t>Carte tehnica IT</t>
        </is>
      </c>
      <c r="G1758" t="inlineStr">
        <is>
          <t>Cărți și manuale</t>
        </is>
      </c>
      <c r="H1758" t="n">
        <v>5</v>
      </c>
      <c r="I1758" t="n">
        <v>29.06</v>
      </c>
      <c r="J1758" t="n">
        <v>145.3</v>
      </c>
      <c r="K1758" s="13" t="n">
        <v>0.05</v>
      </c>
      <c r="L1758" t="n">
        <v>7.27</v>
      </c>
      <c r="M1758" t="n">
        <v>152.57</v>
      </c>
      <c r="N1758" t="inlineStr">
        <is>
          <t>RON</t>
        </is>
      </c>
      <c r="O1758" t="inlineStr">
        <is>
          <t>Ploiești</t>
        </is>
      </c>
      <c r="P1758" s="12" t="n">
        <v>46116</v>
      </c>
      <c r="Q1758">
        <f>IF(COUNTIF(tbl_Localitati[oras_oficial],[@oras])=0,"ORAS NEALINIAT",IF(XLOOKUP([@oras],tbl_Localitati[oras_oficial],tbl_Localitati[judet],"?")&lt;&gt;[@judet],"JUDET NECORESPUNZATOR",""))</f>
        <v/>
      </c>
      <c r="R1758">
        <f>IF(XLOOKUP([@categorie],tbl_RegulriTVA[categorie],tbl_RegulriTVA[cota_legala],-1)&lt;&gt;[@cota_tva],"TVA GRESIT","")</f>
        <v/>
      </c>
      <c r="S1758">
        <f>IF([@data_scadentei]&lt;[@data_factura],"SCADENTA INAINTEA FACTURII","")</f>
        <v/>
      </c>
      <c r="T1758">
        <f>IF(NETWORKDAYS.INTL([@data_factura],[@data_factura],1,tbl_SarbatoriLegale[data])=0,"ZI NELUCRATOARE","")</f>
        <v/>
      </c>
      <c r="U1758">
        <f>IF([@motiv_anomalie]="","OK","DE INVESTIGAT")</f>
        <v/>
      </c>
      <c r="V1758">
        <f>TEXTJOIN("; ",TRUE,[@flag_oras],[@flag_tva],[@flag_scadenta],[@flag_zi])</f>
        <v/>
      </c>
    </row>
    <row r="1759">
      <c r="A1759" t="inlineStr">
        <is>
          <t>F-2025-01758</t>
        </is>
      </c>
      <c r="B1759" s="12" t="n">
        <v>46344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Telefon IP birou</t>
        </is>
      </c>
      <c r="G1759" t="inlineStr">
        <is>
          <t>Echipamente birou</t>
        </is>
      </c>
      <c r="H1759" t="n">
        <v>5</v>
      </c>
      <c r="I1759" t="n">
        <v>27.93</v>
      </c>
      <c r="J1759" t="n">
        <v>139.65</v>
      </c>
      <c r="K1759" s="13" t="n">
        <v>0.19</v>
      </c>
      <c r="L1759" t="n">
        <v>26.53</v>
      </c>
      <c r="M1759" t="n">
        <v>166.18</v>
      </c>
      <c r="N1759" t="inlineStr">
        <is>
          <t>RON</t>
        </is>
      </c>
      <c r="O1759" t="inlineStr">
        <is>
          <t>Sibiu</t>
        </is>
      </c>
      <c r="P1759" s="12" t="n">
        <v>46389</v>
      </c>
      <c r="Q1759">
        <f>IF(COUNTIF(tbl_Localitati[oras_oficial],[@oras])=0,"ORAS NEALINIAT",IF(XLOOKUP([@oras],tbl_Localitati[oras_oficial],tbl_Localitati[judet],"?")&lt;&gt;[@judet],"JUDET NECORESPUNZATOR",""))</f>
        <v/>
      </c>
      <c r="R1759">
        <f>IF(XLOOKUP([@categorie],tbl_RegulriTVA[categorie],tbl_RegulriTVA[cota_legala],-1)&lt;&gt;[@cota_tva],"TVA GRESIT","")</f>
        <v/>
      </c>
      <c r="S1759">
        <f>IF([@data_scadentei]&lt;[@data_factura],"SCADENTA INAINTEA FACTURII","")</f>
        <v/>
      </c>
      <c r="T1759">
        <f>IF(NETWORKDAYS.INTL([@data_factura],[@data_factura],1,tbl_SarbatoriLegale[data])=0,"ZI NELUCRATOARE","")</f>
        <v/>
      </c>
      <c r="U1759">
        <f>IF([@motiv_anomalie]="","OK","DE INVESTIGAT")</f>
        <v/>
      </c>
      <c r="V1759">
        <f>TEXTJOIN("; ",TRUE,[@flag_oras],[@flag_tva],[@flag_scadenta],[@flag_zi])</f>
        <v/>
      </c>
    </row>
    <row r="1760">
      <c r="A1760" t="inlineStr">
        <is>
          <t>F-2025-01759</t>
        </is>
      </c>
      <c r="B1760" s="12" t="n">
        <v>46149</v>
      </c>
      <c r="C1760" t="inlineStr">
        <is>
          <t>SC AROMET TRADING SRL</t>
        </is>
      </c>
      <c r="D1760" t="inlineStr">
        <is>
          <t>Alba</t>
        </is>
      </c>
      <c r="E1760" t="inlineStr">
        <is>
          <t>PRD-012</t>
        </is>
      </c>
      <c r="F1760" t="inlineStr">
        <is>
          <t>Dezinfectant maini 5L</t>
        </is>
      </c>
      <c r="G1760" t="inlineStr">
        <is>
          <t>Produse farmaceutice</t>
        </is>
      </c>
      <c r="H1760" t="n">
        <v>4</v>
      </c>
      <c r="I1760" t="n">
        <v>173.16</v>
      </c>
      <c r="J1760" t="n">
        <v>692.64</v>
      </c>
      <c r="K1760" s="13" t="n">
        <v>0.09</v>
      </c>
      <c r="L1760" t="n">
        <v>62.34</v>
      </c>
      <c r="M1760" t="n">
        <v>754.98</v>
      </c>
      <c r="N1760" t="inlineStr">
        <is>
          <t>RON</t>
        </is>
      </c>
      <c r="O1760" t="inlineStr">
        <is>
          <t>Alba Iulia</t>
        </is>
      </c>
      <c r="P1760" s="12" t="n">
        <v>46179</v>
      </c>
      <c r="Q1760">
        <f>IF(COUNTIF(tbl_Localitati[oras_oficial],[@oras])=0,"ORAS NEALINIAT",IF(XLOOKUP([@oras],tbl_Localitati[oras_oficial],tbl_Localitati[judet],"?")&lt;&gt;[@judet],"JUDET NECORESPUNZATOR",""))</f>
        <v/>
      </c>
      <c r="R1760">
        <f>IF(XLOOKUP([@categorie],tbl_RegulriTVA[categorie],tbl_RegulriTVA[cota_legala],-1)&lt;&gt;[@cota_tva],"TVA GRESIT","")</f>
        <v/>
      </c>
      <c r="S1760">
        <f>IF([@data_scadentei]&lt;[@data_factura],"SCADENTA INAINTEA FACTURII","")</f>
        <v/>
      </c>
      <c r="T1760">
        <f>IF(NETWORKDAYS.INTL([@data_factura],[@data_factura],1,tbl_SarbatoriLegale[data])=0,"ZI NELUCRATOARE","")</f>
        <v/>
      </c>
      <c r="U1760">
        <f>IF([@motiv_anomalie]="","OK","DE INVESTIGAT")</f>
        <v/>
      </c>
      <c r="V1760">
        <f>TEXTJOIN("; ",TRUE,[@flag_oras],[@flag_tva],[@flag_scadenta],[@flag_zi])</f>
        <v/>
      </c>
    </row>
    <row r="1761">
      <c r="A1761" t="inlineStr">
        <is>
          <t>F-2025-01760</t>
        </is>
      </c>
      <c r="B1761" s="12" t="n">
        <v>46178</v>
      </c>
      <c r="C1761" t="inlineStr">
        <is>
          <t>SC NORDIS DISTRIBUTIE SRL</t>
        </is>
      </c>
      <c r="D1761" t="inlineStr">
        <is>
          <t>Constanța</t>
        </is>
      </c>
      <c r="E1761" t="inlineStr">
        <is>
          <t>PRD-002</t>
        </is>
      </c>
      <c r="F1761" t="inlineStr">
        <is>
          <t>Telefon IP birou</t>
        </is>
      </c>
      <c r="G1761" t="inlineStr">
        <is>
          <t>Echipamente birou</t>
        </is>
      </c>
      <c r="H1761" t="n">
        <v>10</v>
      </c>
      <c r="I1761" t="n">
        <v>1152.41</v>
      </c>
      <c r="J1761" t="n">
        <v>11524.1</v>
      </c>
      <c r="K1761" s="13" t="n">
        <v>0.19</v>
      </c>
      <c r="L1761" t="n">
        <v>2189.58</v>
      </c>
      <c r="M1761" t="n">
        <v>13713.68</v>
      </c>
      <c r="N1761" t="inlineStr">
        <is>
          <t>RON</t>
        </is>
      </c>
      <c r="O1761" t="inlineStr">
        <is>
          <t>Mangalia</t>
        </is>
      </c>
      <c r="P1761" s="12" t="n">
        <v>46193</v>
      </c>
      <c r="Q1761">
        <f>IF(COUNTIF(tbl_Localitati[oras_oficial],[@oras])=0,"ORAS NEALINIAT",IF(XLOOKUP([@oras],tbl_Localitati[oras_oficial],tbl_Localitati[judet],"?")&lt;&gt;[@judet],"JUDET NECORESPUNZATOR",""))</f>
        <v/>
      </c>
      <c r="R1761">
        <f>IF(XLOOKUP([@categorie],tbl_RegulriTVA[categorie],tbl_RegulriTVA[cota_legala],-1)&lt;&gt;[@cota_tva],"TVA GRESIT","")</f>
        <v/>
      </c>
      <c r="S1761">
        <f>IF([@data_scadentei]&lt;[@data_factura],"SCADENTA INAINTEA FACTURII","")</f>
        <v/>
      </c>
      <c r="T1761">
        <f>IF(NETWORKDAYS.INTL([@data_factura],[@data_factura],1,tbl_SarbatoriLegale[data])=0,"ZI NELUCRATOARE","")</f>
        <v/>
      </c>
      <c r="U1761">
        <f>IF([@motiv_anomalie]="","OK","DE INVESTIGAT")</f>
        <v/>
      </c>
      <c r="V1761">
        <f>TEXTJOIN("; ",TRUE,[@flag_oras],[@flag_tva],[@flag_scadenta],[@flag_zi])</f>
        <v/>
      </c>
    </row>
    <row r="1762">
      <c r="A1762" t="inlineStr">
        <is>
          <t>F-2025-01761</t>
        </is>
      </c>
      <c r="B1762" s="12" t="n">
        <v>46146</v>
      </c>
      <c r="C1762" t="inlineStr">
        <is>
          <t>SC PROVITA MEDICAL SRL</t>
        </is>
      </c>
      <c r="D1762" t="inlineStr">
        <is>
          <t>Mureș</t>
        </is>
      </c>
      <c r="E1762" t="inlineStr">
        <is>
          <t>PRD-009</t>
        </is>
      </c>
      <c r="F1762" t="inlineStr">
        <is>
          <t>Trusa prim ajutor</t>
        </is>
      </c>
      <c r="G1762" t="inlineStr">
        <is>
          <t>Produse farmaceutice</t>
        </is>
      </c>
      <c r="H1762" t="n">
        <v>5</v>
      </c>
      <c r="I1762" t="n">
        <v>26.93</v>
      </c>
      <c r="J1762" t="n">
        <v>134.65</v>
      </c>
      <c r="K1762" s="13" t="n">
        <v>0.09</v>
      </c>
      <c r="L1762" t="n">
        <v>12.12</v>
      </c>
      <c r="M1762" t="n">
        <v>146.77</v>
      </c>
      <c r="N1762" t="inlineStr">
        <is>
          <t>RON</t>
        </is>
      </c>
      <c r="O1762" t="inlineStr">
        <is>
          <t>Târgu Mureș</t>
        </is>
      </c>
      <c r="P1762" s="12" t="n">
        <v>46176</v>
      </c>
      <c r="Q1762">
        <f>IF(COUNTIF(tbl_Localitati[oras_oficial],[@oras])=0,"ORAS NEALINIAT",IF(XLOOKUP([@oras],tbl_Localitati[oras_oficial],tbl_Localitati[judet],"?")&lt;&gt;[@judet],"JUDET NECORESPUNZATOR",""))</f>
        <v/>
      </c>
      <c r="R1762">
        <f>IF(XLOOKUP([@categorie],tbl_RegulriTVA[categorie],tbl_RegulriTVA[cota_legala],-1)&lt;&gt;[@cota_tva],"TVA GRESIT","")</f>
        <v/>
      </c>
      <c r="S1762">
        <f>IF([@data_scadentei]&lt;[@data_factura],"SCADENTA INAINTEA FACTURII","")</f>
        <v/>
      </c>
      <c r="T1762">
        <f>IF(NETWORKDAYS.INTL([@data_factura],[@data_factura],1,tbl_SarbatoriLegale[data])=0,"ZI NELUCRATOARE","")</f>
        <v/>
      </c>
      <c r="U1762">
        <f>IF([@motiv_anomalie]="","OK","DE INVESTIGAT")</f>
        <v/>
      </c>
      <c r="V1762">
        <f>TEXTJOIN("; ",TRUE,[@flag_oras],[@flag_tva],[@flag_scadenta],[@flag_zi])</f>
        <v/>
      </c>
    </row>
    <row r="1763">
      <c r="A1763" t="inlineStr">
        <is>
          <t>F-2025-01762</t>
        </is>
      </c>
      <c r="B1763" s="12" t="n">
        <v>46152</v>
      </c>
      <c r="C1763" t="inlineStr">
        <is>
          <t>SC AROMET TRADING SRL</t>
        </is>
      </c>
      <c r="D1763" t="inlineStr">
        <is>
          <t>Alba</t>
        </is>
      </c>
      <c r="E1763" t="inlineStr">
        <is>
          <t>PRD-012</t>
        </is>
      </c>
      <c r="F1763" t="inlineStr">
        <is>
          <t>Training utilizatori</t>
        </is>
      </c>
      <c r="G1763" t="inlineStr">
        <is>
          <t>Servicii consultanță</t>
        </is>
      </c>
      <c r="H1763" t="n">
        <v>8</v>
      </c>
      <c r="I1763" t="n">
        <v>177.14</v>
      </c>
      <c r="J1763" t="n">
        <v>1417.12</v>
      </c>
      <c r="K1763" s="13" t="n">
        <v>0.19</v>
      </c>
      <c r="L1763" t="n">
        <v>269.25</v>
      </c>
      <c r="M1763" t="n">
        <v>1686.37</v>
      </c>
      <c r="N1763" t="inlineStr">
        <is>
          <t>RON</t>
        </is>
      </c>
      <c r="O1763" t="inlineStr">
        <is>
          <t>Alba Iulia</t>
        </is>
      </c>
      <c r="P1763" s="12" t="n">
        <v>46182</v>
      </c>
      <c r="Q1763">
        <f>IF(COUNTIF(tbl_Localitati[oras_oficial],[@oras])=0,"ORAS NEALINIAT",IF(XLOOKUP([@oras],tbl_Localitati[oras_oficial],tbl_Localitati[judet],"?")&lt;&gt;[@judet],"JUDET NECORESPUNZATOR",""))</f>
        <v/>
      </c>
      <c r="R1763">
        <f>IF(XLOOKUP([@categorie],tbl_RegulriTVA[categorie],tbl_RegulriTVA[cota_legala],-1)&lt;&gt;[@cota_tva],"TVA GRESIT","")</f>
        <v/>
      </c>
      <c r="S1763">
        <f>IF([@data_scadentei]&lt;[@data_factura],"SCADENTA INAINTEA FACTURII","")</f>
        <v/>
      </c>
      <c r="T1763">
        <f>IF(NETWORKDAYS.INTL([@data_factura],[@data_factura],1,tbl_SarbatoriLegale[data])=0,"ZI NELUCRATOARE","")</f>
        <v/>
      </c>
      <c r="U1763">
        <f>IF([@motiv_anomalie]="","OK","DE INVESTIGAT")</f>
        <v/>
      </c>
      <c r="V1763">
        <f>TEXTJOIN("; ",TRUE,[@flag_oras],[@flag_tva],[@flag_scadenta],[@flag_zi])</f>
        <v/>
      </c>
    </row>
    <row r="1764">
      <c r="A1764" t="inlineStr">
        <is>
          <t>F-2025-01763</t>
        </is>
      </c>
      <c r="B1764" s="12" t="n">
        <v>46349</v>
      </c>
      <c r="C1764" t="inlineStr">
        <is>
          <t>SC INTEGROMED SA</t>
        </is>
      </c>
      <c r="D1764" t="inlineStr">
        <is>
          <t>Cluj</t>
        </is>
      </c>
      <c r="E1764" t="inlineStr">
        <is>
          <t>PRD-010</t>
        </is>
      </c>
      <c r="F1764" t="inlineStr">
        <is>
          <t>Switch gigabit 24p</t>
        </is>
      </c>
      <c r="G1764" t="inlineStr">
        <is>
          <t>Hardware IT</t>
        </is>
      </c>
      <c r="H1764" t="n">
        <v>20</v>
      </c>
      <c r="I1764" t="n">
        <v>360.34</v>
      </c>
      <c r="J1764" t="n">
        <v>7206.8</v>
      </c>
      <c r="K1764" s="13" t="n">
        <v>0.19</v>
      </c>
      <c r="L1764" t="n">
        <v>1369.29</v>
      </c>
      <c r="M1764" t="n">
        <v>8576.09</v>
      </c>
      <c r="N1764" t="inlineStr">
        <is>
          <t>RON</t>
        </is>
      </c>
      <c r="O1764" t="inlineStr">
        <is>
          <t>Cluj-Napoca</t>
        </is>
      </c>
      <c r="P1764" s="12" t="n">
        <v>46379</v>
      </c>
      <c r="Q1764">
        <f>IF(COUNTIF(tbl_Localitati[oras_oficial],[@oras])=0,"ORAS NEALINIAT",IF(XLOOKUP([@oras],tbl_Localitati[oras_oficial],tbl_Localitati[judet],"?")&lt;&gt;[@judet],"JUDET NECORESPUNZATOR",""))</f>
        <v/>
      </c>
      <c r="R1764">
        <f>IF(XLOOKUP([@categorie],tbl_RegulriTVA[categorie],tbl_RegulriTVA[cota_legala],-1)&lt;&gt;[@cota_tva],"TVA GRESIT","")</f>
        <v/>
      </c>
      <c r="S1764">
        <f>IF([@data_scadentei]&lt;[@data_factura],"SCADENTA INAINTEA FACTURII","")</f>
        <v/>
      </c>
      <c r="T1764">
        <f>IF(NETWORKDAYS.INTL([@data_factura],[@data_factura],1,tbl_SarbatoriLegale[data])=0,"ZI NELUCRATOARE","")</f>
        <v/>
      </c>
      <c r="U1764">
        <f>IF([@motiv_anomalie]="","OK","DE INVESTIGAT")</f>
        <v/>
      </c>
      <c r="V1764">
        <f>TEXTJOIN("; ",TRUE,[@flag_oras],[@flag_tva],[@flag_scadenta],[@flag_zi])</f>
        <v/>
      </c>
    </row>
    <row r="1765">
      <c r="A1765" t="inlineStr">
        <is>
          <t>F-2025-01764</t>
        </is>
      </c>
      <c r="B1765" s="12" t="n">
        <v>46176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Consultanta implementare IT</t>
        </is>
      </c>
      <c r="G1765" t="inlineStr">
        <is>
          <t>Servicii consultanță</t>
        </is>
      </c>
      <c r="H1765" t="n">
        <v>1</v>
      </c>
      <c r="I1765" t="n">
        <v>1064.52</v>
      </c>
      <c r="J1765" t="n">
        <v>1064.52</v>
      </c>
      <c r="K1765" s="13" t="n">
        <v>0.19</v>
      </c>
      <c r="L1765" t="n">
        <v>202.26</v>
      </c>
      <c r="M1765" t="n">
        <v>1266.78</v>
      </c>
      <c r="N1765" t="inlineStr">
        <is>
          <t>RON</t>
        </is>
      </c>
      <c r="O1765" t="inlineStr">
        <is>
          <t>Sibiu</t>
        </is>
      </c>
      <c r="P1765" s="12" t="n">
        <v>46236</v>
      </c>
      <c r="Q1765">
        <f>IF(COUNTIF(tbl_Localitati[oras_oficial],[@oras])=0,"ORAS NEALINIAT",IF(XLOOKUP([@oras],tbl_Localitati[oras_oficial],tbl_Localitati[judet],"?")&lt;&gt;[@judet],"JUDET NECORESPUNZATOR",""))</f>
        <v/>
      </c>
      <c r="R1765">
        <f>IF(XLOOKUP([@categorie],tbl_RegulriTVA[categorie],tbl_RegulriTVA[cota_legala],-1)&lt;&gt;[@cota_tva],"TVA GRESIT","")</f>
        <v/>
      </c>
      <c r="S1765">
        <f>IF([@data_scadentei]&lt;[@data_factura],"SCADENTA INAINTEA FACTURII","")</f>
        <v/>
      </c>
      <c r="T1765">
        <f>IF(NETWORKDAYS.INTL([@data_factura],[@data_factura],1,tbl_SarbatoriLegale[data])=0,"ZI NELUCRATOARE","")</f>
        <v/>
      </c>
      <c r="U1765">
        <f>IF([@motiv_anomalie]="","OK","DE INVESTIGAT")</f>
        <v/>
      </c>
      <c r="V1765">
        <f>TEXTJOIN("; ",TRUE,[@flag_oras],[@flag_tva],[@flag_scadenta],[@flag_zi])</f>
        <v/>
      </c>
    </row>
    <row r="1766">
      <c r="A1766" t="inlineStr">
        <is>
          <t>F-2025-01765</t>
        </is>
      </c>
      <c r="B1766" s="12" t="n">
        <v>46171</v>
      </c>
      <c r="C1766" t="inlineStr">
        <is>
          <t>SC AROMET TRADING SRL</t>
        </is>
      </c>
      <c r="D1766" t="inlineStr">
        <is>
          <t>Alba</t>
        </is>
      </c>
      <c r="E1766" t="inlineStr">
        <is>
          <t>PRD-009</t>
        </is>
      </c>
      <c r="F1766" t="inlineStr">
        <is>
          <t>Consultanta implementare IT</t>
        </is>
      </c>
      <c r="G1766" t="inlineStr">
        <is>
          <t>Servicii consultanță</t>
        </is>
      </c>
      <c r="H1766" t="n">
        <v>20</v>
      </c>
      <c r="I1766" t="n">
        <v>26.86</v>
      </c>
      <c r="J1766" t="n">
        <v>537.2</v>
      </c>
      <c r="K1766" s="13" t="n">
        <v>0.19</v>
      </c>
      <c r="L1766" t="n">
        <v>102.07</v>
      </c>
      <c r="M1766" t="n">
        <v>639.27</v>
      </c>
      <c r="N1766" t="inlineStr">
        <is>
          <t>RON</t>
        </is>
      </c>
      <c r="O1766" t="inlineStr">
        <is>
          <t>Alba Iulia</t>
        </is>
      </c>
      <c r="P1766" s="12" t="n">
        <v>46216</v>
      </c>
      <c r="Q1766">
        <f>IF(COUNTIF(tbl_Localitati[oras_oficial],[@oras])=0,"ORAS NEALINIAT",IF(XLOOKUP([@oras],tbl_Localitati[oras_oficial],tbl_Localitati[judet],"?")&lt;&gt;[@judet],"JUDET NECORESPUNZATOR",""))</f>
        <v/>
      </c>
      <c r="R1766">
        <f>IF(XLOOKUP([@categorie],tbl_RegulriTVA[categorie],tbl_RegulriTVA[cota_legala],-1)&lt;&gt;[@cota_tva],"TVA GRESIT","")</f>
        <v/>
      </c>
      <c r="S1766">
        <f>IF([@data_scadentei]&lt;[@data_factura],"SCADENTA INAINTEA FACTURII","")</f>
        <v/>
      </c>
      <c r="T1766">
        <f>IF(NETWORKDAYS.INTL([@data_factura],[@data_factura],1,tbl_SarbatoriLegale[data])=0,"ZI NELUCRATOARE","")</f>
        <v/>
      </c>
      <c r="U1766">
        <f>IF([@motiv_anomalie]="","OK","DE INVESTIGAT")</f>
        <v/>
      </c>
      <c r="V1766">
        <f>TEXTJOIN("; ",TRUE,[@flag_oras],[@flag_tva],[@flag_scadenta],[@flag_zi])</f>
        <v/>
      </c>
    </row>
    <row r="1767">
      <c r="A1767" t="inlineStr">
        <is>
          <t>F-2025-01766</t>
        </is>
      </c>
      <c r="B1767" s="12" t="n">
        <v>46135</v>
      </c>
      <c r="C1767" t="inlineStr">
        <is>
          <t>SC METALPLAST INVEST SA</t>
        </is>
      </c>
      <c r="D1767" t="inlineStr">
        <is>
          <t>Cluj</t>
        </is>
      </c>
      <c r="E1767" t="inlineStr">
        <is>
          <t>PRD-007</t>
        </is>
      </c>
      <c r="F1767" t="inlineStr">
        <is>
          <t>Server rack 1U</t>
        </is>
      </c>
      <c r="G1767" t="inlineStr">
        <is>
          <t>Hardware IT</t>
        </is>
      </c>
      <c r="H1767" t="n">
        <v>5</v>
      </c>
      <c r="I1767" t="n">
        <v>173.93</v>
      </c>
      <c r="J1767" t="n">
        <v>869.65</v>
      </c>
      <c r="K1767" s="13" t="n">
        <v>0.19</v>
      </c>
      <c r="L1767" t="n">
        <v>165.23</v>
      </c>
      <c r="M1767" t="n">
        <v>1034.88</v>
      </c>
      <c r="N1767" t="inlineStr">
        <is>
          <t>RON</t>
        </is>
      </c>
      <c r="O1767" t="inlineStr">
        <is>
          <t>Turda</t>
        </is>
      </c>
      <c r="P1767" s="12" t="n">
        <v>46165</v>
      </c>
      <c r="Q1767">
        <f>IF(COUNTIF(tbl_Localitati[oras_oficial],[@oras])=0,"ORAS NEALINIAT",IF(XLOOKUP([@oras],tbl_Localitati[oras_oficial],tbl_Localitati[judet],"?")&lt;&gt;[@judet],"JUDET NECORESPUNZATOR",""))</f>
        <v/>
      </c>
      <c r="R1767">
        <f>IF(XLOOKUP([@categorie],tbl_RegulriTVA[categorie],tbl_RegulriTVA[cota_legala],-1)&lt;&gt;[@cota_tva],"TVA GRESIT","")</f>
        <v/>
      </c>
      <c r="S1767">
        <f>IF([@data_scadentei]&lt;[@data_factura],"SCADENTA INAINTEA FACTURII","")</f>
        <v/>
      </c>
      <c r="T1767">
        <f>IF(NETWORKDAYS.INTL([@data_factura],[@data_factura],1,tbl_SarbatoriLegale[data])=0,"ZI NELUCRATOARE","")</f>
        <v/>
      </c>
      <c r="U1767">
        <f>IF([@motiv_anomalie]="","OK","DE INVESTIGAT")</f>
        <v/>
      </c>
      <c r="V1767">
        <f>TEXTJOIN("; ",TRUE,[@flag_oras],[@flag_tva],[@flag_scadenta],[@flag_zi])</f>
        <v/>
      </c>
    </row>
    <row r="1768">
      <c r="A1768" t="inlineStr">
        <is>
          <t>F-2025-01767</t>
        </is>
      </c>
      <c r="B1768" s="12" t="n">
        <v>46311</v>
      </c>
      <c r="C1768" t="inlineStr">
        <is>
          <t>SC PROVITA MEDICAL SRL</t>
        </is>
      </c>
      <c r="D1768" t="inlineStr">
        <is>
          <t>Mureș</t>
        </is>
      </c>
      <c r="E1768" t="inlineStr">
        <is>
          <t>PRD-005</t>
        </is>
      </c>
      <c r="F1768" t="inlineStr">
        <is>
          <t>Abonament suita cloud</t>
        </is>
      </c>
      <c r="G1768" t="inlineStr">
        <is>
          <t>Licențe software</t>
        </is>
      </c>
      <c r="H1768" t="n">
        <v>1</v>
      </c>
      <c r="I1768" t="n">
        <v>258.36</v>
      </c>
      <c r="J1768" t="n">
        <v>258.36</v>
      </c>
      <c r="K1768" s="13" t="n">
        <v>0.19</v>
      </c>
      <c r="L1768" t="n">
        <v>49.09</v>
      </c>
      <c r="M1768" t="n">
        <v>307.45</v>
      </c>
      <c r="N1768" t="inlineStr">
        <is>
          <t>EUR</t>
        </is>
      </c>
      <c r="O1768" t="inlineStr">
        <is>
          <t>Târgu Mureș</t>
        </is>
      </c>
      <c r="P1768" s="12" t="n">
        <v>46341</v>
      </c>
      <c r="Q1768">
        <f>IF(COUNTIF(tbl_Localitati[oras_oficial],[@oras])=0,"ORAS NEALINIAT",IF(XLOOKUP([@oras],tbl_Localitati[oras_oficial],tbl_Localitati[judet],"?")&lt;&gt;[@judet],"JUDET NECORESPUNZATOR",""))</f>
        <v/>
      </c>
      <c r="R1768">
        <f>IF(XLOOKUP([@categorie],tbl_RegulriTVA[categorie],tbl_RegulriTVA[cota_legala],-1)&lt;&gt;[@cota_tva],"TVA GRESIT","")</f>
        <v/>
      </c>
      <c r="S1768">
        <f>IF([@data_scadentei]&lt;[@data_factura],"SCADENTA INAINTEA FACTURII","")</f>
        <v/>
      </c>
      <c r="T1768">
        <f>IF(NETWORKDAYS.INTL([@data_factura],[@data_factura],1,tbl_SarbatoriLegale[data])=0,"ZI NELUCRATOARE","")</f>
        <v/>
      </c>
      <c r="U1768">
        <f>IF([@motiv_anomalie]="","OK","DE INVESTIGAT")</f>
        <v/>
      </c>
      <c r="V1768">
        <f>TEXTJOIN("; ",TRUE,[@flag_oras],[@flag_tva],[@flag_scadenta],[@flag_zi])</f>
        <v/>
      </c>
    </row>
    <row r="1769">
      <c r="A1769" t="inlineStr">
        <is>
          <t>F-2025-01768</t>
        </is>
      </c>
      <c r="B1769" s="12" t="n">
        <v>46185</v>
      </c>
      <c r="C1769" t="inlineStr">
        <is>
          <t>SC RAPID LOGISTIC SA</t>
        </is>
      </c>
      <c r="D1769" t="inlineStr">
        <is>
          <t>Prahova</t>
        </is>
      </c>
      <c r="E1769" t="inlineStr">
        <is>
          <t>PRD-011</t>
        </is>
      </c>
      <c r="F1769" t="inlineStr">
        <is>
          <t>Switch gigabit 24p</t>
        </is>
      </c>
      <c r="G1769" t="inlineStr">
        <is>
          <t>Hardware IT</t>
        </is>
      </c>
      <c r="H1769" t="n">
        <v>50</v>
      </c>
      <c r="I1769" t="n">
        <v>43.35</v>
      </c>
      <c r="J1769" t="n">
        <v>2167.5</v>
      </c>
      <c r="K1769" s="13" t="n">
        <v>0.19</v>
      </c>
      <c r="L1769" t="n">
        <v>411.82</v>
      </c>
      <c r="M1769" t="n">
        <v>2579.32</v>
      </c>
      <c r="N1769" t="inlineStr">
        <is>
          <t>RON</t>
        </is>
      </c>
      <c r="O1769" t="inlineStr">
        <is>
          <t>Ploiești</t>
        </is>
      </c>
      <c r="P1769" s="12" t="n">
        <v>46215</v>
      </c>
      <c r="Q1769">
        <f>IF(COUNTIF(tbl_Localitati[oras_oficial],[@oras])=0,"ORAS NEALINIAT",IF(XLOOKUP([@oras],tbl_Localitati[oras_oficial],tbl_Localitati[judet],"?")&lt;&gt;[@judet],"JUDET NECORESPUNZATOR",""))</f>
        <v/>
      </c>
      <c r="R1769">
        <f>IF(XLOOKUP([@categorie],tbl_RegulriTVA[categorie],tbl_RegulriTVA[cota_legala],-1)&lt;&gt;[@cota_tva],"TVA GRESIT","")</f>
        <v/>
      </c>
      <c r="S1769">
        <f>IF([@data_scadentei]&lt;[@data_factura],"SCADENTA INAINTEA FACTURII","")</f>
        <v/>
      </c>
      <c r="T1769">
        <f>IF(NETWORKDAYS.INTL([@data_factura],[@data_factura],1,tbl_SarbatoriLegale[data])=0,"ZI NELUCRATOARE","")</f>
        <v/>
      </c>
      <c r="U1769">
        <f>IF([@motiv_anomalie]="","OK","DE INVESTIGAT")</f>
        <v/>
      </c>
      <c r="V1769">
        <f>TEXTJOIN("; ",TRUE,[@flag_oras],[@flag_tva],[@flag_scadenta],[@flag_zi])</f>
        <v/>
      </c>
    </row>
    <row r="1770">
      <c r="A1770" t="inlineStr">
        <is>
          <t>F-2025-01769</t>
        </is>
      </c>
      <c r="B1770" s="12" t="n">
        <v>46281</v>
      </c>
      <c r="C1770" t="inlineStr">
        <is>
          <t>SC PROVITA MEDICAL SRL</t>
        </is>
      </c>
      <c r="D1770" t="inlineStr">
        <is>
          <t>Mureș</t>
        </is>
      </c>
      <c r="E1770" t="inlineStr">
        <is>
          <t>PRD-003</t>
        </is>
      </c>
      <c r="F1770" t="inlineStr">
        <is>
          <t>Statie de lucru desktop</t>
        </is>
      </c>
      <c r="G1770" t="inlineStr">
        <is>
          <t>Hardware IT</t>
        </is>
      </c>
      <c r="H1770" t="n">
        <v>5</v>
      </c>
      <c r="I1770" t="n">
        <v>3999.95</v>
      </c>
      <c r="J1770" t="n">
        <v>19999.75</v>
      </c>
      <c r="K1770" s="13" t="n">
        <v>0.19</v>
      </c>
      <c r="L1770" t="n">
        <v>3799.95</v>
      </c>
      <c r="M1770" t="n">
        <v>23799.7</v>
      </c>
      <c r="N1770" t="inlineStr">
        <is>
          <t>RON</t>
        </is>
      </c>
      <c r="O1770" t="inlineStr">
        <is>
          <t>Târgu Mureș</t>
        </is>
      </c>
      <c r="P1770" s="12" t="n">
        <v>46326</v>
      </c>
      <c r="Q1770">
        <f>IF(COUNTIF(tbl_Localitati[oras_oficial],[@oras])=0,"ORAS NEALINIAT",IF(XLOOKUP([@oras],tbl_Localitati[oras_oficial],tbl_Localitati[judet],"?")&lt;&gt;[@judet],"JUDET NECORESPUNZATOR",""))</f>
        <v/>
      </c>
      <c r="R1770">
        <f>IF(XLOOKUP([@categorie],tbl_RegulriTVA[categorie],tbl_RegulriTVA[cota_legala],-1)&lt;&gt;[@cota_tva],"TVA GRESIT","")</f>
        <v/>
      </c>
      <c r="S1770">
        <f>IF([@data_scadentei]&lt;[@data_factura],"SCADENTA INAINTEA FACTURII","")</f>
        <v/>
      </c>
      <c r="T1770">
        <f>IF(NETWORKDAYS.INTL([@data_factura],[@data_factura],1,tbl_SarbatoriLegale[data])=0,"ZI NELUCRATOARE","")</f>
        <v/>
      </c>
      <c r="U1770">
        <f>IF([@motiv_anomalie]="","OK","DE INVESTIGAT")</f>
        <v/>
      </c>
      <c r="V1770">
        <f>TEXTJOIN("; ",TRUE,[@flag_oras],[@flag_tva],[@flag_scadenta],[@flag_zi])</f>
        <v/>
      </c>
    </row>
    <row r="1771">
      <c r="A1771" t="inlineStr">
        <is>
          <t>F-2025-01770</t>
        </is>
      </c>
      <c r="B1771" s="12" t="n">
        <v>46331</v>
      </c>
      <c r="C1771" t="inlineStr">
        <is>
          <t>SC DACTECH SOLUTIONS SRL</t>
        </is>
      </c>
      <c r="D1771" t="inlineStr">
        <is>
          <t>Argeș</t>
        </is>
      </c>
      <c r="E1771" t="inlineStr">
        <is>
          <t>PRD-006</t>
        </is>
      </c>
      <c r="F1771" t="inlineStr">
        <is>
          <t>Telefon IP birou</t>
        </is>
      </c>
      <c r="G1771" t="inlineStr">
        <is>
          <t>Echipamente birou</t>
        </is>
      </c>
      <c r="H1771" t="n">
        <v>5</v>
      </c>
      <c r="I1771" t="n">
        <v>737.48</v>
      </c>
      <c r="J1771" t="n">
        <v>3687.4</v>
      </c>
      <c r="K1771" s="13" t="n">
        <v>0.19</v>
      </c>
      <c r="L1771" t="n">
        <v>700.61</v>
      </c>
      <c r="M1771" t="n">
        <v>4388.01</v>
      </c>
      <c r="N1771" t="inlineStr">
        <is>
          <t>RON</t>
        </is>
      </c>
      <c r="O1771" t="inlineStr">
        <is>
          <t>Pitești</t>
        </is>
      </c>
      <c r="P1771" s="12" t="n">
        <v>46391</v>
      </c>
      <c r="Q1771">
        <f>IF(COUNTIF(tbl_Localitati[oras_oficial],[@oras])=0,"ORAS NEALINIAT",IF(XLOOKUP([@oras],tbl_Localitati[oras_oficial],tbl_Localitati[judet],"?")&lt;&gt;[@judet],"JUDET NECORESPUNZATOR",""))</f>
        <v/>
      </c>
      <c r="R1771">
        <f>IF(XLOOKUP([@categorie],tbl_RegulriTVA[categorie],tbl_RegulriTVA[cota_legala],-1)&lt;&gt;[@cota_tva],"TVA GRESIT","")</f>
        <v/>
      </c>
      <c r="S1771">
        <f>IF([@data_scadentei]&lt;[@data_factura],"SCADENTA INAINTEA FACTURII","")</f>
        <v/>
      </c>
      <c r="T1771">
        <f>IF(NETWORKDAYS.INTL([@data_factura],[@data_factura],1,tbl_SarbatoriLegale[data])=0,"ZI NELUCRATOARE","")</f>
        <v/>
      </c>
      <c r="U1771">
        <f>IF([@motiv_anomalie]="","OK","DE INVESTIGAT")</f>
        <v/>
      </c>
      <c r="V1771">
        <f>TEXTJOIN("; ",TRUE,[@flag_oras],[@flag_tva],[@flag_scadenta],[@flag_zi])</f>
        <v/>
      </c>
    </row>
    <row r="1772">
      <c r="A1772" t="inlineStr">
        <is>
          <t>F-2025-01771</t>
        </is>
      </c>
      <c r="B1772" s="12" t="n">
        <v>46293</v>
      </c>
      <c r="C1772" t="inlineStr">
        <is>
          <t>SC SOLARIS ENERGY SRL</t>
        </is>
      </c>
      <c r="D1772" t="inlineStr">
        <is>
          <t>Prahova</t>
        </is>
      </c>
      <c r="E1772" t="inlineStr">
        <is>
          <t>PRD-007</t>
        </is>
      </c>
      <c r="F1772" t="inlineStr">
        <is>
          <t>Laptop business 15"</t>
        </is>
      </c>
      <c r="G1772" t="inlineStr">
        <is>
          <t>Hardware IT</t>
        </is>
      </c>
      <c r="H1772" t="n">
        <v>5</v>
      </c>
      <c r="I1772" t="n">
        <v>186.85</v>
      </c>
      <c r="J1772" t="n">
        <v>934.25</v>
      </c>
      <c r="K1772" s="13" t="n">
        <v>0.19</v>
      </c>
      <c r="L1772" t="n">
        <v>177.51</v>
      </c>
      <c r="M1772" t="n">
        <v>1111.76</v>
      </c>
      <c r="N1772" t="inlineStr">
        <is>
          <t>RON</t>
        </is>
      </c>
      <c r="O1772" t="inlineStr">
        <is>
          <t>Câmpina</t>
        </is>
      </c>
      <c r="P1772" s="12" t="n">
        <v>46338</v>
      </c>
      <c r="Q1772">
        <f>IF(COUNTIF(tbl_Localitati[oras_oficial],[@oras])=0,"ORAS NEALINIAT",IF(XLOOKUP([@oras],tbl_Localitati[oras_oficial],tbl_Localitati[judet],"?")&lt;&gt;[@judet],"JUDET NECORESPUNZATOR",""))</f>
        <v/>
      </c>
      <c r="R1772">
        <f>IF(XLOOKUP([@categorie],tbl_RegulriTVA[categorie],tbl_RegulriTVA[cota_legala],-1)&lt;&gt;[@cota_tva],"TVA GRESIT","")</f>
        <v/>
      </c>
      <c r="S1772">
        <f>IF([@data_scadentei]&lt;[@data_factura],"SCADENTA INAINTEA FACTURII","")</f>
        <v/>
      </c>
      <c r="T1772">
        <f>IF(NETWORKDAYS.INTL([@data_factura],[@data_factura],1,tbl_SarbatoriLegale[data])=0,"ZI NELUCRATOARE","")</f>
        <v/>
      </c>
      <c r="U1772">
        <f>IF([@motiv_anomalie]="","OK","DE INVESTIGAT")</f>
        <v/>
      </c>
      <c r="V1772">
        <f>TEXTJOIN("; ",TRUE,[@flag_oras],[@flag_tva],[@flag_scadenta],[@flag_zi])</f>
        <v/>
      </c>
    </row>
    <row r="1773">
      <c r="A1773" t="inlineStr">
        <is>
          <t>F-2025-01772</t>
        </is>
      </c>
      <c r="B1773" s="12" t="n">
        <v>46314</v>
      </c>
      <c r="C1773" t="inlineStr">
        <is>
          <t>SC DACTECH SOLUTIONS SRL</t>
        </is>
      </c>
      <c r="D1773" t="inlineStr">
        <is>
          <t>Argeș</t>
        </is>
      </c>
      <c r="E1773" t="inlineStr">
        <is>
          <t>PRD-011</t>
        </is>
      </c>
      <c r="F1773" t="inlineStr">
        <is>
          <t>Switch gigabit 24p</t>
        </is>
      </c>
      <c r="G1773" t="inlineStr">
        <is>
          <t>Hardware IT</t>
        </is>
      </c>
      <c r="H1773" t="n">
        <v>50</v>
      </c>
      <c r="I1773" t="n">
        <v>44.08</v>
      </c>
      <c r="J1773" t="n">
        <v>2204</v>
      </c>
      <c r="K1773" s="13" t="n">
        <v>0.19</v>
      </c>
      <c r="L1773" t="n">
        <v>418.76</v>
      </c>
      <c r="M1773" t="n">
        <v>2622.76</v>
      </c>
      <c r="N1773" t="inlineStr">
        <is>
          <t>EUR</t>
        </is>
      </c>
      <c r="O1773" t="inlineStr">
        <is>
          <t>Pitești</t>
        </is>
      </c>
      <c r="P1773" s="12" t="n">
        <v>46359</v>
      </c>
      <c r="Q1773">
        <f>IF(COUNTIF(tbl_Localitati[oras_oficial],[@oras])=0,"ORAS NEALINIAT",IF(XLOOKUP([@oras],tbl_Localitati[oras_oficial],tbl_Localitati[judet],"?")&lt;&gt;[@judet],"JUDET NECORESPUNZATOR",""))</f>
        <v/>
      </c>
      <c r="R1773">
        <f>IF(XLOOKUP([@categorie],tbl_RegulriTVA[categorie],tbl_RegulriTVA[cota_legala],-1)&lt;&gt;[@cota_tva],"TVA GRESIT","")</f>
        <v/>
      </c>
      <c r="S1773">
        <f>IF([@data_scadentei]&lt;[@data_factura],"SCADENTA INAINTEA FACTURII","")</f>
        <v/>
      </c>
      <c r="T1773">
        <f>IF(NETWORKDAYS.INTL([@data_factura],[@data_factura],1,tbl_SarbatoriLegale[data])=0,"ZI NELUCRATOARE","")</f>
        <v/>
      </c>
      <c r="U1773">
        <f>IF([@motiv_anomalie]="","OK","DE INVESTIGAT")</f>
        <v/>
      </c>
      <c r="V1773">
        <f>TEXTJOIN("; ",TRUE,[@flag_oras],[@flag_tva],[@flag_scadenta],[@flag_zi])</f>
        <v/>
      </c>
    </row>
    <row r="1774">
      <c r="A1774" t="inlineStr">
        <is>
          <t>F-2025-01773</t>
        </is>
      </c>
      <c r="B1774" s="12" t="n">
        <v>46175</v>
      </c>
      <c r="C1774" t="inlineStr">
        <is>
          <t>SC AROMET TRADING SRL</t>
        </is>
      </c>
      <c r="D1774" t="inlineStr">
        <is>
          <t>Alba</t>
        </is>
      </c>
      <c r="E1774" t="inlineStr">
        <is>
          <t>PRD-004</t>
        </is>
      </c>
      <c r="F1774" t="inlineStr">
        <is>
          <t>Monitor 27" 4K</t>
        </is>
      </c>
      <c r="G1774" t="inlineStr">
        <is>
          <t>Hardware IT</t>
        </is>
      </c>
      <c r="H1774" t="n">
        <v>10</v>
      </c>
      <c r="I1774" t="n">
        <v>932.1799999999999</v>
      </c>
      <c r="J1774" t="n">
        <v>9321.799999999999</v>
      </c>
      <c r="K1774" s="13" t="n">
        <v>0.19</v>
      </c>
      <c r="L1774" t="n">
        <v>1771.14</v>
      </c>
      <c r="M1774" t="n">
        <v>11092.94</v>
      </c>
      <c r="N1774" t="inlineStr">
        <is>
          <t>RON</t>
        </is>
      </c>
      <c r="O1774" t="inlineStr">
        <is>
          <t>Alba Iulia</t>
        </is>
      </c>
      <c r="P1774" s="12" t="n">
        <v>46205</v>
      </c>
      <c r="Q1774">
        <f>IF(COUNTIF(tbl_Localitati[oras_oficial],[@oras])=0,"ORAS NEALINIAT",IF(XLOOKUP([@oras],tbl_Localitati[oras_oficial],tbl_Localitati[judet],"?")&lt;&gt;[@judet],"JUDET NECORESPUNZATOR",""))</f>
        <v/>
      </c>
      <c r="R1774">
        <f>IF(XLOOKUP([@categorie],tbl_RegulriTVA[categorie],tbl_RegulriTVA[cota_legala],-1)&lt;&gt;[@cota_tva],"TVA GRESIT","")</f>
        <v/>
      </c>
      <c r="S1774">
        <f>IF([@data_scadentei]&lt;[@data_factura],"SCADENTA INAINTEA FACTURII","")</f>
        <v/>
      </c>
      <c r="T1774">
        <f>IF(NETWORKDAYS.INTL([@data_factura],[@data_factura],1,tbl_SarbatoriLegale[data])=0,"ZI NELUCRATOARE","")</f>
        <v/>
      </c>
      <c r="U1774">
        <f>IF([@motiv_anomalie]="","OK","DE INVESTIGAT")</f>
        <v/>
      </c>
      <c r="V1774">
        <f>TEXTJOIN("; ",TRUE,[@flag_oras],[@flag_tva],[@flag_scadenta],[@flag_zi])</f>
        <v/>
      </c>
    </row>
    <row r="1775">
      <c r="A1775" t="inlineStr">
        <is>
          <t>F-2025-01774</t>
        </is>
      </c>
      <c r="B1775" s="12" t="n">
        <v>46037</v>
      </c>
      <c r="C1775" t="inlineStr">
        <is>
          <t>SC RAPID LOGISTIC SA</t>
        </is>
      </c>
      <c r="D1775" t="inlineStr">
        <is>
          <t>Prahova</t>
        </is>
      </c>
      <c r="E1775" t="inlineStr">
        <is>
          <t>PRD-005</t>
        </is>
      </c>
      <c r="F1775" t="inlineStr">
        <is>
          <t>Telefon IP birou</t>
        </is>
      </c>
      <c r="G1775" t="inlineStr">
        <is>
          <t>Echipamente birou</t>
        </is>
      </c>
      <c r="H1775" t="n">
        <v>1</v>
      </c>
      <c r="I1775" t="n">
        <v>253.16</v>
      </c>
      <c r="J1775" t="n">
        <v>253.16</v>
      </c>
      <c r="K1775" s="13" t="n">
        <v>0.19</v>
      </c>
      <c r="L1775" t="n">
        <v>48.1</v>
      </c>
      <c r="M1775" t="n">
        <v>301.26</v>
      </c>
      <c r="N1775" t="inlineStr">
        <is>
          <t>RON</t>
        </is>
      </c>
      <c r="O1775" t="inlineStr">
        <is>
          <t>Ploiești</t>
        </is>
      </c>
      <c r="P1775" s="12" t="n">
        <v>46067</v>
      </c>
      <c r="Q1775">
        <f>IF(COUNTIF(tbl_Localitati[oras_oficial],[@oras])=0,"ORAS NEALINIAT",IF(XLOOKUP([@oras],tbl_Localitati[oras_oficial],tbl_Localitati[judet],"?")&lt;&gt;[@judet],"JUDET NECORESPUNZATOR",""))</f>
        <v/>
      </c>
      <c r="R1775">
        <f>IF(XLOOKUP([@categorie],tbl_RegulriTVA[categorie],tbl_RegulriTVA[cota_legala],-1)&lt;&gt;[@cota_tva],"TVA GRESIT","")</f>
        <v/>
      </c>
      <c r="S1775">
        <f>IF([@data_scadentei]&lt;[@data_factura],"SCADENTA INAINTEA FACTURII","")</f>
        <v/>
      </c>
      <c r="T1775">
        <f>IF(NETWORKDAYS.INTL([@data_factura],[@data_factura],1,tbl_SarbatoriLegale[data])=0,"ZI NELUCRATOARE","")</f>
        <v/>
      </c>
      <c r="U1775">
        <f>IF([@motiv_anomalie]="","OK","DE INVESTIGAT")</f>
        <v/>
      </c>
      <c r="V1775">
        <f>TEXTJOIN("; ",TRUE,[@flag_oras],[@flag_tva],[@flag_scadenta],[@flag_zi])</f>
        <v/>
      </c>
    </row>
    <row r="1776">
      <c r="A1776" t="inlineStr">
        <is>
          <t>F-2025-01775</t>
        </is>
      </c>
      <c r="B1776" s="12" t="n">
        <v>46358</v>
      </c>
      <c r="C1776" t="inlineStr">
        <is>
          <t>SC PROVITA MEDICAL SRL</t>
        </is>
      </c>
      <c r="D1776" t="inlineStr">
        <is>
          <t>Mureș</t>
        </is>
      </c>
      <c r="E1776" t="inlineStr">
        <is>
          <t>PRD-005</t>
        </is>
      </c>
      <c r="F1776" t="inlineStr">
        <is>
          <t>Audit infrastructura</t>
        </is>
      </c>
      <c r="G1776" t="inlineStr">
        <is>
          <t>Servicii consultanță</t>
        </is>
      </c>
      <c r="H1776" t="n">
        <v>1</v>
      </c>
      <c r="I1776" t="n">
        <v>252.73</v>
      </c>
      <c r="J1776" t="n">
        <v>252.73</v>
      </c>
      <c r="K1776" s="13" t="n">
        <v>0.19</v>
      </c>
      <c r="L1776" t="n">
        <v>48.02</v>
      </c>
      <c r="M1776" t="n">
        <v>300.75</v>
      </c>
      <c r="N1776" t="inlineStr">
        <is>
          <t>RON</t>
        </is>
      </c>
      <c r="O1776" t="inlineStr">
        <is>
          <t>Târgu Mureș</t>
        </is>
      </c>
      <c r="P1776" s="12" t="n">
        <v>46418</v>
      </c>
      <c r="Q1776">
        <f>IF(COUNTIF(tbl_Localitati[oras_oficial],[@oras])=0,"ORAS NEALINIAT",IF(XLOOKUP([@oras],tbl_Localitati[oras_oficial],tbl_Localitati[judet],"?")&lt;&gt;[@judet],"JUDET NECORESPUNZATOR",""))</f>
        <v/>
      </c>
      <c r="R1776">
        <f>IF(XLOOKUP([@categorie],tbl_RegulriTVA[categorie],tbl_RegulriTVA[cota_legala],-1)&lt;&gt;[@cota_tva],"TVA GRESIT","")</f>
        <v/>
      </c>
      <c r="S1776">
        <f>IF([@data_scadentei]&lt;[@data_factura],"SCADENTA INAINTEA FACTURII","")</f>
        <v/>
      </c>
      <c r="T1776">
        <f>IF(NETWORKDAYS.INTL([@data_factura],[@data_factura],1,tbl_SarbatoriLegale[data])=0,"ZI NELUCRATOARE","")</f>
        <v/>
      </c>
      <c r="U1776">
        <f>IF([@motiv_anomalie]="","OK","DE INVESTIGAT")</f>
        <v/>
      </c>
      <c r="V1776">
        <f>TEXTJOIN("; ",TRUE,[@flag_oras],[@flag_tva],[@flag_scadenta],[@flag_zi])</f>
        <v/>
      </c>
    </row>
    <row r="1777">
      <c r="A1777" t="inlineStr">
        <is>
          <t>F-2025-01776</t>
        </is>
      </c>
      <c r="B1777" s="12" t="n">
        <v>46062</v>
      </c>
      <c r="C1777" t="inlineStr">
        <is>
          <t>SC OMEGA SOFT SRL</t>
        </is>
      </c>
      <c r="D1777" t="inlineStr">
        <is>
          <t>Dolj</t>
        </is>
      </c>
      <c r="E1777" t="inlineStr">
        <is>
          <t>PRD-007</t>
        </is>
      </c>
      <c r="F1777" t="inlineStr">
        <is>
          <t>Videoproiector sala</t>
        </is>
      </c>
      <c r="G1777" t="inlineStr">
        <is>
          <t>Echipamente birou</t>
        </is>
      </c>
      <c r="H1777" t="n">
        <v>5</v>
      </c>
      <c r="I1777" t="n">
        <v>180.66</v>
      </c>
      <c r="J1777" t="n">
        <v>903.3</v>
      </c>
      <c r="K1777" s="13" t="n">
        <v>0.19</v>
      </c>
      <c r="L1777" t="n">
        <v>171.63</v>
      </c>
      <c r="M1777" t="n">
        <v>1074.93</v>
      </c>
      <c r="N1777" t="inlineStr">
        <is>
          <t>RON</t>
        </is>
      </c>
      <c r="O1777" t="inlineStr">
        <is>
          <t>Craiova</t>
        </is>
      </c>
      <c r="P1777" s="12" t="n">
        <v>46092</v>
      </c>
      <c r="Q1777">
        <f>IF(COUNTIF(tbl_Localitati[oras_oficial],[@oras])=0,"ORAS NEALINIAT",IF(XLOOKUP([@oras],tbl_Localitati[oras_oficial],tbl_Localitati[judet],"?")&lt;&gt;[@judet],"JUDET NECORESPUNZATOR",""))</f>
        <v/>
      </c>
      <c r="R1777">
        <f>IF(XLOOKUP([@categorie],tbl_RegulriTVA[categorie],tbl_RegulriTVA[cota_legala],-1)&lt;&gt;[@cota_tva],"TVA GRESIT","")</f>
        <v/>
      </c>
      <c r="S1777">
        <f>IF([@data_scadentei]&lt;[@data_factura],"SCADENTA INAINTEA FACTURII","")</f>
        <v/>
      </c>
      <c r="T1777">
        <f>IF(NETWORKDAYS.INTL([@data_factura],[@data_factura],1,tbl_SarbatoriLegale[data])=0,"ZI NELUCRATOARE","")</f>
        <v/>
      </c>
      <c r="U1777">
        <f>IF([@motiv_anomalie]="","OK","DE INVESTIGAT")</f>
        <v/>
      </c>
      <c r="V1777">
        <f>TEXTJOIN("; ",TRUE,[@flag_oras],[@flag_tva],[@flag_scadenta],[@flag_zi])</f>
        <v/>
      </c>
    </row>
    <row r="1778">
      <c r="A1778" t="inlineStr">
        <is>
          <t>F-2025-01777</t>
        </is>
      </c>
      <c r="B1778" s="12" t="n">
        <v>46103</v>
      </c>
      <c r="C1778" t="inlineStr">
        <is>
          <t>SC AROMET TRADING SRL</t>
        </is>
      </c>
      <c r="D1778" t="inlineStr">
        <is>
          <t>Alba</t>
        </is>
      </c>
      <c r="E1778" t="inlineStr">
        <is>
          <t>PRD-009</t>
        </is>
      </c>
      <c r="F1778" t="inlineStr">
        <is>
          <t>Dezinfectant maini 5L</t>
        </is>
      </c>
      <c r="G1778" t="inlineStr">
        <is>
          <t>Produse farmaceutice</t>
        </is>
      </c>
      <c r="H1778" t="n">
        <v>50</v>
      </c>
      <c r="I1778" t="n">
        <v>28.26</v>
      </c>
      <c r="J1778" t="n">
        <v>1413</v>
      </c>
      <c r="K1778" s="13" t="n">
        <v>0.09</v>
      </c>
      <c r="L1778" t="n">
        <v>127.17</v>
      </c>
      <c r="M1778" t="n">
        <v>1540.17</v>
      </c>
      <c r="N1778" t="inlineStr">
        <is>
          <t>RON</t>
        </is>
      </c>
      <c r="O1778" t="inlineStr">
        <is>
          <t>Alba Iulia</t>
        </is>
      </c>
      <c r="P1778" s="12" t="n">
        <v>46133</v>
      </c>
      <c r="Q1778">
        <f>IF(COUNTIF(tbl_Localitati[oras_oficial],[@oras])=0,"ORAS NEALINIAT",IF(XLOOKUP([@oras],tbl_Localitati[oras_oficial],tbl_Localitati[judet],"?")&lt;&gt;[@judet],"JUDET NECORESPUNZATOR",""))</f>
        <v/>
      </c>
      <c r="R1778">
        <f>IF(XLOOKUP([@categorie],tbl_RegulriTVA[categorie],tbl_RegulriTVA[cota_legala],-1)&lt;&gt;[@cota_tva],"TVA GRESIT","")</f>
        <v/>
      </c>
      <c r="S1778">
        <f>IF([@data_scadentei]&lt;[@data_factura],"SCADENTA INAINTEA FACTURII","")</f>
        <v/>
      </c>
      <c r="T1778">
        <f>IF(NETWORKDAYS.INTL([@data_factura],[@data_factura],1,tbl_SarbatoriLegale[data])=0,"ZI NELUCRATOARE","")</f>
        <v/>
      </c>
      <c r="U1778">
        <f>IF([@motiv_anomalie]="","OK","DE INVESTIGAT")</f>
        <v/>
      </c>
      <c r="V1778">
        <f>TEXTJOIN("; ",TRUE,[@flag_oras],[@flag_tva],[@flag_scadenta],[@flag_zi])</f>
        <v/>
      </c>
    </row>
    <row r="1779">
      <c r="A1779" t="inlineStr">
        <is>
          <t>F-2025-01778</t>
        </is>
      </c>
      <c r="B1779" s="12" t="n">
        <v>46296</v>
      </c>
      <c r="C1779" t="inlineStr">
        <is>
          <t>SC FARMAVITAL DISTRIBUTIE SA</t>
        </is>
      </c>
      <c r="D1779" t="inlineStr">
        <is>
          <t>Bihor</t>
        </is>
      </c>
      <c r="E1779" t="inlineStr">
        <is>
          <t>PRD-001</t>
        </is>
      </c>
      <c r="F1779" t="inlineStr">
        <is>
          <t>Trusa prim ajutor</t>
        </is>
      </c>
      <c r="G1779" t="inlineStr">
        <is>
          <t>Produse farmaceutice</t>
        </is>
      </c>
      <c r="H1779" t="n">
        <v>2</v>
      </c>
      <c r="I1779" t="n">
        <v>2373.52</v>
      </c>
      <c r="J1779" t="n">
        <v>4747.04</v>
      </c>
      <c r="K1779" s="13" t="n">
        <v>0.09</v>
      </c>
      <c r="L1779" t="n">
        <v>427.23</v>
      </c>
      <c r="M1779" t="n">
        <v>5174.27</v>
      </c>
      <c r="N1779" t="inlineStr">
        <is>
          <t>EUR</t>
        </is>
      </c>
      <c r="O1779" t="inlineStr">
        <is>
          <t>Oradea</t>
        </is>
      </c>
      <c r="P1779" s="12" t="n">
        <v>46311</v>
      </c>
      <c r="Q1779">
        <f>IF(COUNTIF(tbl_Localitati[oras_oficial],[@oras])=0,"ORAS NEALINIAT",IF(XLOOKUP([@oras],tbl_Localitati[oras_oficial],tbl_Localitati[judet],"?")&lt;&gt;[@judet],"JUDET NECORESPUNZATOR",""))</f>
        <v/>
      </c>
      <c r="R1779">
        <f>IF(XLOOKUP([@categorie],tbl_RegulriTVA[categorie],tbl_RegulriTVA[cota_legala],-1)&lt;&gt;[@cota_tva],"TVA GRESIT","")</f>
        <v/>
      </c>
      <c r="S1779">
        <f>IF([@data_scadentei]&lt;[@data_factura],"SCADENTA INAINTEA FACTURII","")</f>
        <v/>
      </c>
      <c r="T1779">
        <f>IF(NETWORKDAYS.INTL([@data_factura],[@data_factura],1,tbl_SarbatoriLegale[data])=0,"ZI NELUCRATOARE","")</f>
        <v/>
      </c>
      <c r="U1779">
        <f>IF([@motiv_anomalie]="","OK","DE INVESTIGAT")</f>
        <v/>
      </c>
      <c r="V1779">
        <f>TEXTJOIN("; ",TRUE,[@flag_oras],[@flag_tva],[@flag_scadenta],[@flag_zi])</f>
        <v/>
      </c>
    </row>
    <row r="1780">
      <c r="A1780" t="inlineStr">
        <is>
          <t>F-2025-01779</t>
        </is>
      </c>
      <c r="B1780" s="12" t="n">
        <v>46287</v>
      </c>
      <c r="C1780" t="inlineStr">
        <is>
          <t>SC METALPLAST INVEST SA</t>
        </is>
      </c>
      <c r="D1780" t="inlineStr">
        <is>
          <t>Cluj</t>
        </is>
      </c>
      <c r="E1780" t="inlineStr">
        <is>
          <t>PRD-006</t>
        </is>
      </c>
      <c r="F1780" t="inlineStr">
        <is>
          <t>Monitor 27" 4K</t>
        </is>
      </c>
      <c r="G1780" t="inlineStr">
        <is>
          <t>Hardware IT</t>
        </is>
      </c>
      <c r="H1780" t="n">
        <v>10</v>
      </c>
      <c r="I1780" t="n">
        <v>777.95</v>
      </c>
      <c r="J1780" t="n">
        <v>7779.5</v>
      </c>
      <c r="K1780" s="13" t="n">
        <v>0.19</v>
      </c>
      <c r="L1780" t="n">
        <v>1478.11</v>
      </c>
      <c r="M1780" t="n">
        <v>9257.610000000001</v>
      </c>
      <c r="N1780" t="inlineStr">
        <is>
          <t>RON</t>
        </is>
      </c>
      <c r="O1780" t="inlineStr">
        <is>
          <t>Galati Port</t>
        </is>
      </c>
      <c r="P1780" s="12" t="n">
        <v>46317</v>
      </c>
      <c r="Q1780">
        <f>IF(COUNTIF(tbl_Localitati[oras_oficial],[@oras])=0,"ORAS NEALINIAT",IF(XLOOKUP([@oras],tbl_Localitati[oras_oficial],tbl_Localitati[judet],"?")&lt;&gt;[@judet],"JUDET NECORESPUNZATOR",""))</f>
        <v/>
      </c>
      <c r="R1780">
        <f>IF(XLOOKUP([@categorie],tbl_RegulriTVA[categorie],tbl_RegulriTVA[cota_legala],-1)&lt;&gt;[@cota_tva],"TVA GRESIT","")</f>
        <v/>
      </c>
      <c r="S1780">
        <f>IF([@data_scadentei]&lt;[@data_factura],"SCADENTA INAINTEA FACTURII","")</f>
        <v/>
      </c>
      <c r="T1780">
        <f>IF(NETWORKDAYS.INTL([@data_factura],[@data_factura],1,tbl_SarbatoriLegale[data])=0,"ZI NELUCRATOARE","")</f>
        <v/>
      </c>
      <c r="U1780">
        <f>IF([@motiv_anomalie]="","OK","DE INVESTIGAT")</f>
        <v/>
      </c>
      <c r="V1780">
        <f>TEXTJOIN("; ",TRUE,[@flag_oras],[@flag_tva],[@flag_scadenta],[@flag_zi])</f>
        <v/>
      </c>
    </row>
    <row r="1781">
      <c r="A1781" t="inlineStr">
        <is>
          <t>F-2025-01780</t>
        </is>
      </c>
      <c r="B1781" s="12" t="n">
        <v>46223</v>
      </c>
      <c r="C1781" t="inlineStr">
        <is>
          <t>SC OMEGA SOFT SRL</t>
        </is>
      </c>
      <c r="D1781" t="inlineStr">
        <is>
          <t>Dolj</t>
        </is>
      </c>
      <c r="E1781" t="inlineStr">
        <is>
          <t>PRD-011</t>
        </is>
      </c>
      <c r="F1781" t="inlineStr">
        <is>
          <t>Server rack 1U</t>
        </is>
      </c>
      <c r="G1781" t="inlineStr">
        <is>
          <t>Hardware IT</t>
        </is>
      </c>
      <c r="H1781" t="n">
        <v>5</v>
      </c>
      <c r="I1781" t="n">
        <v>45.64</v>
      </c>
      <c r="J1781" t="n">
        <v>228.2</v>
      </c>
      <c r="K1781" s="13" t="n">
        <v>0.19</v>
      </c>
      <c r="L1781" t="n">
        <v>43.36</v>
      </c>
      <c r="M1781" t="n">
        <v>271.56</v>
      </c>
      <c r="N1781" t="inlineStr">
        <is>
          <t>RON</t>
        </is>
      </c>
      <c r="O1781" t="inlineStr">
        <is>
          <t>Craiova</t>
        </is>
      </c>
      <c r="P1781" s="12" t="n">
        <v>46283</v>
      </c>
      <c r="Q1781">
        <f>IF(COUNTIF(tbl_Localitati[oras_oficial],[@oras])=0,"ORAS NEALINIAT",IF(XLOOKUP([@oras],tbl_Localitati[oras_oficial],tbl_Localitati[judet],"?")&lt;&gt;[@judet],"JUDET NECORESPUNZATOR",""))</f>
        <v/>
      </c>
      <c r="R1781">
        <f>IF(XLOOKUP([@categorie],tbl_RegulriTVA[categorie],tbl_RegulriTVA[cota_legala],-1)&lt;&gt;[@cota_tva],"TVA GRESIT","")</f>
        <v/>
      </c>
      <c r="S1781">
        <f>IF([@data_scadentei]&lt;[@data_factura],"SCADENTA INAINTEA FACTURII","")</f>
        <v/>
      </c>
      <c r="T1781">
        <f>IF(NETWORKDAYS.INTL([@data_factura],[@data_factura],1,tbl_SarbatoriLegale[data])=0,"ZI NELUCRATOARE","")</f>
        <v/>
      </c>
      <c r="U1781">
        <f>IF([@motiv_anomalie]="","OK","DE INVESTIGAT")</f>
        <v/>
      </c>
      <c r="V1781">
        <f>TEXTJOIN("; ",TRUE,[@flag_oras],[@flag_tva],[@flag_scadenta],[@flag_zi])</f>
        <v/>
      </c>
    </row>
    <row r="1782">
      <c r="A1782" t="inlineStr">
        <is>
          <t>F-2025-01781</t>
        </is>
      </c>
      <c r="B1782" s="12" t="n">
        <v>46317</v>
      </c>
      <c r="C1782" t="inlineStr">
        <is>
          <t>SC RAPID LOGISTIC SA</t>
        </is>
      </c>
      <c r="D1782" t="inlineStr">
        <is>
          <t>Prahova</t>
        </is>
      </c>
      <c r="E1782" t="inlineStr">
        <is>
          <t>PRD-010</t>
        </is>
      </c>
      <c r="F1782" t="inlineStr">
        <is>
          <t>Dezinfectant maini 5L</t>
        </is>
      </c>
      <c r="G1782" t="inlineStr">
        <is>
          <t>Produse farmaceutice</t>
        </is>
      </c>
      <c r="H1782" t="n">
        <v>5</v>
      </c>
      <c r="I1782" t="n">
        <v>362.16</v>
      </c>
      <c r="J1782" t="n">
        <v>1810.8</v>
      </c>
      <c r="K1782" s="13" t="n">
        <v>0.09</v>
      </c>
      <c r="L1782" t="n">
        <v>162.97</v>
      </c>
      <c r="M1782" t="n">
        <v>1973.77</v>
      </c>
      <c r="N1782" t="inlineStr">
        <is>
          <t>RON</t>
        </is>
      </c>
      <c r="O1782" t="inlineStr">
        <is>
          <t>Ploiești</t>
        </is>
      </c>
      <c r="P1782" s="12" t="n">
        <v>46362</v>
      </c>
      <c r="Q1782">
        <f>IF(COUNTIF(tbl_Localitati[oras_oficial],[@oras])=0,"ORAS NEALINIAT",IF(XLOOKUP([@oras],tbl_Localitati[oras_oficial],tbl_Localitati[judet],"?")&lt;&gt;[@judet],"JUDET NECORESPUNZATOR",""))</f>
        <v/>
      </c>
      <c r="R1782">
        <f>IF(XLOOKUP([@categorie],tbl_RegulriTVA[categorie],tbl_RegulriTVA[cota_legala],-1)&lt;&gt;[@cota_tva],"TVA GRESIT","")</f>
        <v/>
      </c>
      <c r="S1782">
        <f>IF([@data_scadentei]&lt;[@data_factura],"SCADENTA INAINTEA FACTURII","")</f>
        <v/>
      </c>
      <c r="T1782">
        <f>IF(NETWORKDAYS.INTL([@data_factura],[@data_factura],1,tbl_SarbatoriLegale[data])=0,"ZI NELUCRATOARE","")</f>
        <v/>
      </c>
      <c r="U1782">
        <f>IF([@motiv_anomalie]="","OK","DE INVESTIGAT")</f>
        <v/>
      </c>
      <c r="V1782">
        <f>TEXTJOIN("; ",TRUE,[@flag_oras],[@flag_tva],[@flag_scadenta],[@flag_zi])</f>
        <v/>
      </c>
    </row>
    <row r="1783">
      <c r="A1783" t="inlineStr">
        <is>
          <t>F-2025-01782</t>
        </is>
      </c>
      <c r="B1783" s="12" t="n">
        <v>46231</v>
      </c>
      <c r="C1783" t="inlineStr">
        <is>
          <t>SC RAPID LOGISTIC SA</t>
        </is>
      </c>
      <c r="D1783" t="inlineStr">
        <is>
          <t>Prahova</t>
        </is>
      </c>
      <c r="E1783" t="inlineStr">
        <is>
          <t>PRD-002</t>
        </is>
      </c>
      <c r="F1783" t="inlineStr">
        <is>
          <t>Multifunctionala laser</t>
        </is>
      </c>
      <c r="G1783" t="inlineStr">
        <is>
          <t>Echipamente birou</t>
        </is>
      </c>
      <c r="H1783" t="n">
        <v>2</v>
      </c>
      <c r="I1783" t="n">
        <v>1117.73</v>
      </c>
      <c r="J1783" t="n">
        <v>2235.46</v>
      </c>
      <c r="K1783" s="13" t="n">
        <v>0.19</v>
      </c>
      <c r="L1783" t="n">
        <v>424.74</v>
      </c>
      <c r="M1783" t="n">
        <v>2660.2</v>
      </c>
      <c r="N1783" t="inlineStr">
        <is>
          <t>RON</t>
        </is>
      </c>
      <c r="O1783" t="inlineStr">
        <is>
          <t>Ploiești</t>
        </is>
      </c>
      <c r="P1783" s="12" t="n">
        <v>46261</v>
      </c>
      <c r="Q1783">
        <f>IF(COUNTIF(tbl_Localitati[oras_oficial],[@oras])=0,"ORAS NEALINIAT",IF(XLOOKUP([@oras],tbl_Localitati[oras_oficial],tbl_Localitati[judet],"?")&lt;&gt;[@judet],"JUDET NECORESPUNZATOR",""))</f>
        <v/>
      </c>
      <c r="R1783">
        <f>IF(XLOOKUP([@categorie],tbl_RegulriTVA[categorie],tbl_RegulriTVA[cota_legala],-1)&lt;&gt;[@cota_tva],"TVA GRESIT","")</f>
        <v/>
      </c>
      <c r="S1783">
        <f>IF([@data_scadentei]&lt;[@data_factura],"SCADENTA INAINTEA FACTURII","")</f>
        <v/>
      </c>
      <c r="T1783">
        <f>IF(NETWORKDAYS.INTL([@data_factura],[@data_factura],1,tbl_SarbatoriLegale[data])=0,"ZI NELUCRATOARE","")</f>
        <v/>
      </c>
      <c r="U1783">
        <f>IF([@motiv_anomalie]="","OK","DE INVESTIGAT")</f>
        <v/>
      </c>
      <c r="V1783">
        <f>TEXTJOIN("; ",TRUE,[@flag_oras],[@flag_tva],[@flag_scadenta],[@flag_zi])</f>
        <v/>
      </c>
    </row>
    <row r="1784">
      <c r="A1784" t="inlineStr">
        <is>
          <t>F-2025-01783</t>
        </is>
      </c>
      <c r="B1784" s="12" t="n">
        <v>46090</v>
      </c>
      <c r="C1784" t="inlineStr">
        <is>
          <t>SC METALPLAST INVEST SA</t>
        </is>
      </c>
      <c r="D1784" t="inlineStr">
        <is>
          <t>Cluj</t>
        </is>
      </c>
      <c r="E1784" t="inlineStr">
        <is>
          <t>PRD-001</t>
        </is>
      </c>
      <c r="F1784" t="inlineStr">
        <is>
          <t>Carte tehnica IT</t>
        </is>
      </c>
      <c r="G1784" t="inlineStr">
        <is>
          <t>Cărți și manuale</t>
        </is>
      </c>
      <c r="H1784" t="n">
        <v>1</v>
      </c>
      <c r="I1784" t="n">
        <v>2464.44</v>
      </c>
      <c r="J1784" t="n">
        <v>2464.44</v>
      </c>
      <c r="K1784" s="13" t="n">
        <v>0.05</v>
      </c>
      <c r="L1784" t="n">
        <v>123.22</v>
      </c>
      <c r="M1784" t="n">
        <v>2587.66</v>
      </c>
      <c r="N1784" t="inlineStr">
        <is>
          <t>RON</t>
        </is>
      </c>
      <c r="O1784" t="inlineStr">
        <is>
          <t>Turda</t>
        </is>
      </c>
      <c r="P1784" s="12" t="n">
        <v>46120</v>
      </c>
      <c r="Q1784">
        <f>IF(COUNTIF(tbl_Localitati[oras_oficial],[@oras])=0,"ORAS NEALINIAT",IF(XLOOKUP([@oras],tbl_Localitati[oras_oficial],tbl_Localitati[judet],"?")&lt;&gt;[@judet],"JUDET NECORESPUNZATOR",""))</f>
        <v/>
      </c>
      <c r="R1784">
        <f>IF(XLOOKUP([@categorie],tbl_RegulriTVA[categorie],tbl_RegulriTVA[cota_legala],-1)&lt;&gt;[@cota_tva],"TVA GRESIT","")</f>
        <v/>
      </c>
      <c r="S1784">
        <f>IF([@data_scadentei]&lt;[@data_factura],"SCADENTA INAINTEA FACTURII","")</f>
        <v/>
      </c>
      <c r="T1784">
        <f>IF(NETWORKDAYS.INTL([@data_factura],[@data_factura],1,tbl_SarbatoriLegale[data])=0,"ZI NELUCRATOARE","")</f>
        <v/>
      </c>
      <c r="U1784">
        <f>IF([@motiv_anomalie]="","OK","DE INVESTIGAT")</f>
        <v/>
      </c>
      <c r="V1784">
        <f>TEXTJOIN("; ",TRUE,[@flag_oras],[@flag_tva],[@flag_scadenta],[@flag_zi])</f>
        <v/>
      </c>
    </row>
    <row r="1785">
      <c r="A1785" t="inlineStr">
        <is>
          <t>F-2025-01784</t>
        </is>
      </c>
      <c r="B1785" s="12" t="n">
        <v>46345</v>
      </c>
      <c r="C1785" t="inlineStr">
        <is>
          <t>SC AROMET TRADING SRL</t>
        </is>
      </c>
      <c r="D1785" t="inlineStr">
        <is>
          <t>Alba</t>
        </is>
      </c>
      <c r="E1785" t="inlineStr">
        <is>
          <t>PRD-005</t>
        </is>
      </c>
      <c r="F1785" t="inlineStr">
        <is>
          <t>Statie de lucru desktop</t>
        </is>
      </c>
      <c r="G1785" t="inlineStr">
        <is>
          <t>Hardware IT</t>
        </is>
      </c>
      <c r="H1785" t="n">
        <v>3</v>
      </c>
      <c r="I1785" t="n">
        <v>252.15</v>
      </c>
      <c r="J1785" t="n">
        <v>756.45</v>
      </c>
      <c r="K1785" s="13" t="n">
        <v>0.05</v>
      </c>
      <c r="L1785" t="n">
        <v>37.82</v>
      </c>
      <c r="M1785" t="n">
        <v>794.27</v>
      </c>
      <c r="N1785" t="inlineStr">
        <is>
          <t>RON</t>
        </is>
      </c>
      <c r="O1785" t="inlineStr">
        <is>
          <t>Alba Iulia</t>
        </is>
      </c>
      <c r="P1785" s="12" t="n">
        <v>46375</v>
      </c>
      <c r="Q1785">
        <f>IF(COUNTIF(tbl_Localitati[oras_oficial],[@oras])=0,"ORAS NEALINIAT",IF(XLOOKUP([@oras],tbl_Localitati[oras_oficial],tbl_Localitati[judet],"?")&lt;&gt;[@judet],"JUDET NECORESPUNZATOR",""))</f>
        <v/>
      </c>
      <c r="R1785">
        <f>IF(XLOOKUP([@categorie],tbl_RegulriTVA[categorie],tbl_RegulriTVA[cota_legala],-1)&lt;&gt;[@cota_tva],"TVA GRESIT","")</f>
        <v/>
      </c>
      <c r="S1785">
        <f>IF([@data_scadentei]&lt;[@data_factura],"SCADENTA INAINTEA FACTURII","")</f>
        <v/>
      </c>
      <c r="T1785">
        <f>IF(NETWORKDAYS.INTL([@data_factura],[@data_factura],1,tbl_SarbatoriLegale[data])=0,"ZI NELUCRATOARE","")</f>
        <v/>
      </c>
      <c r="U1785">
        <f>IF([@motiv_anomalie]="","OK","DE INVESTIGAT")</f>
        <v/>
      </c>
      <c r="V1785">
        <f>TEXTJOIN("; ",TRUE,[@flag_oras],[@flag_tva],[@flag_scadenta],[@flag_zi])</f>
        <v/>
      </c>
    </row>
    <row r="1786">
      <c r="A1786" t="inlineStr">
        <is>
          <t>F-2025-01785</t>
        </is>
      </c>
      <c r="B1786" s="12" t="n">
        <v>46289</v>
      </c>
      <c r="C1786" t="inlineStr">
        <is>
          <t>SC DACTECH SOLUTIONS SRL</t>
        </is>
      </c>
      <c r="D1786" t="inlineStr">
        <is>
          <t>Argeș</t>
        </is>
      </c>
      <c r="E1786" t="inlineStr">
        <is>
          <t>PRD-006</t>
        </is>
      </c>
      <c r="F1786" t="inlineStr">
        <is>
          <t>Set carti formare</t>
        </is>
      </c>
      <c r="G1786" t="inlineStr">
        <is>
          <t>Cărți și manuale</t>
        </is>
      </c>
      <c r="H1786" t="n">
        <v>5</v>
      </c>
      <c r="I1786" t="n">
        <v>763.34</v>
      </c>
      <c r="J1786" t="n">
        <v>3816.7</v>
      </c>
      <c r="K1786" s="13" t="n">
        <v>0.05</v>
      </c>
      <c r="L1786" t="n">
        <v>190.84</v>
      </c>
      <c r="M1786" t="n">
        <v>4007.54</v>
      </c>
      <c r="N1786" t="inlineStr">
        <is>
          <t>RON</t>
        </is>
      </c>
      <c r="O1786" t="inlineStr">
        <is>
          <t>Pitești</t>
        </is>
      </c>
      <c r="P1786" s="12" t="n">
        <v>46304</v>
      </c>
      <c r="Q1786">
        <f>IF(COUNTIF(tbl_Localitati[oras_oficial],[@oras])=0,"ORAS NEALINIAT",IF(XLOOKUP([@oras],tbl_Localitati[oras_oficial],tbl_Localitati[judet],"?")&lt;&gt;[@judet],"JUDET NECORESPUNZATOR",""))</f>
        <v/>
      </c>
      <c r="R1786">
        <f>IF(XLOOKUP([@categorie],tbl_RegulriTVA[categorie],tbl_RegulriTVA[cota_legala],-1)&lt;&gt;[@cota_tva],"TVA GRESIT","")</f>
        <v/>
      </c>
      <c r="S1786">
        <f>IF([@data_scadentei]&lt;[@data_factura],"SCADENTA INAINTEA FACTURII","")</f>
        <v/>
      </c>
      <c r="T1786">
        <f>IF(NETWORKDAYS.INTL([@data_factura],[@data_factura],1,tbl_SarbatoriLegale[data])=0,"ZI NELUCRATOARE","")</f>
        <v/>
      </c>
      <c r="U1786">
        <f>IF([@motiv_anomalie]="","OK","DE INVESTIGAT")</f>
        <v/>
      </c>
      <c r="V1786">
        <f>TEXTJOIN("; ",TRUE,[@flag_oras],[@flag_tva],[@flag_scadenta],[@flag_zi])</f>
        <v/>
      </c>
    </row>
    <row r="1787">
      <c r="A1787" t="inlineStr">
        <is>
          <t>F-2025-01786</t>
        </is>
      </c>
      <c r="B1787" s="12" t="n">
        <v>46142</v>
      </c>
      <c r="C1787" t="inlineStr">
        <is>
          <t>SC AROMET TRADING SRL</t>
        </is>
      </c>
      <c r="D1787" t="inlineStr">
        <is>
          <t>Alba</t>
        </is>
      </c>
      <c r="E1787" t="inlineStr">
        <is>
          <t>PRD-013</t>
        </is>
      </c>
      <c r="F1787" t="inlineStr">
        <is>
          <t>Abonament suita cloud</t>
        </is>
      </c>
      <c r="G1787" t="inlineStr">
        <is>
          <t>Licențe software</t>
        </is>
      </c>
      <c r="H1787" t="n">
        <v>1</v>
      </c>
      <c r="I1787" t="n">
        <v>1250.39</v>
      </c>
      <c r="J1787" t="n">
        <v>1250.39</v>
      </c>
      <c r="K1787" s="13" t="n">
        <v>0.19</v>
      </c>
      <c r="L1787" t="n">
        <v>237.57</v>
      </c>
      <c r="M1787" t="n">
        <v>1487.96</v>
      </c>
      <c r="N1787" t="inlineStr">
        <is>
          <t>RON</t>
        </is>
      </c>
      <c r="O1787" t="inlineStr">
        <is>
          <t>Alba Iulia</t>
        </is>
      </c>
      <c r="P1787" s="12" t="n">
        <v>46202</v>
      </c>
      <c r="Q1787">
        <f>IF(COUNTIF(tbl_Localitati[oras_oficial],[@oras])=0,"ORAS NEALINIAT",IF(XLOOKUP([@oras],tbl_Localitati[oras_oficial],tbl_Localitati[judet],"?")&lt;&gt;[@judet],"JUDET NECORESPUNZATOR",""))</f>
        <v/>
      </c>
      <c r="R1787">
        <f>IF(XLOOKUP([@categorie],tbl_RegulriTVA[categorie],tbl_RegulriTVA[cota_legala],-1)&lt;&gt;[@cota_tva],"TVA GRESIT","")</f>
        <v/>
      </c>
      <c r="S1787">
        <f>IF([@data_scadentei]&lt;[@data_factura],"SCADENTA INAINTEA FACTURII","")</f>
        <v/>
      </c>
      <c r="T1787">
        <f>IF(NETWORKDAYS.INTL([@data_factura],[@data_factura],1,tbl_SarbatoriLegale[data])=0,"ZI NELUCRATOARE","")</f>
        <v/>
      </c>
      <c r="U1787">
        <f>IF([@motiv_anomalie]="","OK","DE INVESTIGAT")</f>
        <v/>
      </c>
      <c r="V1787">
        <f>TEXTJOIN("; ",TRUE,[@flag_oras],[@flag_tva],[@flag_scadenta],[@flag_zi])</f>
        <v/>
      </c>
    </row>
    <row r="1788">
      <c r="A1788" t="inlineStr">
        <is>
          <t>F-2025-01787</t>
        </is>
      </c>
      <c r="B1788" s="12" t="n">
        <v>46259</v>
      </c>
      <c r="C1788" t="inlineStr">
        <is>
          <t>SC SOLARIS ENERGY SRL</t>
        </is>
      </c>
      <c r="D1788" t="inlineStr">
        <is>
          <t>Prahova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Licențe software</t>
        </is>
      </c>
      <c r="H1788" t="n">
        <v>10</v>
      </c>
      <c r="I1788" t="n">
        <v>782.0700000000001</v>
      </c>
      <c r="J1788" t="n">
        <v>7820.7</v>
      </c>
      <c r="K1788" s="13" t="n">
        <v>0.19</v>
      </c>
      <c r="L1788" t="n">
        <v>1485.93</v>
      </c>
      <c r="M1788" t="n">
        <v>9306.629999999999</v>
      </c>
      <c r="N1788" t="inlineStr">
        <is>
          <t>RON</t>
        </is>
      </c>
      <c r="O1788" t="inlineStr">
        <is>
          <t>Câmpina</t>
        </is>
      </c>
      <c r="P1788" s="12" t="n">
        <v>46289</v>
      </c>
      <c r="Q1788">
        <f>IF(COUNTIF(tbl_Localitati[oras_oficial],[@oras])=0,"ORAS NEALINIAT",IF(XLOOKUP([@oras],tbl_Localitati[oras_oficial],tbl_Localitati[judet],"?")&lt;&gt;[@judet],"JUDET NECORESPUNZATOR",""))</f>
        <v/>
      </c>
      <c r="R1788">
        <f>IF(XLOOKUP([@categorie],tbl_RegulriTVA[categorie],tbl_RegulriTVA[cota_legala],-1)&lt;&gt;[@cota_tva],"TVA GRESIT","")</f>
        <v/>
      </c>
      <c r="S1788">
        <f>IF([@data_scadentei]&lt;[@data_factura],"SCADENTA INAINTEA FACTURII","")</f>
        <v/>
      </c>
      <c r="T1788">
        <f>IF(NETWORKDAYS.INTL([@data_factura],[@data_factura],1,tbl_SarbatoriLegale[data])=0,"ZI NELUCRATOARE","")</f>
        <v/>
      </c>
      <c r="U1788">
        <f>IF([@motiv_anomalie]="","OK","DE INVESTIGAT")</f>
        <v/>
      </c>
      <c r="V1788">
        <f>TEXTJOIN("; ",TRUE,[@flag_oras],[@flag_tva],[@flag_scadenta],[@flag_zi])</f>
        <v/>
      </c>
    </row>
    <row r="1789">
      <c r="A1789" t="inlineStr">
        <is>
          <t>F-2025-01788</t>
        </is>
      </c>
      <c r="B1789" s="12" t="n">
        <v>46380</v>
      </c>
      <c r="C1789" t="inlineStr">
        <is>
          <t>SC AROMET TRADING SRL</t>
        </is>
      </c>
      <c r="D1789" t="inlineStr">
        <is>
          <t>Alba</t>
        </is>
      </c>
      <c r="E1789" t="inlineStr">
        <is>
          <t>PRD-009</t>
        </is>
      </c>
      <c r="F1789" t="inlineStr">
        <is>
          <t>Laptop business 15"</t>
        </is>
      </c>
      <c r="G1789" t="inlineStr">
        <is>
          <t>Hardware IT</t>
        </is>
      </c>
      <c r="H1789" t="n">
        <v>50</v>
      </c>
      <c r="I1789" t="n">
        <v>28.99</v>
      </c>
      <c r="J1789" t="n">
        <v>1449.5</v>
      </c>
      <c r="K1789" s="13" t="n">
        <v>0.19</v>
      </c>
      <c r="L1789" t="n">
        <v>275.41</v>
      </c>
      <c r="M1789" t="n">
        <v>1724.91</v>
      </c>
      <c r="N1789" t="inlineStr">
        <is>
          <t>RON</t>
        </is>
      </c>
      <c r="O1789" t="inlineStr">
        <is>
          <t>Alba Iulia</t>
        </is>
      </c>
      <c r="P1789" s="12" t="n">
        <v>46410</v>
      </c>
      <c r="Q1789">
        <f>IF(COUNTIF(tbl_Localitati[oras_oficial],[@oras])=0,"ORAS NEALINIAT",IF(XLOOKUP([@oras],tbl_Localitati[oras_oficial],tbl_Localitati[judet],"?")&lt;&gt;[@judet],"JUDET NECORESPUNZATOR",""))</f>
        <v/>
      </c>
      <c r="R1789">
        <f>IF(XLOOKUP([@categorie],tbl_RegulriTVA[categorie],tbl_RegulriTVA[cota_legala],-1)&lt;&gt;[@cota_tva],"TVA GRESIT","")</f>
        <v/>
      </c>
      <c r="S1789">
        <f>IF([@data_scadentei]&lt;[@data_factura],"SCADENTA INAINTEA FACTURII","")</f>
        <v/>
      </c>
      <c r="T1789">
        <f>IF(NETWORKDAYS.INTL([@data_factura],[@data_factura],1,tbl_SarbatoriLegale[data])=0,"ZI NELUCRATOARE","")</f>
        <v/>
      </c>
      <c r="U1789">
        <f>IF([@motiv_anomalie]="","OK","DE INVESTIGAT")</f>
        <v/>
      </c>
      <c r="V1789">
        <f>TEXTJOIN("; ",TRUE,[@flag_oras],[@flag_tva],[@flag_scadenta],[@flag_zi])</f>
        <v/>
      </c>
    </row>
    <row r="1790">
      <c r="A1790" t="inlineStr">
        <is>
          <t>F-2025-01789</t>
        </is>
      </c>
      <c r="B1790" s="12" t="n">
        <v>46308</v>
      </c>
      <c r="C1790" t="inlineStr">
        <is>
          <t>SC NORDIS DISTRIBUTIE SRL</t>
        </is>
      </c>
      <c r="D1790" t="inlineStr">
        <is>
          <t>Constanța</t>
        </is>
      </c>
      <c r="E1790" t="inlineStr">
        <is>
          <t>PRD-005</t>
        </is>
      </c>
      <c r="F1790" t="inlineStr">
        <is>
          <t>Cafea boabe 1kg</t>
        </is>
      </c>
      <c r="G1790" t="inlineStr">
        <is>
          <t>Alimente</t>
        </is>
      </c>
      <c r="H1790" t="n">
        <v>1</v>
      </c>
      <c r="I1790" t="n">
        <v>247.93</v>
      </c>
      <c r="J1790" t="n">
        <v>247.93</v>
      </c>
      <c r="K1790" s="13" t="n">
        <v>0.09</v>
      </c>
      <c r="L1790" t="n">
        <v>22.31</v>
      </c>
      <c r="M1790" t="n">
        <v>270.24</v>
      </c>
      <c r="N1790" t="inlineStr">
        <is>
          <t>RON</t>
        </is>
      </c>
      <c r="O1790" t="inlineStr">
        <is>
          <t>Mangalia</t>
        </is>
      </c>
      <c r="P1790" s="12" t="n">
        <v>46338</v>
      </c>
      <c r="Q1790">
        <f>IF(COUNTIF(tbl_Localitati[oras_oficial],[@oras])=0,"ORAS NEALINIAT",IF(XLOOKUP([@oras],tbl_Localitati[oras_oficial],tbl_Localitati[judet],"?")&lt;&gt;[@judet],"JUDET NECORESPUNZATOR",""))</f>
        <v/>
      </c>
      <c r="R1790">
        <f>IF(XLOOKUP([@categorie],tbl_RegulriTVA[categorie],tbl_RegulriTVA[cota_legala],-1)&lt;&gt;[@cota_tva],"TVA GRESIT","")</f>
        <v/>
      </c>
      <c r="S1790">
        <f>IF([@data_scadentei]&lt;[@data_factura],"SCADENTA INAINTEA FACTURII","")</f>
        <v/>
      </c>
      <c r="T1790">
        <f>IF(NETWORKDAYS.INTL([@data_factura],[@data_factura],1,tbl_SarbatoriLegale[data])=0,"ZI NELUCRATOARE","")</f>
        <v/>
      </c>
      <c r="U1790">
        <f>IF([@motiv_anomalie]="","OK","DE INVESTIGAT")</f>
        <v/>
      </c>
      <c r="V1790">
        <f>TEXTJOIN("; ",TRUE,[@flag_oras],[@flag_tva],[@flag_scadenta],[@flag_zi])</f>
        <v/>
      </c>
    </row>
    <row r="1791">
      <c r="A1791" t="inlineStr">
        <is>
          <t>F-2025-01790</t>
        </is>
      </c>
      <c r="B1791" s="12" t="n">
        <v>46212</v>
      </c>
      <c r="C1791" t="inlineStr">
        <is>
          <t>SC PROVITA MEDICAL SRL</t>
        </is>
      </c>
      <c r="D1791" t="inlineStr">
        <is>
          <t>Mureș</t>
        </is>
      </c>
      <c r="E1791" t="inlineStr">
        <is>
          <t>PRD-005</t>
        </is>
      </c>
      <c r="F1791" t="inlineStr">
        <is>
          <t>Multifunctionala laser</t>
        </is>
      </c>
      <c r="G1791" t="inlineStr">
        <is>
          <t>Echipamente birou</t>
        </is>
      </c>
      <c r="H1791" t="n">
        <v>2</v>
      </c>
      <c r="I1791" t="n">
        <v>255.41</v>
      </c>
      <c r="J1791" t="n">
        <v>510.82</v>
      </c>
      <c r="K1791" s="13" t="n">
        <v>0.19</v>
      </c>
      <c r="L1791" t="n">
        <v>97.06</v>
      </c>
      <c r="M1791" t="n">
        <v>607.88</v>
      </c>
      <c r="N1791" t="inlineStr">
        <is>
          <t>RON</t>
        </is>
      </c>
      <c r="O1791" t="inlineStr">
        <is>
          <t>Târgu Mureș</t>
        </is>
      </c>
      <c r="P1791" s="12" t="n">
        <v>46242</v>
      </c>
      <c r="Q1791">
        <f>IF(COUNTIF(tbl_Localitati[oras_oficial],[@oras])=0,"ORAS NEALINIAT",IF(XLOOKUP([@oras],tbl_Localitati[oras_oficial],tbl_Localitati[judet],"?")&lt;&gt;[@judet],"JUDET NECORESPUNZATOR",""))</f>
        <v/>
      </c>
      <c r="R1791">
        <f>IF(XLOOKUP([@categorie],tbl_RegulriTVA[categorie],tbl_RegulriTVA[cota_legala],-1)&lt;&gt;[@cota_tva],"TVA GRESIT","")</f>
        <v/>
      </c>
      <c r="S1791">
        <f>IF([@data_scadentei]&lt;[@data_factura],"SCADENTA INAINTEA FACTURII","")</f>
        <v/>
      </c>
      <c r="T1791">
        <f>IF(NETWORKDAYS.INTL([@data_factura],[@data_factura],1,tbl_SarbatoriLegale[data])=0,"ZI NELUCRATOARE","")</f>
        <v/>
      </c>
      <c r="U1791">
        <f>IF([@motiv_anomalie]="","OK","DE INVESTIGAT")</f>
        <v/>
      </c>
      <c r="V1791">
        <f>TEXTJOIN("; ",TRUE,[@flag_oras],[@flag_tva],[@flag_scadenta],[@flag_zi])</f>
        <v/>
      </c>
    </row>
    <row r="1792">
      <c r="A1792" t="inlineStr">
        <is>
          <t>F-2025-01791</t>
        </is>
      </c>
      <c r="B1792" s="12" t="n">
        <v>46350</v>
      </c>
      <c r="C1792" t="inlineStr">
        <is>
          <t>SC AROMET TRADING SRL</t>
        </is>
      </c>
      <c r="D1792" t="inlineStr">
        <is>
          <t>Alba</t>
        </is>
      </c>
      <c r="E1792" t="inlineStr">
        <is>
          <t>PRD-011</t>
        </is>
      </c>
      <c r="F1792" t="inlineStr">
        <is>
          <t>Audit infrastructura</t>
        </is>
      </c>
      <c r="G1792" t="inlineStr">
        <is>
          <t>Servicii consultanță</t>
        </is>
      </c>
      <c r="H1792" t="n">
        <v>50</v>
      </c>
      <c r="I1792" t="n">
        <v>46.03</v>
      </c>
      <c r="J1792" t="n">
        <v>2301.5</v>
      </c>
      <c r="K1792" s="13" t="n">
        <v>0.19</v>
      </c>
      <c r="L1792" t="n">
        <v>437.29</v>
      </c>
      <c r="M1792" t="n">
        <v>2738.79</v>
      </c>
      <c r="N1792" t="inlineStr">
        <is>
          <t>RON</t>
        </is>
      </c>
      <c r="O1792" t="inlineStr">
        <is>
          <t>Alba Iulia</t>
        </is>
      </c>
      <c r="P1792" s="12" t="n">
        <v>46380</v>
      </c>
      <c r="Q1792">
        <f>IF(COUNTIF(tbl_Localitati[oras_oficial],[@oras])=0,"ORAS NEALINIAT",IF(XLOOKUP([@oras],tbl_Localitati[oras_oficial],tbl_Localitati[judet],"?")&lt;&gt;[@judet],"JUDET NECORESPUNZATOR",""))</f>
        <v/>
      </c>
      <c r="R1792">
        <f>IF(XLOOKUP([@categorie],tbl_RegulriTVA[categorie],tbl_RegulriTVA[cota_legala],-1)&lt;&gt;[@cota_tva],"TVA GRESIT","")</f>
        <v/>
      </c>
      <c r="S1792">
        <f>IF([@data_scadentei]&lt;[@data_factura],"SCADENTA INAINTEA FACTURII","")</f>
        <v/>
      </c>
      <c r="T1792">
        <f>IF(NETWORKDAYS.INTL([@data_factura],[@data_factura],1,tbl_SarbatoriLegale[data])=0,"ZI NELUCRATOARE","")</f>
        <v/>
      </c>
      <c r="U1792">
        <f>IF([@motiv_anomalie]="","OK","DE INVESTIGAT")</f>
        <v/>
      </c>
      <c r="V1792">
        <f>TEXTJOIN("; ",TRUE,[@flag_oras],[@flag_tva],[@flag_scadenta],[@flag_zi])</f>
        <v/>
      </c>
    </row>
    <row r="1793">
      <c r="A1793" t="inlineStr">
        <is>
          <t>F-2025-01792</t>
        </is>
      </c>
      <c r="B1793" s="12" t="n">
        <v>46245</v>
      </c>
      <c r="C1793" t="inlineStr">
        <is>
          <t>SC RAPID LOGISTIC SA</t>
        </is>
      </c>
      <c r="D1793" t="inlineStr">
        <is>
          <t>Prahova</t>
        </is>
      </c>
      <c r="E1793" t="inlineStr">
        <is>
          <t>PRD-009</t>
        </is>
      </c>
      <c r="F1793" t="inlineStr">
        <is>
          <t>Server rack 1U</t>
        </is>
      </c>
      <c r="G1793" t="inlineStr">
        <is>
          <t>Hardware IT</t>
        </is>
      </c>
      <c r="H1793" t="n">
        <v>50</v>
      </c>
      <c r="I1793" t="n">
        <v>27.08</v>
      </c>
      <c r="J1793" t="n">
        <v>1354</v>
      </c>
      <c r="K1793" s="13" t="n">
        <v>0.19</v>
      </c>
      <c r="L1793" t="n">
        <v>257.26</v>
      </c>
      <c r="M1793" t="n">
        <v>1611.26</v>
      </c>
      <c r="N1793" t="inlineStr">
        <is>
          <t>RON</t>
        </is>
      </c>
      <c r="O1793" t="inlineStr">
        <is>
          <t>Ploiești</t>
        </is>
      </c>
      <c r="P1793" s="12" t="n">
        <v>46305</v>
      </c>
      <c r="Q1793">
        <f>IF(COUNTIF(tbl_Localitati[oras_oficial],[@oras])=0,"ORAS NEALINIAT",IF(XLOOKUP([@oras],tbl_Localitati[oras_oficial],tbl_Localitati[judet],"?")&lt;&gt;[@judet],"JUDET NECORESPUNZATOR",""))</f>
        <v/>
      </c>
      <c r="R1793">
        <f>IF(XLOOKUP([@categorie],tbl_RegulriTVA[categorie],tbl_RegulriTVA[cota_legala],-1)&lt;&gt;[@cota_tva],"TVA GRESIT","")</f>
        <v/>
      </c>
      <c r="S1793">
        <f>IF([@data_scadentei]&lt;[@data_factura],"SCADENTA INAINTEA FACTURII","")</f>
        <v/>
      </c>
      <c r="T1793">
        <f>IF(NETWORKDAYS.INTL([@data_factura],[@data_factura],1,tbl_SarbatoriLegale[data])=0,"ZI NELUCRATOARE","")</f>
        <v/>
      </c>
      <c r="U1793">
        <f>IF([@motiv_anomalie]="","OK","DE INVESTIGAT")</f>
        <v/>
      </c>
      <c r="V1793">
        <f>TEXTJOIN("; ",TRUE,[@flag_oras],[@flag_tva],[@flag_scadenta],[@flag_zi])</f>
        <v/>
      </c>
    </row>
    <row r="1794">
      <c r="A1794" t="inlineStr">
        <is>
          <t>F-2025-01793</t>
        </is>
      </c>
      <c r="B1794" s="12" t="n">
        <v>46181</v>
      </c>
      <c r="C1794" t="inlineStr">
        <is>
          <t>SC AROMET TRADING SRL</t>
        </is>
      </c>
      <c r="D1794" t="inlineStr">
        <is>
          <t>Alba</t>
        </is>
      </c>
      <c r="E1794" t="inlineStr">
        <is>
          <t>PRD-002</t>
        </is>
      </c>
      <c r="F1794" t="inlineStr">
        <is>
          <t>Multifunctionala laser</t>
        </is>
      </c>
      <c r="G1794" t="inlineStr">
        <is>
          <t>Echipamente birou</t>
        </is>
      </c>
      <c r="H1794" t="n">
        <v>1</v>
      </c>
      <c r="I1794" t="n">
        <v>1100.67</v>
      </c>
      <c r="J1794" t="n">
        <v>1100.67</v>
      </c>
      <c r="K1794" s="13" t="n">
        <v>0.19</v>
      </c>
      <c r="L1794" t="n">
        <v>209.13</v>
      </c>
      <c r="M1794" t="n">
        <v>1309.8</v>
      </c>
      <c r="N1794" t="inlineStr">
        <is>
          <t>RON</t>
        </is>
      </c>
      <c r="O1794" t="inlineStr">
        <is>
          <t>Alba Iulia</t>
        </is>
      </c>
      <c r="P1794" s="12" t="n">
        <v>46211</v>
      </c>
      <c r="Q1794">
        <f>IF(COUNTIF(tbl_Localitati[oras_oficial],[@oras])=0,"ORAS NEALINIAT",IF(XLOOKUP([@oras],tbl_Localitati[oras_oficial],tbl_Localitati[judet],"?")&lt;&gt;[@judet],"JUDET NECORESPUNZATOR",""))</f>
        <v/>
      </c>
      <c r="R1794">
        <f>IF(XLOOKUP([@categorie],tbl_RegulriTVA[categorie],tbl_RegulriTVA[cota_legala],-1)&lt;&gt;[@cota_tva],"TVA GRESIT","")</f>
        <v/>
      </c>
      <c r="S1794">
        <f>IF([@data_scadentei]&lt;[@data_factura],"SCADENTA INAINTEA FACTURII","")</f>
        <v/>
      </c>
      <c r="T1794">
        <f>IF(NETWORKDAYS.INTL([@data_factura],[@data_factura],1,tbl_SarbatoriLegale[data])=0,"ZI NELUCRATOARE","")</f>
        <v/>
      </c>
      <c r="U1794">
        <f>IF([@motiv_anomalie]="","OK","DE INVESTIGAT")</f>
        <v/>
      </c>
      <c r="V1794">
        <f>TEXTJOIN("; ",TRUE,[@flag_oras],[@flag_tva],[@flag_scadenta],[@flag_zi])</f>
        <v/>
      </c>
    </row>
    <row r="1795">
      <c r="A1795" t="inlineStr">
        <is>
          <t>F-2025-01794</t>
        </is>
      </c>
      <c r="B1795" s="12" t="n">
        <v>46248</v>
      </c>
      <c r="C1795" t="inlineStr">
        <is>
          <t>SC NORDIS DISTRIBUTIE SRL</t>
        </is>
      </c>
      <c r="D1795" t="inlineStr">
        <is>
          <t>Constanța</t>
        </is>
      </c>
      <c r="E1795" t="inlineStr">
        <is>
          <t>PRD-006</t>
        </is>
      </c>
      <c r="F1795" t="inlineStr">
        <is>
          <t>Audit infrastructura</t>
        </is>
      </c>
      <c r="G1795" t="inlineStr">
        <is>
          <t>Servicii consultanță</t>
        </is>
      </c>
      <c r="H1795" t="n">
        <v>25</v>
      </c>
      <c r="I1795" t="n">
        <v>713.71</v>
      </c>
      <c r="J1795" t="n">
        <v>17842.75</v>
      </c>
      <c r="K1795" s="13" t="n">
        <v>0.19</v>
      </c>
      <c r="L1795" t="n">
        <v>3390.12</v>
      </c>
      <c r="M1795" t="n">
        <v>21232.87</v>
      </c>
      <c r="N1795" t="inlineStr">
        <is>
          <t>RON</t>
        </is>
      </c>
      <c r="O1795" t="inlineStr">
        <is>
          <t>Mangalia</t>
        </is>
      </c>
      <c r="P1795" s="12" t="n">
        <v>46263</v>
      </c>
      <c r="Q1795">
        <f>IF(COUNTIF(tbl_Localitati[oras_oficial],[@oras])=0,"ORAS NEALINIAT",IF(XLOOKUP([@oras],tbl_Localitati[oras_oficial],tbl_Localitati[judet],"?")&lt;&gt;[@judet],"JUDET NECORESPUNZATOR",""))</f>
        <v/>
      </c>
      <c r="R1795">
        <f>IF(XLOOKUP([@categorie],tbl_RegulriTVA[categorie],tbl_RegulriTVA[cota_legala],-1)&lt;&gt;[@cota_tva],"TVA GRESIT","")</f>
        <v/>
      </c>
      <c r="S1795">
        <f>IF([@data_scadentei]&lt;[@data_factura],"SCADENTA INAINTEA FACTURII","")</f>
        <v/>
      </c>
      <c r="T1795">
        <f>IF(NETWORKDAYS.INTL([@data_factura],[@data_factura],1,tbl_SarbatoriLegale[data])=0,"ZI NELUCRATOARE","")</f>
        <v/>
      </c>
      <c r="U1795">
        <f>IF([@motiv_anomalie]="","OK","DE INVESTIGAT")</f>
        <v/>
      </c>
      <c r="V1795">
        <f>TEXTJOIN("; ",TRUE,[@flag_oras],[@flag_tva],[@flag_scadenta],[@flag_zi])</f>
        <v/>
      </c>
    </row>
    <row r="1796">
      <c r="A1796" t="inlineStr">
        <is>
          <t>F-2025-01795</t>
        </is>
      </c>
      <c r="B1796" s="12" t="n">
        <v>46132</v>
      </c>
      <c r="C1796" t="inlineStr">
        <is>
          <t>SC DACTECH SOLUTIONS SRL</t>
        </is>
      </c>
      <c r="D1796" t="inlineStr">
        <is>
          <t>Argeș</t>
        </is>
      </c>
      <c r="E1796" t="inlineStr">
        <is>
          <t>PRD-010</t>
        </is>
      </c>
      <c r="F1796" t="inlineStr">
        <is>
          <t>Audit infrastructura</t>
        </is>
      </c>
      <c r="G1796" t="inlineStr">
        <is>
          <t>Servicii consultanță</t>
        </is>
      </c>
      <c r="H1796" t="n">
        <v>100</v>
      </c>
      <c r="I1796" t="n">
        <v>346.7</v>
      </c>
      <c r="J1796" t="n">
        <v>34670</v>
      </c>
      <c r="K1796" s="13" t="n">
        <v>0.19</v>
      </c>
      <c r="L1796" t="n">
        <v>6587.3</v>
      </c>
      <c r="M1796" t="n">
        <v>41257.3</v>
      </c>
      <c r="N1796" t="inlineStr">
        <is>
          <t>RON</t>
        </is>
      </c>
      <c r="O1796" t="inlineStr">
        <is>
          <t>Pitești</t>
        </is>
      </c>
      <c r="P1796" s="12" t="n">
        <v>46177</v>
      </c>
      <c r="Q1796">
        <f>IF(COUNTIF(tbl_Localitati[oras_oficial],[@oras])=0,"ORAS NEALINIAT",IF(XLOOKUP([@oras],tbl_Localitati[oras_oficial],tbl_Localitati[judet],"?")&lt;&gt;[@judet],"JUDET NECORESPUNZATOR",""))</f>
        <v/>
      </c>
      <c r="R1796">
        <f>IF(XLOOKUP([@categorie],tbl_RegulriTVA[categorie],tbl_RegulriTVA[cota_legala],-1)&lt;&gt;[@cota_tva],"TVA GRESIT","")</f>
        <v/>
      </c>
      <c r="S1796">
        <f>IF([@data_scadentei]&lt;[@data_factura],"SCADENTA INAINTEA FACTURII","")</f>
        <v/>
      </c>
      <c r="T1796">
        <f>IF(NETWORKDAYS.INTL([@data_factura],[@data_factura],1,tbl_SarbatoriLegale[data])=0,"ZI NELUCRATOARE","")</f>
        <v/>
      </c>
      <c r="U1796">
        <f>IF([@motiv_anomalie]="","OK","DE INVESTIGAT")</f>
        <v/>
      </c>
      <c r="V1796">
        <f>TEXTJOIN("; ",TRUE,[@flag_oras],[@flag_tva],[@flag_scadenta],[@flag_zi])</f>
        <v/>
      </c>
    </row>
    <row r="1797">
      <c r="A1797" t="inlineStr">
        <is>
          <t>F-2025-01796</t>
        </is>
      </c>
      <c r="B1797" s="12" t="n">
        <v>46094</v>
      </c>
      <c r="C1797" t="inlineStr">
        <is>
          <t>SC DACTECH SOLUTIONS SRL</t>
        </is>
      </c>
      <c r="D1797" t="inlineStr">
        <is>
          <t>Argeș</t>
        </is>
      </c>
      <c r="E1797" t="inlineStr">
        <is>
          <t>PRD-010</t>
        </is>
      </c>
      <c r="F1797" t="inlineStr">
        <is>
          <t>Laptop business 15"</t>
        </is>
      </c>
      <c r="G1797" t="inlineStr">
        <is>
          <t>Hardware IT</t>
        </is>
      </c>
      <c r="H1797" t="n">
        <v>10</v>
      </c>
      <c r="I1797" t="n">
        <v>357.06</v>
      </c>
      <c r="J1797" t="n">
        <v>3570.6</v>
      </c>
      <c r="K1797" s="13" t="n">
        <v>0.19</v>
      </c>
      <c r="L1797" t="n">
        <v>678.41</v>
      </c>
      <c r="M1797" t="n">
        <v>4249.01</v>
      </c>
      <c r="N1797" t="inlineStr">
        <is>
          <t>RON</t>
        </is>
      </c>
      <c r="O1797" t="inlineStr">
        <is>
          <t>Pitești</t>
        </is>
      </c>
      <c r="P1797" s="12" t="n">
        <v>46124</v>
      </c>
      <c r="Q1797">
        <f>IF(COUNTIF(tbl_Localitati[oras_oficial],[@oras])=0,"ORAS NEALINIAT",IF(XLOOKUP([@oras],tbl_Localitati[oras_oficial],tbl_Localitati[judet],"?")&lt;&gt;[@judet],"JUDET NECORESPUNZATOR",""))</f>
        <v/>
      </c>
      <c r="R1797">
        <f>IF(XLOOKUP([@categorie],tbl_RegulriTVA[categorie],tbl_RegulriTVA[cota_legala],-1)&lt;&gt;[@cota_tva],"TVA GRESIT","")</f>
        <v/>
      </c>
      <c r="S1797">
        <f>IF([@data_scadentei]&lt;[@data_factura],"SCADENTA INAINTEA FACTURII","")</f>
        <v/>
      </c>
      <c r="T1797">
        <f>IF(NETWORKDAYS.INTL([@data_factura],[@data_factura],1,tbl_SarbatoriLegale[data])=0,"ZI NELUCRATOARE","")</f>
        <v/>
      </c>
      <c r="U1797">
        <f>IF([@motiv_anomalie]="","OK","DE INVESTIGAT")</f>
        <v/>
      </c>
      <c r="V1797">
        <f>TEXTJOIN("; ",TRUE,[@flag_oras],[@flag_tva],[@flag_scadenta],[@flag_zi])</f>
        <v/>
      </c>
    </row>
    <row r="1798">
      <c r="A1798" t="inlineStr">
        <is>
          <t>F-2025-01797</t>
        </is>
      </c>
      <c r="B1798" s="12" t="n">
        <v>46157</v>
      </c>
      <c r="C1798" t="inlineStr">
        <is>
          <t>SC OMEGA SOFT SRL</t>
        </is>
      </c>
      <c r="D1798" t="inlineStr">
        <is>
          <t>Dolj</t>
        </is>
      </c>
      <c r="E1798" t="inlineStr">
        <is>
          <t>PRD-009</t>
        </is>
      </c>
      <c r="F1798" t="inlineStr">
        <is>
          <t>Apa plata bax</t>
        </is>
      </c>
      <c r="G1798" t="inlineStr">
        <is>
          <t>Alimente</t>
        </is>
      </c>
      <c r="H1798" t="n">
        <v>20</v>
      </c>
      <c r="I1798" t="n">
        <v>28.88</v>
      </c>
      <c r="J1798" t="n">
        <v>577.6</v>
      </c>
      <c r="K1798" s="13" t="n">
        <v>0.09</v>
      </c>
      <c r="L1798" t="n">
        <v>51.98</v>
      </c>
      <c r="M1798" t="n">
        <v>629.58</v>
      </c>
      <c r="N1798" t="inlineStr">
        <is>
          <t>RON</t>
        </is>
      </c>
      <c r="O1798" t="inlineStr">
        <is>
          <t>Craiova</t>
        </is>
      </c>
      <c r="P1798" s="12" t="n">
        <v>46172</v>
      </c>
      <c r="Q1798">
        <f>IF(COUNTIF(tbl_Localitati[oras_oficial],[@oras])=0,"ORAS NEALINIAT",IF(XLOOKUP([@oras],tbl_Localitati[oras_oficial],tbl_Localitati[judet],"?")&lt;&gt;[@judet],"JUDET NECORESPUNZATOR",""))</f>
        <v/>
      </c>
      <c r="R1798">
        <f>IF(XLOOKUP([@categorie],tbl_RegulriTVA[categorie],tbl_RegulriTVA[cota_legala],-1)&lt;&gt;[@cota_tva],"TVA GRESIT","")</f>
        <v/>
      </c>
      <c r="S1798">
        <f>IF([@data_scadentei]&lt;[@data_factura],"SCADENTA INAINTEA FACTURII","")</f>
        <v/>
      </c>
      <c r="T1798">
        <f>IF(NETWORKDAYS.INTL([@data_factura],[@data_factura],1,tbl_SarbatoriLegale[data])=0,"ZI NELUCRATOARE","")</f>
        <v/>
      </c>
      <c r="U1798">
        <f>IF([@motiv_anomalie]="","OK","DE INVESTIGAT")</f>
        <v/>
      </c>
      <c r="V1798">
        <f>TEXTJOIN("; ",TRUE,[@flag_oras],[@flag_tva],[@flag_scadenta],[@flag_zi])</f>
        <v/>
      </c>
    </row>
    <row r="1799">
      <c r="A1799" t="inlineStr">
        <is>
          <t>F-2025-01798</t>
        </is>
      </c>
      <c r="B1799" s="12" t="n">
        <v>46273</v>
      </c>
      <c r="C1799" t="inlineStr">
        <is>
          <t>SC ORPHAN RECORDS SRL</t>
        </is>
      </c>
      <c r="D1799" t="inlineStr">
        <is>
          <t>Galați</t>
        </is>
      </c>
      <c r="E1799" t="inlineStr">
        <is>
          <t>PRD-009</t>
        </is>
      </c>
      <c r="F1799" t="inlineStr">
        <is>
          <t>Switch gigabit 24p</t>
        </is>
      </c>
      <c r="G1799" t="inlineStr">
        <is>
          <t>Hardware IT</t>
        </is>
      </c>
      <c r="H1799" t="n">
        <v>50</v>
      </c>
      <c r="I1799" t="n">
        <v>27.24</v>
      </c>
      <c r="J1799" t="n">
        <v>1362</v>
      </c>
      <c r="K1799" s="13" t="n">
        <v>0.19</v>
      </c>
      <c r="L1799" t="n">
        <v>258.78</v>
      </c>
      <c r="M1799" t="n">
        <v>1620.78</v>
      </c>
      <c r="N1799" t="inlineStr">
        <is>
          <t>RON</t>
        </is>
      </c>
      <c r="O1799" t="inlineStr">
        <is>
          <t>Galați</t>
        </is>
      </c>
      <c r="P1799" s="12" t="n">
        <v>46318</v>
      </c>
      <c r="Q1799">
        <f>IF(COUNTIF(tbl_Localitati[oras_oficial],[@oras])=0,"ORAS NEALINIAT",IF(XLOOKUP([@oras],tbl_Localitati[oras_oficial],tbl_Localitati[judet],"?")&lt;&gt;[@judet],"JUDET NECORESPUNZATOR",""))</f>
        <v/>
      </c>
      <c r="R1799">
        <f>IF(XLOOKUP([@categorie],tbl_RegulriTVA[categorie],tbl_RegulriTVA[cota_legala],-1)&lt;&gt;[@cota_tva],"TVA GRESIT","")</f>
        <v/>
      </c>
      <c r="S1799">
        <f>IF([@data_scadentei]&lt;[@data_factura],"SCADENTA INAINTEA FACTURII","")</f>
        <v/>
      </c>
      <c r="T1799">
        <f>IF(NETWORKDAYS.INTL([@data_factura],[@data_factura],1,tbl_SarbatoriLegale[data])=0,"ZI NELUCRATOARE","")</f>
        <v/>
      </c>
      <c r="U1799">
        <f>IF([@motiv_anomalie]="","OK","DE INVESTIGAT")</f>
        <v/>
      </c>
      <c r="V1799">
        <f>TEXTJOIN("; ",TRUE,[@flag_oras],[@flag_tva],[@flag_scadenta],[@flag_zi])</f>
        <v/>
      </c>
    </row>
    <row r="1800">
      <c r="A1800" t="inlineStr">
        <is>
          <t>F-2025-01799</t>
        </is>
      </c>
      <c r="B1800" s="12" t="n">
        <v>46150</v>
      </c>
      <c r="C1800" t="inlineStr">
        <is>
          <t>SC AROMET TRADING SRL</t>
        </is>
      </c>
      <c r="D1800" t="inlineStr">
        <is>
          <t>Alba</t>
        </is>
      </c>
      <c r="E1800" t="inlineStr">
        <is>
          <t>PRD-009</t>
        </is>
      </c>
      <c r="F1800" t="inlineStr">
        <is>
          <t>Licenta Office 365 anuala</t>
        </is>
      </c>
      <c r="G1800" t="inlineStr">
        <is>
          <t>Licențe software</t>
        </is>
      </c>
      <c r="H1800" t="n">
        <v>20</v>
      </c>
      <c r="I1800" t="n">
        <v>29.25</v>
      </c>
      <c r="J1800" t="n">
        <v>585</v>
      </c>
      <c r="K1800" s="13" t="n">
        <v>0.19</v>
      </c>
      <c r="L1800" t="n">
        <v>111.15</v>
      </c>
      <c r="M1800" t="n">
        <v>696.15</v>
      </c>
      <c r="N1800" t="inlineStr">
        <is>
          <t>RON</t>
        </is>
      </c>
      <c r="O1800" t="inlineStr">
        <is>
          <t>Alba Iulia</t>
        </is>
      </c>
      <c r="P1800" s="12" t="n">
        <v>46165</v>
      </c>
      <c r="Q1800">
        <f>IF(COUNTIF(tbl_Localitati[oras_oficial],[@oras])=0,"ORAS NEALINIAT",IF(XLOOKUP([@oras],tbl_Localitati[oras_oficial],tbl_Localitati[judet],"?")&lt;&gt;[@judet],"JUDET NECORESPUNZATOR",""))</f>
        <v/>
      </c>
      <c r="R1800">
        <f>IF(XLOOKUP([@categorie],tbl_RegulriTVA[categorie],tbl_RegulriTVA[cota_legala],-1)&lt;&gt;[@cota_tva],"TVA GRESIT","")</f>
        <v/>
      </c>
      <c r="S1800">
        <f>IF([@data_scadentei]&lt;[@data_factura],"SCADENTA INAINTEA FACTURII","")</f>
        <v/>
      </c>
      <c r="T1800">
        <f>IF(NETWORKDAYS.INTL([@data_factura],[@data_factura],1,tbl_SarbatoriLegale[data])=0,"ZI NELUCRATOARE","")</f>
        <v/>
      </c>
      <c r="U1800">
        <f>IF([@motiv_anomalie]="","OK","DE INVESTIGAT")</f>
        <v/>
      </c>
      <c r="V1800">
        <f>TEXTJOIN("; ",TRUE,[@flag_oras],[@flag_tva],[@flag_scadenta],[@flag_zi])</f>
        <v/>
      </c>
    </row>
    <row r="1801">
      <c r="A1801" t="inlineStr">
        <is>
          <t>F-2025-01800</t>
        </is>
      </c>
      <c r="B1801" s="12" t="n">
        <v>46183</v>
      </c>
      <c r="C1801" t="inlineStr">
        <is>
          <t>SC AROMET TRADING SRL</t>
        </is>
      </c>
      <c r="D1801" t="inlineStr">
        <is>
          <t>Alba</t>
        </is>
      </c>
      <c r="E1801" t="inlineStr">
        <is>
          <t>PRD-001</t>
        </is>
      </c>
      <c r="F1801" t="inlineStr">
        <is>
          <t>Statie de lucru desktop</t>
        </is>
      </c>
      <c r="G1801" t="inlineStr">
        <is>
          <t>Hardware IT</t>
        </is>
      </c>
      <c r="H1801" t="n">
        <v>1</v>
      </c>
      <c r="I1801" t="n">
        <v>2409.09</v>
      </c>
      <c r="J1801" t="n">
        <v>2409.09</v>
      </c>
      <c r="K1801" s="13" t="n">
        <v>0.19</v>
      </c>
      <c r="L1801" t="n">
        <v>457.73</v>
      </c>
      <c r="M1801" t="n">
        <v>2866.82</v>
      </c>
      <c r="N1801" t="inlineStr">
        <is>
          <t>RON</t>
        </is>
      </c>
      <c r="O1801" t="inlineStr">
        <is>
          <t>Alba Iulia</t>
        </is>
      </c>
      <c r="P1801" s="12" t="n">
        <v>46213</v>
      </c>
      <c r="Q1801">
        <f>IF(COUNTIF(tbl_Localitati[oras_oficial],[@oras])=0,"ORAS NEALINIAT",IF(XLOOKUP([@oras],tbl_Localitati[oras_oficial],tbl_Localitati[judet],"?")&lt;&gt;[@judet],"JUDET NECORESPUNZATOR",""))</f>
        <v/>
      </c>
      <c r="R1801">
        <f>IF(XLOOKUP([@categorie],tbl_RegulriTVA[categorie],tbl_RegulriTVA[cota_legala],-1)&lt;&gt;[@cota_tva],"TVA GRESIT","")</f>
        <v/>
      </c>
      <c r="S1801">
        <f>IF([@data_scadentei]&lt;[@data_factura],"SCADENTA INAINTEA FACTURII","")</f>
        <v/>
      </c>
      <c r="T1801">
        <f>IF(NETWORKDAYS.INTL([@data_factura],[@data_factura],1,tbl_SarbatoriLegale[data])=0,"ZI NELUCRATOARE","")</f>
        <v/>
      </c>
      <c r="U1801">
        <f>IF([@motiv_anomalie]="","OK","DE INVESTIGAT")</f>
        <v/>
      </c>
      <c r="V1801">
        <f>TEXTJOIN("; ",TRUE,[@flag_oras],[@flag_tva],[@flag_scadenta],[@flag_zi])</f>
        <v/>
      </c>
    </row>
    <row r="1802">
      <c r="A1802" t="inlineStr">
        <is>
          <t>F-2025-01801</t>
        </is>
      </c>
      <c r="B1802" s="12" t="n">
        <v>46133</v>
      </c>
      <c r="C1802" t="inlineStr">
        <is>
          <t>SC SOLARIS ENERGY SRL</t>
        </is>
      </c>
      <c r="D1802" t="inlineStr">
        <is>
          <t>Prahova</t>
        </is>
      </c>
      <c r="E1802" t="inlineStr">
        <is>
          <t>PRD-009</t>
        </is>
      </c>
      <c r="F1802" t="inlineStr">
        <is>
          <t>Apa plata bax</t>
        </is>
      </c>
      <c r="G1802" t="inlineStr">
        <is>
          <t>Alimente</t>
        </is>
      </c>
      <c r="H1802" t="n">
        <v>5</v>
      </c>
      <c r="I1802" t="n">
        <v>26.88</v>
      </c>
      <c r="J1802" t="n">
        <v>134.4</v>
      </c>
      <c r="K1802" s="13" t="n">
        <v>0.09</v>
      </c>
      <c r="L1802" t="n">
        <v>12.1</v>
      </c>
      <c r="M1802" t="n">
        <v>146.5</v>
      </c>
      <c r="N1802" t="inlineStr">
        <is>
          <t>RON</t>
        </is>
      </c>
      <c r="O1802" t="inlineStr">
        <is>
          <t>Câmpina</t>
        </is>
      </c>
      <c r="P1802" s="12" t="n">
        <v>46178</v>
      </c>
      <c r="Q1802">
        <f>IF(COUNTIF(tbl_Localitati[oras_oficial],[@oras])=0,"ORAS NEALINIAT",IF(XLOOKUP([@oras],tbl_Localitati[oras_oficial],tbl_Localitati[judet],"?")&lt;&gt;[@judet],"JUDET NECORESPUNZATOR",""))</f>
        <v/>
      </c>
      <c r="R1802">
        <f>IF(XLOOKUP([@categorie],tbl_RegulriTVA[categorie],tbl_RegulriTVA[cota_legala],-1)&lt;&gt;[@cota_tva],"TVA GRESIT","")</f>
        <v/>
      </c>
      <c r="S1802">
        <f>IF([@data_scadentei]&lt;[@data_factura],"SCADENTA INAINTEA FACTURII","")</f>
        <v/>
      </c>
      <c r="T1802">
        <f>IF(NETWORKDAYS.INTL([@data_factura],[@data_factura],1,tbl_SarbatoriLegale[data])=0,"ZI NELUCRATOARE","")</f>
        <v/>
      </c>
      <c r="U1802">
        <f>IF([@motiv_anomalie]="","OK","DE INVESTIGAT")</f>
        <v/>
      </c>
      <c r="V1802">
        <f>TEXTJOIN("; ",TRUE,[@flag_oras],[@flag_tva],[@flag_scadenta],[@flag_zi])</f>
        <v/>
      </c>
    </row>
    <row r="1803">
      <c r="A1803" t="inlineStr">
        <is>
          <t>F-2025-01802</t>
        </is>
      </c>
      <c r="B1803" s="12" t="n">
        <v>46302</v>
      </c>
      <c r="C1803" t="inlineStr">
        <is>
          <t>SC AROMET TRADING SRL</t>
        </is>
      </c>
      <c r="D1803" t="inlineStr">
        <is>
          <t>Alba</t>
        </is>
      </c>
      <c r="E1803" t="inlineStr">
        <is>
          <t>PRD-011</t>
        </is>
      </c>
      <c r="F1803" t="inlineStr">
        <is>
          <t>Videoproiector sala</t>
        </is>
      </c>
      <c r="G1803" t="inlineStr">
        <is>
          <t>Echipamente birou</t>
        </is>
      </c>
      <c r="H1803" t="n">
        <v>50</v>
      </c>
      <c r="I1803" t="n">
        <v>46.74</v>
      </c>
      <c r="J1803" t="n">
        <v>2337</v>
      </c>
      <c r="K1803" s="13" t="n">
        <v>0.19</v>
      </c>
      <c r="L1803" t="n">
        <v>444.03</v>
      </c>
      <c r="M1803" t="n">
        <v>2781.03</v>
      </c>
      <c r="N1803" t="inlineStr">
        <is>
          <t>RON</t>
        </is>
      </c>
      <c r="O1803" t="inlineStr">
        <is>
          <t>Alba Iulia</t>
        </is>
      </c>
      <c r="P1803" s="12" t="n">
        <v>46347</v>
      </c>
      <c r="Q1803">
        <f>IF(COUNTIF(tbl_Localitati[oras_oficial],[@oras])=0,"ORAS NEALINIAT",IF(XLOOKUP([@oras],tbl_Localitati[oras_oficial],tbl_Localitati[judet],"?")&lt;&gt;[@judet],"JUDET NECORESPUNZATOR",""))</f>
        <v/>
      </c>
      <c r="R1803">
        <f>IF(XLOOKUP([@categorie],tbl_RegulriTVA[categorie],tbl_RegulriTVA[cota_legala],-1)&lt;&gt;[@cota_tva],"TVA GRESIT","")</f>
        <v/>
      </c>
      <c r="S1803">
        <f>IF([@data_scadentei]&lt;[@data_factura],"SCADENTA INAINTEA FACTURII","")</f>
        <v/>
      </c>
      <c r="T1803">
        <f>IF(NETWORKDAYS.INTL([@data_factura],[@data_factura],1,tbl_SarbatoriLegale[data])=0,"ZI NELUCRATOARE","")</f>
        <v/>
      </c>
      <c r="U1803">
        <f>IF([@motiv_anomalie]="","OK","DE INVESTIGAT")</f>
        <v/>
      </c>
      <c r="V1803">
        <f>TEXTJOIN("; ",TRUE,[@flag_oras],[@flag_tva],[@flag_scadenta],[@flag_zi])</f>
        <v/>
      </c>
    </row>
    <row r="1804">
      <c r="A1804" t="inlineStr">
        <is>
          <t>F-2025-01803</t>
        </is>
      </c>
      <c r="B1804" s="12" t="n">
        <v>46062</v>
      </c>
      <c r="C1804" t="inlineStr">
        <is>
          <t>SC OMEGA SOFT SRL</t>
        </is>
      </c>
      <c r="D1804" t="inlineStr">
        <is>
          <t>Dolj</t>
        </is>
      </c>
      <c r="E1804" t="inlineStr">
        <is>
          <t>PRD-006</t>
        </is>
      </c>
      <c r="F1804" t="inlineStr">
        <is>
          <t>Monitor 27" 4K</t>
        </is>
      </c>
      <c r="G1804" t="inlineStr">
        <is>
          <t>Hardware IT</t>
        </is>
      </c>
      <c r="H1804" t="n">
        <v>1</v>
      </c>
      <c r="I1804" t="n">
        <v>750.55</v>
      </c>
      <c r="J1804" t="n">
        <v>750.55</v>
      </c>
      <c r="K1804" s="13" t="n">
        <v>0.19</v>
      </c>
      <c r="L1804" t="n">
        <v>142.6</v>
      </c>
      <c r="M1804" t="n">
        <v>893.15</v>
      </c>
      <c r="N1804" t="inlineStr">
        <is>
          <t>EUR</t>
        </is>
      </c>
      <c r="O1804" t="inlineStr">
        <is>
          <t>Craiova</t>
        </is>
      </c>
      <c r="P1804" s="12" t="n">
        <v>46092</v>
      </c>
      <c r="Q1804">
        <f>IF(COUNTIF(tbl_Localitati[oras_oficial],[@oras])=0,"ORAS NEALINIAT",IF(XLOOKUP([@oras],tbl_Localitati[oras_oficial],tbl_Localitati[judet],"?")&lt;&gt;[@judet],"JUDET NECORESPUNZATOR",""))</f>
        <v/>
      </c>
      <c r="R1804">
        <f>IF(XLOOKUP([@categorie],tbl_RegulriTVA[categorie],tbl_RegulriTVA[cota_legala],-1)&lt;&gt;[@cota_tva],"TVA GRESIT","")</f>
        <v/>
      </c>
      <c r="S1804">
        <f>IF([@data_scadentei]&lt;[@data_factura],"SCADENTA INAINTEA FACTURII","")</f>
        <v/>
      </c>
      <c r="T1804">
        <f>IF(NETWORKDAYS.INTL([@data_factura],[@data_factura],1,tbl_SarbatoriLegale[data])=0,"ZI NELUCRATOARE","")</f>
        <v/>
      </c>
      <c r="U1804">
        <f>IF([@motiv_anomalie]="","OK","DE INVESTIGAT")</f>
        <v/>
      </c>
      <c r="V1804">
        <f>TEXTJOIN("; ",TRUE,[@flag_oras],[@flag_tva],[@flag_scadenta],[@flag_zi])</f>
        <v/>
      </c>
    </row>
    <row r="1805">
      <c r="A1805" t="inlineStr">
        <is>
          <t>F-2025-01804</t>
        </is>
      </c>
      <c r="B1805" s="12" t="n">
        <v>46358</v>
      </c>
      <c r="C1805" t="inlineStr">
        <is>
          <t>SC INTEGROMED SA</t>
        </is>
      </c>
      <c r="D1805" t="inlineStr">
        <is>
          <t>Cluj</t>
        </is>
      </c>
      <c r="E1805" t="inlineStr">
        <is>
          <t>PRD-009</t>
        </is>
      </c>
      <c r="F1805" t="inlineStr">
        <is>
          <t>Licenta Office 365 anuala</t>
        </is>
      </c>
      <c r="G1805" t="inlineStr">
        <is>
          <t>Licențe software</t>
        </is>
      </c>
      <c r="H1805" t="n">
        <v>100</v>
      </c>
      <c r="I1805" t="n">
        <v>28.75</v>
      </c>
      <c r="J1805" t="n">
        <v>2875</v>
      </c>
      <c r="K1805" s="13" t="n">
        <v>0.19</v>
      </c>
      <c r="L1805" t="n">
        <v>546.25</v>
      </c>
      <c r="M1805" t="n">
        <v>3421.25</v>
      </c>
      <c r="N1805" t="inlineStr">
        <is>
          <t>RON</t>
        </is>
      </c>
      <c r="O1805" t="inlineStr">
        <is>
          <t>Cluj-Napoca</t>
        </is>
      </c>
      <c r="P1805" s="12" t="n">
        <v>46388</v>
      </c>
      <c r="Q1805">
        <f>IF(COUNTIF(tbl_Localitati[oras_oficial],[@oras])=0,"ORAS NEALINIAT",IF(XLOOKUP([@oras],tbl_Localitati[oras_oficial],tbl_Localitati[judet],"?")&lt;&gt;[@judet],"JUDET NECORESPUNZATOR",""))</f>
        <v/>
      </c>
      <c r="R1805">
        <f>IF(XLOOKUP([@categorie],tbl_RegulriTVA[categorie],tbl_RegulriTVA[cota_legala],-1)&lt;&gt;[@cota_tva],"TVA GRESIT","")</f>
        <v/>
      </c>
      <c r="S1805">
        <f>IF([@data_scadentei]&lt;[@data_factura],"SCADENTA INAINTEA FACTURII","")</f>
        <v/>
      </c>
      <c r="T1805">
        <f>IF(NETWORKDAYS.INTL([@data_factura],[@data_factura],1,tbl_SarbatoriLegale[data])=0,"ZI NELUCRATOARE","")</f>
        <v/>
      </c>
      <c r="U1805">
        <f>IF([@motiv_anomalie]="","OK","DE INVESTIGAT")</f>
        <v/>
      </c>
      <c r="V1805">
        <f>TEXTJOIN("; ",TRUE,[@flag_oras],[@flag_tva],[@flag_scadenta],[@flag_zi])</f>
        <v/>
      </c>
    </row>
    <row r="1806">
      <c r="A1806" t="inlineStr">
        <is>
          <t>F-2025-01805</t>
        </is>
      </c>
      <c r="B1806" s="12" t="n">
        <v>46188</v>
      </c>
      <c r="C1806" t="inlineStr">
        <is>
          <t>SC AROMET TRADING SRL</t>
        </is>
      </c>
      <c r="D1806" t="inlineStr">
        <is>
          <t>Alba</t>
        </is>
      </c>
      <c r="E1806" t="inlineStr">
        <is>
          <t>PRD-010</t>
        </is>
      </c>
      <c r="F1806" t="inlineStr">
        <is>
          <t>Manual proceduri interne</t>
        </is>
      </c>
      <c r="G1806" t="inlineStr">
        <is>
          <t>Cărți și manuale</t>
        </is>
      </c>
      <c r="H1806" t="n">
        <v>20</v>
      </c>
      <c r="I1806" t="n">
        <v>359.37</v>
      </c>
      <c r="J1806" t="n">
        <v>7187.4</v>
      </c>
      <c r="K1806" s="13" t="n">
        <v>0.05</v>
      </c>
      <c r="L1806" t="n">
        <v>359.37</v>
      </c>
      <c r="M1806" t="n">
        <v>7546.77</v>
      </c>
      <c r="N1806" t="inlineStr">
        <is>
          <t>RON</t>
        </is>
      </c>
      <c r="O1806" t="inlineStr">
        <is>
          <t>Alba Iulia</t>
        </is>
      </c>
      <c r="P1806" s="12" t="n">
        <v>46233</v>
      </c>
      <c r="Q1806">
        <f>IF(COUNTIF(tbl_Localitati[oras_oficial],[@oras])=0,"ORAS NEALINIAT",IF(XLOOKUP([@oras],tbl_Localitati[oras_oficial],tbl_Localitati[judet],"?")&lt;&gt;[@judet],"JUDET NECORESPUNZATOR",""))</f>
        <v/>
      </c>
      <c r="R1806">
        <f>IF(XLOOKUP([@categorie],tbl_RegulriTVA[categorie],tbl_RegulriTVA[cota_legala],-1)&lt;&gt;[@cota_tva],"TVA GRESIT","")</f>
        <v/>
      </c>
      <c r="S1806">
        <f>IF([@data_scadentei]&lt;[@data_factura],"SCADENTA INAINTEA FACTURII","")</f>
        <v/>
      </c>
      <c r="T1806">
        <f>IF(NETWORKDAYS.INTL([@data_factura],[@data_factura],1,tbl_SarbatoriLegale[data])=0,"ZI NELUCRATOARE","")</f>
        <v/>
      </c>
      <c r="U1806">
        <f>IF([@motiv_anomalie]="","OK","DE INVESTIGAT")</f>
        <v/>
      </c>
      <c r="V1806">
        <f>TEXTJOIN("; ",TRUE,[@flag_oras],[@flag_tva],[@flag_scadenta],[@flag_zi])</f>
        <v/>
      </c>
    </row>
    <row r="1807">
      <c r="A1807" t="inlineStr">
        <is>
          <t>F-2025-01806</t>
        </is>
      </c>
      <c r="B1807" s="12" t="n">
        <v>46203</v>
      </c>
      <c r="C1807" t="inlineStr">
        <is>
          <t>SC FARMAVITAL DISTRIBUTIE SA</t>
        </is>
      </c>
      <c r="D1807" t="inlineStr">
        <is>
          <t>Bihor</t>
        </is>
      </c>
      <c r="E1807" t="inlineStr">
        <is>
          <t>PRD-001</t>
        </is>
      </c>
      <c r="F1807" t="inlineStr">
        <is>
          <t>Licenta Office 365 anuala</t>
        </is>
      </c>
      <c r="G1807" t="inlineStr">
        <is>
          <t>Licențe software</t>
        </is>
      </c>
      <c r="H1807" t="n">
        <v>2</v>
      </c>
      <c r="I1807" t="n">
        <v>2516.01</v>
      </c>
      <c r="J1807" t="n">
        <v>5032.02</v>
      </c>
      <c r="K1807" s="13" t="n">
        <v>0.19</v>
      </c>
      <c r="L1807" t="n">
        <v>956.08</v>
      </c>
      <c r="M1807" t="n">
        <v>5988.1</v>
      </c>
      <c r="N1807" t="inlineStr">
        <is>
          <t>RON</t>
        </is>
      </c>
      <c r="O1807" t="inlineStr">
        <is>
          <t>Oradea</t>
        </is>
      </c>
      <c r="P1807" s="12" t="n">
        <v>46233</v>
      </c>
      <c r="Q1807">
        <f>IF(COUNTIF(tbl_Localitati[oras_oficial],[@oras])=0,"ORAS NEALINIAT",IF(XLOOKUP([@oras],tbl_Localitati[oras_oficial],tbl_Localitati[judet],"?")&lt;&gt;[@judet],"JUDET NECORESPUNZATOR",""))</f>
        <v/>
      </c>
      <c r="R1807">
        <f>IF(XLOOKUP([@categorie],tbl_RegulriTVA[categorie],tbl_RegulriTVA[cota_legala],-1)&lt;&gt;[@cota_tva],"TVA GRESIT","")</f>
        <v/>
      </c>
      <c r="S1807">
        <f>IF([@data_scadentei]&lt;[@data_factura],"SCADENTA INAINTEA FACTURII","")</f>
        <v/>
      </c>
      <c r="T1807">
        <f>IF(NETWORKDAYS.INTL([@data_factura],[@data_factura],1,tbl_SarbatoriLegale[data])=0,"ZI NELUCRATOARE","")</f>
        <v/>
      </c>
      <c r="U1807">
        <f>IF([@motiv_anomalie]="","OK","DE INVESTIGAT")</f>
        <v/>
      </c>
      <c r="V1807">
        <f>TEXTJOIN("; ",TRUE,[@flag_oras],[@flag_tva],[@flag_scadenta],[@flag_zi])</f>
        <v/>
      </c>
    </row>
    <row r="1808">
      <c r="A1808" t="inlineStr">
        <is>
          <t>F-2025-01807</t>
        </is>
      </c>
      <c r="B1808" s="12" t="n">
        <v>46343</v>
      </c>
      <c r="C1808" t="inlineStr">
        <is>
          <t>SC PROVITA MEDICAL SRL</t>
        </is>
      </c>
      <c r="D1808" t="inlineStr">
        <is>
          <t>Mureș</t>
        </is>
      </c>
      <c r="E1808" t="inlineStr">
        <is>
          <t>PRD-003</t>
        </is>
      </c>
      <c r="F1808" t="inlineStr">
        <is>
          <t>Masti protectie cutie</t>
        </is>
      </c>
      <c r="G1808" t="inlineStr">
        <is>
          <t>Produse farmaceutice</t>
        </is>
      </c>
      <c r="H1808" t="n">
        <v>1</v>
      </c>
      <c r="I1808" t="n">
        <v>3995.43</v>
      </c>
      <c r="J1808" t="n">
        <v>3995.43</v>
      </c>
      <c r="K1808" s="13" t="n">
        <v>0.09</v>
      </c>
      <c r="L1808" t="n">
        <v>359.59</v>
      </c>
      <c r="M1808" t="n">
        <v>4355.02</v>
      </c>
      <c r="N1808" t="inlineStr">
        <is>
          <t>RON</t>
        </is>
      </c>
      <c r="O1808" t="inlineStr">
        <is>
          <t>Târgu Mureș</t>
        </is>
      </c>
      <c r="P1808" s="12" t="n">
        <v>46373</v>
      </c>
      <c r="Q1808">
        <f>IF(COUNTIF(tbl_Localitati[oras_oficial],[@oras])=0,"ORAS NEALINIAT",IF(XLOOKUP([@oras],tbl_Localitati[oras_oficial],tbl_Localitati[judet],"?")&lt;&gt;[@judet],"JUDET NECORESPUNZATOR",""))</f>
        <v/>
      </c>
      <c r="R1808">
        <f>IF(XLOOKUP([@categorie],tbl_RegulriTVA[categorie],tbl_RegulriTVA[cota_legala],-1)&lt;&gt;[@cota_tva],"TVA GRESIT","")</f>
        <v/>
      </c>
      <c r="S1808">
        <f>IF([@data_scadentei]&lt;[@data_factura],"SCADENTA INAINTEA FACTURII","")</f>
        <v/>
      </c>
      <c r="T1808">
        <f>IF(NETWORKDAYS.INTL([@data_factura],[@data_factura],1,tbl_SarbatoriLegale[data])=0,"ZI NELUCRATOARE","")</f>
        <v/>
      </c>
      <c r="U1808">
        <f>IF([@motiv_anomalie]="","OK","DE INVESTIGAT")</f>
        <v/>
      </c>
      <c r="V1808">
        <f>TEXTJOIN("; ",TRUE,[@flag_oras],[@flag_tva],[@flag_scadenta],[@flag_zi])</f>
        <v/>
      </c>
    </row>
    <row r="1809">
      <c r="A1809" t="inlineStr">
        <is>
          <t>F-2025-01808</t>
        </is>
      </c>
      <c r="B1809" s="12" t="n">
        <v>46182</v>
      </c>
      <c r="C1809" t="inlineStr">
        <is>
          <t>SC INTEGROMED SA</t>
        </is>
      </c>
      <c r="D1809" t="inlineStr">
        <is>
          <t>Cluj</t>
        </is>
      </c>
      <c r="E1809" t="inlineStr">
        <is>
          <t>PRD-010</t>
        </is>
      </c>
      <c r="F1809" t="inlineStr">
        <is>
          <t>Audit infrastructura</t>
        </is>
      </c>
      <c r="G1809" t="inlineStr">
        <is>
          <t>Servicii consultanță</t>
        </is>
      </c>
      <c r="H1809" t="n">
        <v>50</v>
      </c>
      <c r="I1809" t="n">
        <v>343.71</v>
      </c>
      <c r="J1809" t="n">
        <v>17185.5</v>
      </c>
      <c r="K1809" s="13" t="n">
        <v>0.19</v>
      </c>
      <c r="L1809" t="n">
        <v>3265.24</v>
      </c>
      <c r="M1809" t="n">
        <v>20450.74</v>
      </c>
      <c r="N1809" t="inlineStr">
        <is>
          <t>EUR</t>
        </is>
      </c>
      <c r="O1809" t="inlineStr">
        <is>
          <t>Cluj-Napoca</t>
        </is>
      </c>
      <c r="P1809" s="12" t="n">
        <v>46227</v>
      </c>
      <c r="Q1809">
        <f>IF(COUNTIF(tbl_Localitati[oras_oficial],[@oras])=0,"ORAS NEALINIAT",IF(XLOOKUP([@oras],tbl_Localitati[oras_oficial],tbl_Localitati[judet],"?")&lt;&gt;[@judet],"JUDET NECORESPUNZATOR",""))</f>
        <v/>
      </c>
      <c r="R1809">
        <f>IF(XLOOKUP([@categorie],tbl_RegulriTVA[categorie],tbl_RegulriTVA[cota_legala],-1)&lt;&gt;[@cota_tva],"TVA GRESIT","")</f>
        <v/>
      </c>
      <c r="S1809">
        <f>IF([@data_scadentei]&lt;[@data_factura],"SCADENTA INAINTEA FACTURII","")</f>
        <v/>
      </c>
      <c r="T1809">
        <f>IF(NETWORKDAYS.INTL([@data_factura],[@data_factura],1,tbl_SarbatoriLegale[data])=0,"ZI NELUCRATOARE","")</f>
        <v/>
      </c>
      <c r="U1809">
        <f>IF([@motiv_anomalie]="","OK","DE INVESTIGAT")</f>
        <v/>
      </c>
      <c r="V1809">
        <f>TEXTJOIN("; ",TRUE,[@flag_oras],[@flag_tva],[@flag_scadenta],[@flag_zi])</f>
        <v/>
      </c>
    </row>
    <row r="1810">
      <c r="A1810" t="inlineStr">
        <is>
          <t>F-2025-01809</t>
        </is>
      </c>
      <c r="B1810" s="12" t="n">
        <v>46104</v>
      </c>
      <c r="C1810" t="inlineStr">
        <is>
          <t>SC AROMET TRADING SRL</t>
        </is>
      </c>
      <c r="D1810" t="inlineStr">
        <is>
          <t>Alba</t>
        </is>
      </c>
      <c r="E1810" t="inlineStr">
        <is>
          <t>PRD-011</t>
        </is>
      </c>
      <c r="F1810" t="inlineStr">
        <is>
          <t>Trusa prim ajutor</t>
        </is>
      </c>
      <c r="G1810" t="inlineStr">
        <is>
          <t>Produse farmaceutice</t>
        </is>
      </c>
      <c r="H1810" t="n">
        <v>5</v>
      </c>
      <c r="I1810" t="n">
        <v>46.65</v>
      </c>
      <c r="J1810" t="n">
        <v>233.25</v>
      </c>
      <c r="K1810" s="13" t="n">
        <v>0.09</v>
      </c>
      <c r="L1810" t="n">
        <v>20.99</v>
      </c>
      <c r="M1810" t="n">
        <v>254.24</v>
      </c>
      <c r="N1810" t="inlineStr">
        <is>
          <t>RON</t>
        </is>
      </c>
      <c r="O1810" t="inlineStr">
        <is>
          <t>Alba Iulia</t>
        </is>
      </c>
      <c r="P1810" s="12" t="n">
        <v>46149</v>
      </c>
      <c r="Q1810">
        <f>IF(COUNTIF(tbl_Localitati[oras_oficial],[@oras])=0,"ORAS NEALINIAT",IF(XLOOKUP([@oras],tbl_Localitati[oras_oficial],tbl_Localitati[judet],"?")&lt;&gt;[@judet],"JUDET NECORESPUNZATOR",""))</f>
        <v/>
      </c>
      <c r="R1810">
        <f>IF(XLOOKUP([@categorie],tbl_RegulriTVA[categorie],tbl_RegulriTVA[cota_legala],-1)&lt;&gt;[@cota_tva],"TVA GRESIT","")</f>
        <v/>
      </c>
      <c r="S1810">
        <f>IF([@data_scadentei]&lt;[@data_factura],"SCADENTA INAINTEA FACTURII","")</f>
        <v/>
      </c>
      <c r="T1810">
        <f>IF(NETWORKDAYS.INTL([@data_factura],[@data_factura],1,tbl_SarbatoriLegale[data])=0,"ZI NELUCRATOARE","")</f>
        <v/>
      </c>
      <c r="U1810">
        <f>IF([@motiv_anomalie]="","OK","DE INVESTIGAT")</f>
        <v/>
      </c>
      <c r="V1810">
        <f>TEXTJOIN("; ",TRUE,[@flag_oras],[@flag_tva],[@flag_scadenta],[@flag_zi])</f>
        <v/>
      </c>
    </row>
    <row r="1811">
      <c r="A1811" t="inlineStr">
        <is>
          <t>F-2025-01810</t>
        </is>
      </c>
      <c r="B1811" s="12" t="n">
        <v>46239</v>
      </c>
      <c r="C1811" t="inlineStr">
        <is>
          <t>SC NORDIS DISTRIBUTIE SRL</t>
        </is>
      </c>
      <c r="D1811" t="inlineStr">
        <is>
          <t>Constanța</t>
        </is>
      </c>
      <c r="E1811" t="inlineStr">
        <is>
          <t>PRD-012</t>
        </is>
      </c>
      <c r="F1811" t="inlineStr">
        <is>
          <t>Switch gigabit 24p</t>
        </is>
      </c>
      <c r="G1811" t="inlineStr">
        <is>
          <t>Hardware IT</t>
        </is>
      </c>
      <c r="H1811" t="n">
        <v>1</v>
      </c>
      <c r="I1811" t="n">
        <v>186.61</v>
      </c>
      <c r="J1811" t="n">
        <v>186.61</v>
      </c>
      <c r="K1811" s="13" t="n">
        <v>0.19</v>
      </c>
      <c r="L1811" t="n">
        <v>35.46</v>
      </c>
      <c r="M1811" t="n">
        <v>222.07</v>
      </c>
      <c r="N1811" t="inlineStr">
        <is>
          <t>RON</t>
        </is>
      </c>
      <c r="O1811" t="inlineStr">
        <is>
          <t>Mangalia</t>
        </is>
      </c>
      <c r="P1811" s="12" t="n">
        <v>46299</v>
      </c>
      <c r="Q1811">
        <f>IF(COUNTIF(tbl_Localitati[oras_oficial],[@oras])=0,"ORAS NEALINIAT",IF(XLOOKUP([@oras],tbl_Localitati[oras_oficial],tbl_Localitati[judet],"?")&lt;&gt;[@judet],"JUDET NECORESPUNZATOR",""))</f>
        <v/>
      </c>
      <c r="R1811">
        <f>IF(XLOOKUP([@categorie],tbl_RegulriTVA[categorie],tbl_RegulriTVA[cota_legala],-1)&lt;&gt;[@cota_tva],"TVA GRESIT","")</f>
        <v/>
      </c>
      <c r="S1811">
        <f>IF([@data_scadentei]&lt;[@data_factura],"SCADENTA INAINTEA FACTURII","")</f>
        <v/>
      </c>
      <c r="T1811">
        <f>IF(NETWORKDAYS.INTL([@data_factura],[@data_factura],1,tbl_SarbatoriLegale[data])=0,"ZI NELUCRATOARE","")</f>
        <v/>
      </c>
      <c r="U1811">
        <f>IF([@motiv_anomalie]="","OK","DE INVESTIGAT")</f>
        <v/>
      </c>
      <c r="V1811">
        <f>TEXTJOIN("; ",TRUE,[@flag_oras],[@flag_tva],[@flag_scadenta],[@flag_zi])</f>
        <v/>
      </c>
    </row>
    <row r="1812">
      <c r="A1812" t="inlineStr">
        <is>
          <t>F-2025-01811</t>
        </is>
      </c>
      <c r="B1812" s="12" t="n">
        <v>46206</v>
      </c>
      <c r="C1812" t="inlineStr">
        <is>
          <t>SC ZENITH AUTO SRL</t>
        </is>
      </c>
      <c r="D1812" t="inlineStr">
        <is>
          <t>București</t>
        </is>
      </c>
      <c r="E1812" t="inlineStr">
        <is>
          <t>PRD-010</t>
        </is>
      </c>
      <c r="F1812" t="inlineStr">
        <is>
          <t>Switch gigabit 24p</t>
        </is>
      </c>
      <c r="G1812" t="inlineStr">
        <is>
          <t>Hardware IT</t>
        </is>
      </c>
      <c r="H1812" t="n">
        <v>10</v>
      </c>
      <c r="I1812" t="n">
        <v>343.22</v>
      </c>
      <c r="J1812" t="n">
        <v>3432.2</v>
      </c>
      <c r="K1812" s="13" t="n">
        <v>0.19</v>
      </c>
      <c r="L1812" t="n">
        <v>652.12</v>
      </c>
      <c r="M1812" t="n">
        <v>4084.32</v>
      </c>
      <c r="N1812" t="inlineStr">
        <is>
          <t>RON</t>
        </is>
      </c>
      <c r="O1812" t="inlineStr">
        <is>
          <t>București</t>
        </is>
      </c>
      <c r="P1812" s="12" t="n">
        <v>46266</v>
      </c>
      <c r="Q1812">
        <f>IF(COUNTIF(tbl_Localitati[oras_oficial],[@oras])=0,"ORAS NEALINIAT",IF(XLOOKUP([@oras],tbl_Localitati[oras_oficial],tbl_Localitati[judet],"?")&lt;&gt;[@judet],"JUDET NECORESPUNZATOR",""))</f>
        <v/>
      </c>
      <c r="R1812">
        <f>IF(XLOOKUP([@categorie],tbl_RegulriTVA[categorie],tbl_RegulriTVA[cota_legala],-1)&lt;&gt;[@cota_tva],"TVA GRESIT","")</f>
        <v/>
      </c>
      <c r="S1812">
        <f>IF([@data_scadentei]&lt;[@data_factura],"SCADENTA INAINTEA FACTURII","")</f>
        <v/>
      </c>
      <c r="T1812">
        <f>IF(NETWORKDAYS.INTL([@data_factura],[@data_factura],1,tbl_SarbatoriLegale[data])=0,"ZI NELUCRATOARE","")</f>
        <v/>
      </c>
      <c r="U1812">
        <f>IF([@motiv_anomalie]="","OK","DE INVESTIGAT")</f>
        <v/>
      </c>
      <c r="V1812">
        <f>TEXTJOIN("; ",TRUE,[@flag_oras],[@flag_tva],[@flag_scadenta],[@flag_zi])</f>
        <v/>
      </c>
    </row>
    <row r="1813">
      <c r="A1813" t="inlineStr">
        <is>
          <t>F-2025-01812</t>
        </is>
      </c>
      <c r="B1813" s="12" t="n">
        <v>46134</v>
      </c>
      <c r="C1813" t="inlineStr">
        <is>
          <t>SC AROMET TRADING SRL</t>
        </is>
      </c>
      <c r="D1813" t="inlineStr">
        <is>
          <t>Alba</t>
        </is>
      </c>
      <c r="E1813" t="inlineStr">
        <is>
          <t>PRD-009</t>
        </is>
      </c>
      <c r="F1813" t="inlineStr">
        <is>
          <t>Masti protectie cutie</t>
        </is>
      </c>
      <c r="G1813" t="inlineStr">
        <is>
          <t>Produse farmaceutice</t>
        </is>
      </c>
      <c r="H1813" t="n">
        <v>10</v>
      </c>
      <c r="I1813" t="n">
        <v>28.77</v>
      </c>
      <c r="J1813" t="n">
        <v>287.7</v>
      </c>
      <c r="K1813" s="13" t="n">
        <v>0.09</v>
      </c>
      <c r="L1813" t="n">
        <v>25.89</v>
      </c>
      <c r="M1813" t="n">
        <v>313.59</v>
      </c>
      <c r="N1813" t="inlineStr">
        <is>
          <t>RON</t>
        </is>
      </c>
      <c r="O1813" t="inlineStr">
        <is>
          <t>Alba Iulia</t>
        </is>
      </c>
      <c r="P1813" s="12" t="n">
        <v>46164</v>
      </c>
      <c r="Q1813">
        <f>IF(COUNTIF(tbl_Localitati[oras_oficial],[@oras])=0,"ORAS NEALINIAT",IF(XLOOKUP([@oras],tbl_Localitati[oras_oficial],tbl_Localitati[judet],"?")&lt;&gt;[@judet],"JUDET NECORESPUNZATOR",""))</f>
        <v/>
      </c>
      <c r="R1813">
        <f>IF(XLOOKUP([@categorie],tbl_RegulriTVA[categorie],tbl_RegulriTVA[cota_legala],-1)&lt;&gt;[@cota_tva],"TVA GRESIT","")</f>
        <v/>
      </c>
      <c r="S1813">
        <f>IF([@data_scadentei]&lt;[@data_factura],"SCADENTA INAINTEA FACTURII","")</f>
        <v/>
      </c>
      <c r="T1813">
        <f>IF(NETWORKDAYS.INTL([@data_factura],[@data_factura],1,tbl_SarbatoriLegale[data])=0,"ZI NELUCRATOARE","")</f>
        <v/>
      </c>
      <c r="U1813">
        <f>IF([@motiv_anomalie]="","OK","DE INVESTIGAT")</f>
        <v/>
      </c>
      <c r="V1813">
        <f>TEXTJOIN("; ",TRUE,[@flag_oras],[@flag_tva],[@flag_scadenta],[@flag_zi])</f>
        <v/>
      </c>
    </row>
    <row r="1814">
      <c r="A1814" t="inlineStr">
        <is>
          <t>F-2025-01813</t>
        </is>
      </c>
      <c r="B1814" s="12" t="n">
        <v>46223</v>
      </c>
      <c r="C1814" t="inlineStr">
        <is>
          <t>SC DACTECH SOLUTIONS SRL</t>
        </is>
      </c>
      <c r="D1814" t="inlineStr">
        <is>
          <t>Argeș</t>
        </is>
      </c>
      <c r="E1814" t="inlineStr">
        <is>
          <t>PRD-005</t>
        </is>
      </c>
      <c r="F1814" t="inlineStr">
        <is>
          <t>Licenta ERP contabilitate</t>
        </is>
      </c>
      <c r="G1814" t="inlineStr">
        <is>
          <t>Licențe software</t>
        </is>
      </c>
      <c r="H1814" t="n">
        <v>1</v>
      </c>
      <c r="I1814" t="n">
        <v>258.54</v>
      </c>
      <c r="J1814" t="n">
        <v>258.54</v>
      </c>
      <c r="K1814" s="13" t="n">
        <v>0.19</v>
      </c>
      <c r="L1814" t="n">
        <v>49.12</v>
      </c>
      <c r="M1814" t="n">
        <v>307.66</v>
      </c>
      <c r="N1814" t="inlineStr">
        <is>
          <t>RON</t>
        </is>
      </c>
      <c r="O1814" t="inlineStr">
        <is>
          <t>Pitești</t>
        </is>
      </c>
      <c r="P1814" s="12" t="n">
        <v>46268</v>
      </c>
      <c r="Q1814">
        <f>IF(COUNTIF(tbl_Localitati[oras_oficial],[@oras])=0,"ORAS NEALINIAT",IF(XLOOKUP([@oras],tbl_Localitati[oras_oficial],tbl_Localitati[judet],"?")&lt;&gt;[@judet],"JUDET NECORESPUNZATOR",""))</f>
        <v/>
      </c>
      <c r="R1814">
        <f>IF(XLOOKUP([@categorie],tbl_RegulriTVA[categorie],tbl_RegulriTVA[cota_legala],-1)&lt;&gt;[@cota_tva],"TVA GRESIT","")</f>
        <v/>
      </c>
      <c r="S1814">
        <f>IF([@data_scadentei]&lt;[@data_factura],"SCADENTA INAINTEA FACTURII","")</f>
        <v/>
      </c>
      <c r="T1814">
        <f>IF(NETWORKDAYS.INTL([@data_factura],[@data_factura],1,tbl_SarbatoriLegale[data])=0,"ZI NELUCRATOARE","")</f>
        <v/>
      </c>
      <c r="U1814">
        <f>IF([@motiv_anomalie]="","OK","DE INVESTIGAT")</f>
        <v/>
      </c>
      <c r="V1814">
        <f>TEXTJOIN("; ",TRUE,[@flag_oras],[@flag_tva],[@flag_scadenta],[@flag_zi])</f>
        <v/>
      </c>
    </row>
    <row r="1815">
      <c r="A1815" t="inlineStr">
        <is>
          <t>F-2025-01814</t>
        </is>
      </c>
      <c r="B1815" s="12" t="n">
        <v>46254</v>
      </c>
      <c r="C1815" t="inlineStr">
        <is>
          <t>SC RAPID LOGISTIC SA</t>
        </is>
      </c>
      <c r="D1815" t="inlineStr">
        <is>
          <t>Prahova</t>
        </is>
      </c>
      <c r="E1815" t="inlineStr">
        <is>
          <t>PRD-003</t>
        </is>
      </c>
      <c r="F1815" t="inlineStr">
        <is>
          <t>Server rack 1U</t>
        </is>
      </c>
      <c r="G1815" t="inlineStr">
        <is>
          <t>Hardware IT</t>
        </is>
      </c>
      <c r="H1815" t="n">
        <v>1</v>
      </c>
      <c r="I1815" t="n">
        <v>4408.99</v>
      </c>
      <c r="J1815" t="n">
        <v>4408.99</v>
      </c>
      <c r="K1815" s="13" t="n">
        <v>0.19</v>
      </c>
      <c r="L1815" t="n">
        <v>837.71</v>
      </c>
      <c r="M1815" t="n">
        <v>5246.7</v>
      </c>
      <c r="N1815" t="inlineStr">
        <is>
          <t>RON</t>
        </is>
      </c>
      <c r="O1815" t="inlineStr">
        <is>
          <t>Ploiești</t>
        </is>
      </c>
      <c r="P1815" s="12" t="n">
        <v>46299</v>
      </c>
      <c r="Q1815">
        <f>IF(COUNTIF(tbl_Localitati[oras_oficial],[@oras])=0,"ORAS NEALINIAT",IF(XLOOKUP([@oras],tbl_Localitati[oras_oficial],tbl_Localitati[judet],"?")&lt;&gt;[@judet],"JUDET NECORESPUNZATOR",""))</f>
        <v/>
      </c>
      <c r="R1815">
        <f>IF(XLOOKUP([@categorie],tbl_RegulriTVA[categorie],tbl_RegulriTVA[cota_legala],-1)&lt;&gt;[@cota_tva],"TVA GRESIT","")</f>
        <v/>
      </c>
      <c r="S1815">
        <f>IF([@data_scadentei]&lt;[@data_factura],"SCADENTA INAINTEA FACTURII","")</f>
        <v/>
      </c>
      <c r="T1815">
        <f>IF(NETWORKDAYS.INTL([@data_factura],[@data_factura],1,tbl_SarbatoriLegale[data])=0,"ZI NELUCRATOARE","")</f>
        <v/>
      </c>
      <c r="U1815">
        <f>IF([@motiv_anomalie]="","OK","DE INVESTIGAT")</f>
        <v/>
      </c>
      <c r="V1815">
        <f>TEXTJOIN("; ",TRUE,[@flag_oras],[@flag_tva],[@flag_scadenta],[@flag_zi])</f>
        <v/>
      </c>
    </row>
    <row r="1816">
      <c r="A1816" t="inlineStr">
        <is>
          <t>F-2025-01815</t>
        </is>
      </c>
      <c r="B1816" s="12" t="n">
        <v>46295</v>
      </c>
      <c r="C1816" t="inlineStr">
        <is>
          <t>SC NORDIS DISTRIBUTIE SRL</t>
        </is>
      </c>
      <c r="D1816" t="inlineStr">
        <is>
          <t>Constanța</t>
        </is>
      </c>
      <c r="E1816" t="inlineStr">
        <is>
          <t>PRD-009</t>
        </is>
      </c>
      <c r="F1816" t="inlineStr">
        <is>
          <t>Training utilizatori</t>
        </is>
      </c>
      <c r="G1816" t="inlineStr">
        <is>
          <t>Servicii consultanță</t>
        </is>
      </c>
      <c r="H1816" t="n">
        <v>5</v>
      </c>
      <c r="I1816" t="n">
        <v>27.71</v>
      </c>
      <c r="J1816" t="n">
        <v>138.55</v>
      </c>
      <c r="K1816" s="13" t="n">
        <v>0.19</v>
      </c>
      <c r="L1816" t="n">
        <v>26.32</v>
      </c>
      <c r="M1816" t="n">
        <v>164.87</v>
      </c>
      <c r="N1816" t="inlineStr">
        <is>
          <t>RON</t>
        </is>
      </c>
      <c r="O1816" t="inlineStr">
        <is>
          <t>Mangalia</t>
        </is>
      </c>
      <c r="P1816" s="12" t="n">
        <v>46355</v>
      </c>
      <c r="Q1816">
        <f>IF(COUNTIF(tbl_Localitati[oras_oficial],[@oras])=0,"ORAS NEALINIAT",IF(XLOOKUP([@oras],tbl_Localitati[oras_oficial],tbl_Localitati[judet],"?")&lt;&gt;[@judet],"JUDET NECORESPUNZATOR",""))</f>
        <v/>
      </c>
      <c r="R1816">
        <f>IF(XLOOKUP([@categorie],tbl_RegulriTVA[categorie],tbl_RegulriTVA[cota_legala],-1)&lt;&gt;[@cota_tva],"TVA GRESIT","")</f>
        <v/>
      </c>
      <c r="S1816">
        <f>IF([@data_scadentei]&lt;[@data_factura],"SCADENTA INAINTEA FACTURII","")</f>
        <v/>
      </c>
      <c r="T1816">
        <f>IF(NETWORKDAYS.INTL([@data_factura],[@data_factura],1,tbl_SarbatoriLegale[data])=0,"ZI NELUCRATOARE","")</f>
        <v/>
      </c>
      <c r="U1816">
        <f>IF([@motiv_anomalie]="","OK","DE INVESTIGAT")</f>
        <v/>
      </c>
      <c r="V1816">
        <f>TEXTJOIN("; ",TRUE,[@flag_oras],[@flag_tva],[@flag_scadenta],[@flag_zi])</f>
        <v/>
      </c>
    </row>
    <row r="1817">
      <c r="A1817" t="inlineStr">
        <is>
          <t>F-2025-01816</t>
        </is>
      </c>
      <c r="B1817" s="12" t="n">
        <v>46323</v>
      </c>
      <c r="C1817" t="inlineStr">
        <is>
          <t>SC FARMAVITAL DISTRIBUTIE SA</t>
        </is>
      </c>
      <c r="D1817" t="inlineStr">
        <is>
          <t>Bihor</t>
        </is>
      </c>
      <c r="E1817" t="inlineStr">
        <is>
          <t>PRD-008</t>
        </is>
      </c>
      <c r="F1817" t="inlineStr">
        <is>
          <t>Tocator documente</t>
        </is>
      </c>
      <c r="G1817" t="inlineStr">
        <is>
          <t>Echipamente birou</t>
        </is>
      </c>
      <c r="H1817" t="n">
        <v>10</v>
      </c>
      <c r="I1817" t="n">
        <v>462.59</v>
      </c>
      <c r="J1817" t="n">
        <v>4625.9</v>
      </c>
      <c r="K1817" s="13" t="n">
        <v>0.19</v>
      </c>
      <c r="L1817" t="n">
        <v>878.92</v>
      </c>
      <c r="M1817" t="n">
        <v>5504.82</v>
      </c>
      <c r="N1817" t="inlineStr">
        <is>
          <t>RON</t>
        </is>
      </c>
      <c r="O1817" t="inlineStr">
        <is>
          <t>Oradea</t>
        </is>
      </c>
      <c r="P1817" s="12" t="n">
        <v>46353</v>
      </c>
      <c r="Q1817">
        <f>IF(COUNTIF(tbl_Localitati[oras_oficial],[@oras])=0,"ORAS NEALINIAT",IF(XLOOKUP([@oras],tbl_Localitati[oras_oficial],tbl_Localitati[judet],"?")&lt;&gt;[@judet],"JUDET NECORESPUNZATOR",""))</f>
        <v/>
      </c>
      <c r="R1817">
        <f>IF(XLOOKUP([@categorie],tbl_RegulriTVA[categorie],tbl_RegulriTVA[cota_legala],-1)&lt;&gt;[@cota_tva],"TVA GRESIT","")</f>
        <v/>
      </c>
      <c r="S1817">
        <f>IF([@data_scadentei]&lt;[@data_factura],"SCADENTA INAINTEA FACTURII","")</f>
        <v/>
      </c>
      <c r="T1817">
        <f>IF(NETWORKDAYS.INTL([@data_factura],[@data_factura],1,tbl_SarbatoriLegale[data])=0,"ZI NELUCRATOARE","")</f>
        <v/>
      </c>
      <c r="U1817">
        <f>IF([@motiv_anomalie]="","OK","DE INVESTIGAT")</f>
        <v/>
      </c>
      <c r="V1817">
        <f>TEXTJOIN("; ",TRUE,[@flag_oras],[@flag_tva],[@flag_scadenta],[@flag_zi])</f>
        <v/>
      </c>
    </row>
    <row r="1818">
      <c r="A1818" t="inlineStr">
        <is>
          <t>F-2025-01817</t>
        </is>
      </c>
      <c r="B1818" s="12" t="n">
        <v>46135</v>
      </c>
      <c r="C1818" t="inlineStr">
        <is>
          <t>SC AROMET TRADING SRL</t>
        </is>
      </c>
      <c r="D1818" t="inlineStr">
        <is>
          <t>Alba</t>
        </is>
      </c>
      <c r="E1818" t="inlineStr">
        <is>
          <t>PRD-008</t>
        </is>
      </c>
      <c r="F1818" t="inlineStr">
        <is>
          <t>Trusa prim ajutor</t>
        </is>
      </c>
      <c r="G1818" t="inlineStr">
        <is>
          <t>Produse farmaceutice</t>
        </is>
      </c>
      <c r="H1818" t="n">
        <v>10</v>
      </c>
      <c r="I1818" t="n">
        <v>430.25</v>
      </c>
      <c r="J1818" t="n">
        <v>4302.5</v>
      </c>
      <c r="K1818" s="13" t="n">
        <v>0.09</v>
      </c>
      <c r="L1818" t="n">
        <v>387.22</v>
      </c>
      <c r="M1818" t="n">
        <v>4689.72</v>
      </c>
      <c r="N1818" t="inlineStr">
        <is>
          <t>RON</t>
        </is>
      </c>
      <c r="O1818" t="inlineStr">
        <is>
          <t>Alba Iulia</t>
        </is>
      </c>
      <c r="P1818" s="12" t="n">
        <v>46165</v>
      </c>
      <c r="Q1818">
        <f>IF(COUNTIF(tbl_Localitati[oras_oficial],[@oras])=0,"ORAS NEALINIAT",IF(XLOOKUP([@oras],tbl_Localitati[oras_oficial],tbl_Localitati[judet],"?")&lt;&gt;[@judet],"JUDET NECORESPUNZATOR",""))</f>
        <v/>
      </c>
      <c r="R1818">
        <f>IF(XLOOKUP([@categorie],tbl_RegulriTVA[categorie],tbl_RegulriTVA[cota_legala],-1)&lt;&gt;[@cota_tva],"TVA GRESIT","")</f>
        <v/>
      </c>
      <c r="S1818">
        <f>IF([@data_scadentei]&lt;[@data_factura],"SCADENTA INAINTEA FACTURII","")</f>
        <v/>
      </c>
      <c r="T1818">
        <f>IF(NETWORKDAYS.INTL([@data_factura],[@data_factura],1,tbl_SarbatoriLegale[data])=0,"ZI NELUCRATOARE","")</f>
        <v/>
      </c>
      <c r="U1818">
        <f>IF([@motiv_anomalie]="","OK","DE INVESTIGAT")</f>
        <v/>
      </c>
      <c r="V1818">
        <f>TEXTJOIN("; ",TRUE,[@flag_oras],[@flag_tva],[@flag_scadenta],[@flag_zi])</f>
        <v/>
      </c>
    </row>
    <row r="1819">
      <c r="A1819" t="inlineStr">
        <is>
          <t>F-2025-01818</t>
        </is>
      </c>
      <c r="B1819" s="12" t="n">
        <v>46037</v>
      </c>
      <c r="C1819" t="inlineStr">
        <is>
          <t>SC DACTECH SOLUTIONS SRL</t>
        </is>
      </c>
      <c r="D1819" t="inlineStr">
        <is>
          <t>Argeș</t>
        </is>
      </c>
      <c r="E1819" t="inlineStr">
        <is>
          <t>PRD-010</t>
        </is>
      </c>
      <c r="F1819" t="inlineStr">
        <is>
          <t>Laptop business 15"</t>
        </is>
      </c>
      <c r="G1819" t="inlineStr">
        <is>
          <t>Hardware IT</t>
        </is>
      </c>
      <c r="H1819" t="n">
        <v>10</v>
      </c>
      <c r="I1819" t="n">
        <v>333.09</v>
      </c>
      <c r="J1819" t="n">
        <v>3330.9</v>
      </c>
      <c r="K1819" s="13" t="n">
        <v>0.19</v>
      </c>
      <c r="L1819" t="n">
        <v>632.87</v>
      </c>
      <c r="M1819" t="n">
        <v>3963.77</v>
      </c>
      <c r="N1819" t="inlineStr">
        <is>
          <t>RON</t>
        </is>
      </c>
      <c r="O1819" t="inlineStr">
        <is>
          <t>Pitești</t>
        </is>
      </c>
      <c r="P1819" s="12" t="n">
        <v>46067</v>
      </c>
      <c r="Q1819">
        <f>IF(COUNTIF(tbl_Localitati[oras_oficial],[@oras])=0,"ORAS NEALINIAT",IF(XLOOKUP([@oras],tbl_Localitati[oras_oficial],tbl_Localitati[judet],"?")&lt;&gt;[@judet],"JUDET NECORESPUNZATOR",""))</f>
        <v/>
      </c>
      <c r="R1819">
        <f>IF(XLOOKUP([@categorie],tbl_RegulriTVA[categorie],tbl_RegulriTVA[cota_legala],-1)&lt;&gt;[@cota_tva],"TVA GRESIT","")</f>
        <v/>
      </c>
      <c r="S1819">
        <f>IF([@data_scadentei]&lt;[@data_factura],"SCADENTA INAINTEA FACTURII","")</f>
        <v/>
      </c>
      <c r="T1819">
        <f>IF(NETWORKDAYS.INTL([@data_factura],[@data_factura],1,tbl_SarbatoriLegale[data])=0,"ZI NELUCRATOARE","")</f>
        <v/>
      </c>
      <c r="U1819">
        <f>IF([@motiv_anomalie]="","OK","DE INVESTIGAT")</f>
        <v/>
      </c>
      <c r="V1819">
        <f>TEXTJOIN("; ",TRUE,[@flag_oras],[@flag_tva],[@flag_scadenta],[@flag_zi])</f>
        <v/>
      </c>
    </row>
    <row r="1820">
      <c r="A1820" t="inlineStr">
        <is>
          <t>F-2025-01819</t>
        </is>
      </c>
      <c r="B1820" s="12" t="n">
        <v>46338</v>
      </c>
      <c r="C1820" t="inlineStr">
        <is>
          <t>SC METALPLAST INVEST SA</t>
        </is>
      </c>
      <c r="D1820" t="inlineStr">
        <is>
          <t>Cluj</t>
        </is>
      </c>
      <c r="E1820" t="inlineStr">
        <is>
          <t>PRD-002</t>
        </is>
      </c>
      <c r="F1820" t="inlineStr">
        <is>
          <t>Termometru digital</t>
        </is>
      </c>
      <c r="G1820" t="inlineStr">
        <is>
          <t>Produse farmaceutice</t>
        </is>
      </c>
      <c r="H1820" t="n">
        <v>1</v>
      </c>
      <c r="I1820" t="n">
        <v>1100.32</v>
      </c>
      <c r="J1820" t="n">
        <v>1100.32</v>
      </c>
      <c r="K1820" s="13" t="n">
        <v>0.09</v>
      </c>
      <c r="L1820" t="n">
        <v>99.03</v>
      </c>
      <c r="M1820" t="n">
        <v>1199.35</v>
      </c>
      <c r="N1820" t="inlineStr">
        <is>
          <t>RON</t>
        </is>
      </c>
      <c r="O1820" t="inlineStr">
        <is>
          <t>Turda</t>
        </is>
      </c>
      <c r="P1820" s="12" t="n">
        <v>46368</v>
      </c>
      <c r="Q1820">
        <f>IF(COUNTIF(tbl_Localitati[oras_oficial],[@oras])=0,"ORAS NEALINIAT",IF(XLOOKUP([@oras],tbl_Localitati[oras_oficial],tbl_Localitati[judet],"?")&lt;&gt;[@judet],"JUDET NECORESPUNZATOR",""))</f>
        <v/>
      </c>
      <c r="R1820">
        <f>IF(XLOOKUP([@categorie],tbl_RegulriTVA[categorie],tbl_RegulriTVA[cota_legala],-1)&lt;&gt;[@cota_tva],"TVA GRESIT","")</f>
        <v/>
      </c>
      <c r="S1820">
        <f>IF([@data_scadentei]&lt;[@data_factura],"SCADENTA INAINTEA FACTURII","")</f>
        <v/>
      </c>
      <c r="T1820">
        <f>IF(NETWORKDAYS.INTL([@data_factura],[@data_factura],1,tbl_SarbatoriLegale[data])=0,"ZI NELUCRATOARE","")</f>
        <v/>
      </c>
      <c r="U1820">
        <f>IF([@motiv_anomalie]="","OK","DE INVESTIGAT")</f>
        <v/>
      </c>
      <c r="V1820">
        <f>TEXTJOIN("; ",TRUE,[@flag_oras],[@flag_tva],[@flag_scadenta],[@flag_zi])</f>
        <v/>
      </c>
    </row>
    <row r="1821">
      <c r="A1821" t="inlineStr">
        <is>
          <t>F-2025-01820</t>
        </is>
      </c>
      <c r="B1821" s="12" t="n">
        <v>46044</v>
      </c>
      <c r="C1821" t="inlineStr">
        <is>
          <t>SC OMEGA SOFT SRL</t>
        </is>
      </c>
      <c r="D1821" t="inlineStr">
        <is>
          <t>Dolj</t>
        </is>
      </c>
      <c r="E1821" t="inlineStr">
        <is>
          <t>PRD-007</t>
        </is>
      </c>
      <c r="F1821" t="inlineStr">
        <is>
          <t>Videoproiector sala</t>
        </is>
      </c>
      <c r="G1821" t="inlineStr">
        <is>
          <t>Echipamente birou</t>
        </is>
      </c>
      <c r="H1821" t="n">
        <v>10</v>
      </c>
      <c r="I1821" t="n">
        <v>186.67</v>
      </c>
      <c r="J1821" t="n">
        <v>1866.7</v>
      </c>
      <c r="K1821" s="13" t="n">
        <v>0.19</v>
      </c>
      <c r="L1821" t="n">
        <v>354.67</v>
      </c>
      <c r="M1821" t="n">
        <v>2221.37</v>
      </c>
      <c r="N1821" t="inlineStr">
        <is>
          <t>RON</t>
        </is>
      </c>
      <c r="O1821" t="inlineStr">
        <is>
          <t>Craiova</t>
        </is>
      </c>
      <c r="P1821" s="12" t="n">
        <v>46074</v>
      </c>
      <c r="Q1821">
        <f>IF(COUNTIF(tbl_Localitati[oras_oficial],[@oras])=0,"ORAS NEALINIAT",IF(XLOOKUP([@oras],tbl_Localitati[oras_oficial],tbl_Localitati[judet],"?")&lt;&gt;[@judet],"JUDET NECORESPUNZATOR",""))</f>
        <v/>
      </c>
      <c r="R1821">
        <f>IF(XLOOKUP([@categorie],tbl_RegulriTVA[categorie],tbl_RegulriTVA[cota_legala],-1)&lt;&gt;[@cota_tva],"TVA GRESIT","")</f>
        <v/>
      </c>
      <c r="S1821">
        <f>IF([@data_scadentei]&lt;[@data_factura],"SCADENTA INAINTEA FACTURII","")</f>
        <v/>
      </c>
      <c r="T1821">
        <f>IF(NETWORKDAYS.INTL([@data_factura],[@data_factura],1,tbl_SarbatoriLegale[data])=0,"ZI NELUCRATOARE","")</f>
        <v/>
      </c>
      <c r="U1821">
        <f>IF([@motiv_anomalie]="","OK","DE INVESTIGAT")</f>
        <v/>
      </c>
      <c r="V1821">
        <f>TEXTJOIN("; ",TRUE,[@flag_oras],[@flag_tva],[@flag_scadenta],[@flag_zi])</f>
        <v/>
      </c>
    </row>
    <row r="1822">
      <c r="A1822" t="inlineStr">
        <is>
          <t>F-2025-01821</t>
        </is>
      </c>
      <c r="B1822" s="12" t="n">
        <v>46323</v>
      </c>
      <c r="C1822" t="inlineStr">
        <is>
          <t>SC METALPLAST INVEST SA</t>
        </is>
      </c>
      <c r="D1822" t="inlineStr">
        <is>
          <t>Cluj</t>
        </is>
      </c>
      <c r="E1822" t="inlineStr">
        <is>
          <t>PRD-005</t>
        </is>
      </c>
      <c r="F1822" t="inlineStr">
        <is>
          <t>Audit infrastructura</t>
        </is>
      </c>
      <c r="G1822" t="inlineStr">
        <is>
          <t>Servicii consultanță</t>
        </is>
      </c>
      <c r="H1822" t="n">
        <v>3</v>
      </c>
      <c r="I1822" t="n">
        <v>242.47</v>
      </c>
      <c r="J1822" t="n">
        <v>727.41</v>
      </c>
      <c r="K1822" s="13" t="n">
        <v>0.19</v>
      </c>
      <c r="L1822" t="n">
        <v>138.21</v>
      </c>
      <c r="M1822" t="n">
        <v>865.62</v>
      </c>
      <c r="N1822" t="inlineStr">
        <is>
          <t>RON</t>
        </is>
      </c>
      <c r="O1822" t="inlineStr">
        <is>
          <t>Turda</t>
        </is>
      </c>
      <c r="P1822" s="12" t="n">
        <v>46383</v>
      </c>
      <c r="Q1822">
        <f>IF(COUNTIF(tbl_Localitati[oras_oficial],[@oras])=0,"ORAS NEALINIAT",IF(XLOOKUP([@oras],tbl_Localitati[oras_oficial],tbl_Localitati[judet],"?")&lt;&gt;[@judet],"JUDET NECORESPUNZATOR",""))</f>
        <v/>
      </c>
      <c r="R1822">
        <f>IF(XLOOKUP([@categorie],tbl_RegulriTVA[categorie],tbl_RegulriTVA[cota_legala],-1)&lt;&gt;[@cota_tva],"TVA GRESIT","")</f>
        <v/>
      </c>
      <c r="S1822">
        <f>IF([@data_scadentei]&lt;[@data_factura],"SCADENTA INAINTEA FACTURII","")</f>
        <v/>
      </c>
      <c r="T1822">
        <f>IF(NETWORKDAYS.INTL([@data_factura],[@data_factura],1,tbl_SarbatoriLegale[data])=0,"ZI NELUCRATOARE","")</f>
        <v/>
      </c>
      <c r="U1822">
        <f>IF([@motiv_anomalie]="","OK","DE INVESTIGAT")</f>
        <v/>
      </c>
      <c r="V1822">
        <f>TEXTJOIN("; ",TRUE,[@flag_oras],[@flag_tva],[@flag_scadenta],[@flag_zi])</f>
        <v/>
      </c>
    </row>
    <row r="1823">
      <c r="A1823" t="inlineStr">
        <is>
          <t>F-2025-01822</t>
        </is>
      </c>
      <c r="B1823" s="12" t="n">
        <v>46262</v>
      </c>
      <c r="C1823" t="inlineStr">
        <is>
          <t>SC METALPLAST INVEST SA</t>
        </is>
      </c>
      <c r="D1823" t="inlineStr">
        <is>
          <t>Cluj</t>
        </is>
      </c>
      <c r="E1823" t="inlineStr">
        <is>
          <t>PRD-007</t>
        </is>
      </c>
      <c r="F1823" t="inlineStr">
        <is>
          <t>Monitor 27" 4K</t>
        </is>
      </c>
      <c r="G1823" t="inlineStr">
        <is>
          <t>Hardware IT</t>
        </is>
      </c>
      <c r="H1823" t="n">
        <v>5</v>
      </c>
      <c r="I1823" t="n">
        <v>186.26</v>
      </c>
      <c r="J1823" t="n">
        <v>931.3</v>
      </c>
      <c r="K1823" s="13" t="n">
        <v>0.19</v>
      </c>
      <c r="L1823" t="n">
        <v>176.95</v>
      </c>
      <c r="M1823" t="n">
        <v>1108.25</v>
      </c>
      <c r="N1823" t="inlineStr">
        <is>
          <t>RON</t>
        </is>
      </c>
      <c r="O1823" t="inlineStr">
        <is>
          <t>Turda</t>
        </is>
      </c>
      <c r="P1823" s="12" t="n">
        <v>46292</v>
      </c>
      <c r="Q1823">
        <f>IF(COUNTIF(tbl_Localitati[oras_oficial],[@oras])=0,"ORAS NEALINIAT",IF(XLOOKUP([@oras],tbl_Localitati[oras_oficial],tbl_Localitati[judet],"?")&lt;&gt;[@judet],"JUDET NECORESPUNZATOR",""))</f>
        <v/>
      </c>
      <c r="R1823">
        <f>IF(XLOOKUP([@categorie],tbl_RegulriTVA[categorie],tbl_RegulriTVA[cota_legala],-1)&lt;&gt;[@cota_tva],"TVA GRESIT","")</f>
        <v/>
      </c>
      <c r="S1823">
        <f>IF([@data_scadentei]&lt;[@data_factura],"SCADENTA INAINTEA FACTURII","")</f>
        <v/>
      </c>
      <c r="T1823">
        <f>IF(NETWORKDAYS.INTL([@data_factura],[@data_factura],1,tbl_SarbatoriLegale[data])=0,"ZI NELUCRATOARE","")</f>
        <v/>
      </c>
      <c r="U1823">
        <f>IF([@motiv_anomalie]="","OK","DE INVESTIGAT")</f>
        <v/>
      </c>
      <c r="V1823">
        <f>TEXTJOIN("; ",TRUE,[@flag_oras],[@flag_tva],[@flag_scadenta],[@flag_zi])</f>
        <v/>
      </c>
    </row>
    <row r="1824">
      <c r="A1824" t="inlineStr">
        <is>
          <t>F-2025-01823</t>
        </is>
      </c>
      <c r="B1824" s="12" t="n">
        <v>46317</v>
      </c>
      <c r="C1824" t="inlineStr">
        <is>
          <t>SC NORDIS DISTRIBUTIE SRL</t>
        </is>
      </c>
      <c r="D1824" t="inlineStr">
        <is>
          <t>Constanța</t>
        </is>
      </c>
      <c r="E1824" t="inlineStr">
        <is>
          <t>PRD-008</t>
        </is>
      </c>
      <c r="F1824" t="inlineStr">
        <is>
          <t>Licenta ERP contabilitate</t>
        </is>
      </c>
      <c r="G1824" t="inlineStr">
        <is>
          <t>Licențe software</t>
        </is>
      </c>
      <c r="H1824" t="n">
        <v>25</v>
      </c>
      <c r="I1824" t="n">
        <v>448.95</v>
      </c>
      <c r="J1824" t="n">
        <v>11223.75</v>
      </c>
      <c r="K1824" s="13" t="n">
        <v>0.19</v>
      </c>
      <c r="L1824" t="n">
        <v>2132.51</v>
      </c>
      <c r="M1824" t="n">
        <v>13356.26</v>
      </c>
      <c r="N1824" t="inlineStr">
        <is>
          <t>RON</t>
        </is>
      </c>
      <c r="O1824" t="inlineStr">
        <is>
          <t>Mangalia</t>
        </is>
      </c>
      <c r="P1824" s="12" t="n">
        <v>46332</v>
      </c>
      <c r="Q1824">
        <f>IF(COUNTIF(tbl_Localitati[oras_oficial],[@oras])=0,"ORAS NEALINIAT",IF(XLOOKUP([@oras],tbl_Localitati[oras_oficial],tbl_Localitati[judet],"?")&lt;&gt;[@judet],"JUDET NECORESPUNZATOR",""))</f>
        <v/>
      </c>
      <c r="R1824">
        <f>IF(XLOOKUP([@categorie],tbl_RegulriTVA[categorie],tbl_RegulriTVA[cota_legala],-1)&lt;&gt;[@cota_tva],"TVA GRESIT","")</f>
        <v/>
      </c>
      <c r="S1824">
        <f>IF([@data_scadentei]&lt;[@data_factura],"SCADENTA INAINTEA FACTURII","")</f>
        <v/>
      </c>
      <c r="T1824">
        <f>IF(NETWORKDAYS.INTL([@data_factura],[@data_factura],1,tbl_SarbatoriLegale[data])=0,"ZI NELUCRATOARE","")</f>
        <v/>
      </c>
      <c r="U1824">
        <f>IF([@motiv_anomalie]="","OK","DE INVESTIGAT")</f>
        <v/>
      </c>
      <c r="V1824">
        <f>TEXTJOIN("; ",TRUE,[@flag_oras],[@flag_tva],[@flag_scadenta],[@flag_zi])</f>
        <v/>
      </c>
    </row>
    <row r="1825">
      <c r="A1825" t="inlineStr">
        <is>
          <t>F-2025-01824</t>
        </is>
      </c>
      <c r="B1825" s="12" t="n">
        <v>46216</v>
      </c>
      <c r="C1825" t="inlineStr">
        <is>
          <t>SC FARMAVITAL DISTRIBUTIE SA</t>
        </is>
      </c>
      <c r="D1825" t="inlineStr">
        <is>
          <t>Bihor</t>
        </is>
      </c>
      <c r="E1825" t="inlineStr">
        <is>
          <t>PRD-007</t>
        </is>
      </c>
      <c r="F1825" t="inlineStr">
        <is>
          <t>Licenta ERP contabilitate</t>
        </is>
      </c>
      <c r="G1825" t="inlineStr">
        <is>
          <t>Licențe software</t>
        </is>
      </c>
      <c r="H1825" t="n">
        <v>25</v>
      </c>
      <c r="I1825" t="n">
        <v>188.48</v>
      </c>
      <c r="J1825" t="n">
        <v>4712</v>
      </c>
      <c r="K1825" s="13" t="n">
        <v>0.19</v>
      </c>
      <c r="L1825" t="n">
        <v>895.28</v>
      </c>
      <c r="M1825" t="n">
        <v>5607.28</v>
      </c>
      <c r="N1825" t="inlineStr">
        <is>
          <t>RON</t>
        </is>
      </c>
      <c r="O1825" t="inlineStr">
        <is>
          <t>Oradea</t>
        </is>
      </c>
      <c r="P1825" s="12" t="n">
        <v>46261</v>
      </c>
      <c r="Q1825">
        <f>IF(COUNTIF(tbl_Localitati[oras_oficial],[@oras])=0,"ORAS NEALINIAT",IF(XLOOKUP([@oras],tbl_Localitati[oras_oficial],tbl_Localitati[judet],"?")&lt;&gt;[@judet],"JUDET NECORESPUNZATOR",""))</f>
        <v/>
      </c>
      <c r="R1825">
        <f>IF(XLOOKUP([@categorie],tbl_RegulriTVA[categorie],tbl_RegulriTVA[cota_legala],-1)&lt;&gt;[@cota_tva],"TVA GRESIT","")</f>
        <v/>
      </c>
      <c r="S1825">
        <f>IF([@data_scadentei]&lt;[@data_factura],"SCADENTA INAINTEA FACTURII","")</f>
        <v/>
      </c>
      <c r="T1825">
        <f>IF(NETWORKDAYS.INTL([@data_factura],[@data_factura],1,tbl_SarbatoriLegale[data])=0,"ZI NELUCRATOARE","")</f>
        <v/>
      </c>
      <c r="U1825">
        <f>IF([@motiv_anomalie]="","OK","DE INVESTIGAT")</f>
        <v/>
      </c>
      <c r="V1825">
        <f>TEXTJOIN("; ",TRUE,[@flag_oras],[@flag_tva],[@flag_scadenta],[@flag_zi])</f>
        <v/>
      </c>
    </row>
    <row r="1826">
      <c r="A1826" t="inlineStr">
        <is>
          <t>F-2025-01825</t>
        </is>
      </c>
      <c r="B1826" s="12" t="n">
        <v>46030</v>
      </c>
      <c r="C1826" t="inlineStr">
        <is>
          <t>SC METALPLAST INVEST SA</t>
        </is>
      </c>
      <c r="D1826" t="inlineStr">
        <is>
          <t>Cluj</t>
        </is>
      </c>
      <c r="E1826" t="inlineStr">
        <is>
          <t>PRD-003</t>
        </is>
      </c>
      <c r="F1826" t="inlineStr">
        <is>
          <t>Ghid legislatie GDPR</t>
        </is>
      </c>
      <c r="G1826" t="inlineStr">
        <is>
          <t>Cărți și manuale</t>
        </is>
      </c>
      <c r="H1826" t="n">
        <v>3</v>
      </c>
      <c r="I1826" t="n">
        <v>4066.73</v>
      </c>
      <c r="J1826" t="n">
        <v>12200.19</v>
      </c>
      <c r="K1826" s="13" t="n">
        <v>0.05</v>
      </c>
      <c r="L1826" t="n">
        <v>610.01</v>
      </c>
      <c r="M1826" t="n">
        <v>12810.2</v>
      </c>
      <c r="N1826" t="inlineStr">
        <is>
          <t>RON</t>
        </is>
      </c>
      <c r="O1826" t="inlineStr">
        <is>
          <t>Turda</t>
        </is>
      </c>
      <c r="P1826" s="12" t="n">
        <v>46045</v>
      </c>
      <c r="Q1826">
        <f>IF(COUNTIF(tbl_Localitati[oras_oficial],[@oras])=0,"ORAS NEALINIAT",IF(XLOOKUP([@oras],tbl_Localitati[oras_oficial],tbl_Localitati[judet],"?")&lt;&gt;[@judet],"JUDET NECORESPUNZATOR",""))</f>
        <v/>
      </c>
      <c r="R1826">
        <f>IF(XLOOKUP([@categorie],tbl_RegulriTVA[categorie],tbl_RegulriTVA[cota_legala],-1)&lt;&gt;[@cota_tva],"TVA GRESIT","")</f>
        <v/>
      </c>
      <c r="S1826">
        <f>IF([@data_scadentei]&lt;[@data_factura],"SCADENTA INAINTEA FACTURII","")</f>
        <v/>
      </c>
      <c r="T1826">
        <f>IF(NETWORKDAYS.INTL([@data_factura],[@data_factura],1,tbl_SarbatoriLegale[data])=0,"ZI NELUCRATOARE","")</f>
        <v/>
      </c>
      <c r="U1826">
        <f>IF([@motiv_anomalie]="","OK","DE INVESTIGAT")</f>
        <v/>
      </c>
      <c r="V1826">
        <f>TEXTJOIN("; ",TRUE,[@flag_oras],[@flag_tva],[@flag_scadenta],[@flag_zi])</f>
        <v/>
      </c>
    </row>
    <row r="1827">
      <c r="A1827" t="inlineStr">
        <is>
          <t>F-2025-01826</t>
        </is>
      </c>
      <c r="B1827" s="12" t="n">
        <v>46176</v>
      </c>
      <c r="C1827" t="inlineStr">
        <is>
          <t>SC NORDIS DISTRIBUTIE SRL</t>
        </is>
      </c>
      <c r="D1827" t="inlineStr">
        <is>
          <t>Constanța</t>
        </is>
      </c>
      <c r="E1827" t="inlineStr">
        <is>
          <t>PRD-007</t>
        </is>
      </c>
      <c r="F1827" t="inlineStr">
        <is>
          <t>Licenta Office 365 anuala</t>
        </is>
      </c>
      <c r="G1827" t="inlineStr">
        <is>
          <t>Licențe software</t>
        </is>
      </c>
      <c r="H1827" t="n">
        <v>10</v>
      </c>
      <c r="I1827" t="n">
        <v>172.87</v>
      </c>
      <c r="J1827" t="n">
        <v>1728.7</v>
      </c>
      <c r="K1827" s="13" t="n">
        <v>0.19</v>
      </c>
      <c r="L1827" t="n">
        <v>328.45</v>
      </c>
      <c r="M1827" t="n">
        <v>2057.15</v>
      </c>
      <c r="N1827" t="inlineStr">
        <is>
          <t>RON</t>
        </is>
      </c>
      <c r="O1827" t="inlineStr">
        <is>
          <t>Mangalia</t>
        </is>
      </c>
      <c r="P1827" s="12" t="n">
        <v>46236</v>
      </c>
      <c r="Q1827">
        <f>IF(COUNTIF(tbl_Localitati[oras_oficial],[@oras])=0,"ORAS NEALINIAT",IF(XLOOKUP([@oras],tbl_Localitati[oras_oficial],tbl_Localitati[judet],"?")&lt;&gt;[@judet],"JUDET NECORESPUNZATOR",""))</f>
        <v/>
      </c>
      <c r="R1827">
        <f>IF(XLOOKUP([@categorie],tbl_RegulriTVA[categorie],tbl_RegulriTVA[cota_legala],-1)&lt;&gt;[@cota_tva],"TVA GRESIT","")</f>
        <v/>
      </c>
      <c r="S1827">
        <f>IF([@data_scadentei]&lt;[@data_factura],"SCADENTA INAINTEA FACTURII","")</f>
        <v/>
      </c>
      <c r="T1827">
        <f>IF(NETWORKDAYS.INTL([@data_factura],[@data_factura],1,tbl_SarbatoriLegale[data])=0,"ZI NELUCRATOARE","")</f>
        <v/>
      </c>
      <c r="U1827">
        <f>IF([@motiv_anomalie]="","OK","DE INVESTIGAT")</f>
        <v/>
      </c>
      <c r="V1827">
        <f>TEXTJOIN("; ",TRUE,[@flag_oras],[@flag_tva],[@flag_scadenta],[@flag_zi])</f>
        <v/>
      </c>
    </row>
    <row r="1828">
      <c r="A1828" t="inlineStr">
        <is>
          <t>F-2025-01827</t>
        </is>
      </c>
      <c r="B1828" s="12" t="n">
        <v>46098</v>
      </c>
      <c r="C1828" t="inlineStr">
        <is>
          <t>SC AROMET TRADING SRL</t>
        </is>
      </c>
      <c r="D1828" t="inlineStr">
        <is>
          <t>Alba</t>
        </is>
      </c>
      <c r="E1828" t="inlineStr">
        <is>
          <t>PRD-012</t>
        </is>
      </c>
      <c r="F1828" t="inlineStr">
        <is>
          <t>Monitor 27" 4K</t>
        </is>
      </c>
      <c r="G1828" t="inlineStr">
        <is>
          <t>Hardware IT</t>
        </is>
      </c>
      <c r="H1828" t="n">
        <v>2</v>
      </c>
      <c r="I1828" t="n">
        <v>180.54</v>
      </c>
      <c r="J1828" t="n">
        <v>361.08</v>
      </c>
      <c r="K1828" s="13" t="n">
        <v>0.19</v>
      </c>
      <c r="L1828" t="n">
        <v>68.61</v>
      </c>
      <c r="M1828" t="n">
        <v>429.69</v>
      </c>
      <c r="N1828" t="inlineStr">
        <is>
          <t>RON</t>
        </is>
      </c>
      <c r="O1828" t="inlineStr">
        <is>
          <t>Alba Iulia</t>
        </is>
      </c>
      <c r="P1828" s="12" t="n">
        <v>46128</v>
      </c>
      <c r="Q1828">
        <f>IF(COUNTIF(tbl_Localitati[oras_oficial],[@oras])=0,"ORAS NEALINIAT",IF(XLOOKUP([@oras],tbl_Localitati[oras_oficial],tbl_Localitati[judet],"?")&lt;&gt;[@judet],"JUDET NECORESPUNZATOR",""))</f>
        <v/>
      </c>
      <c r="R1828">
        <f>IF(XLOOKUP([@categorie],tbl_RegulriTVA[categorie],tbl_RegulriTVA[cota_legala],-1)&lt;&gt;[@cota_tva],"TVA GRESIT","")</f>
        <v/>
      </c>
      <c r="S1828">
        <f>IF([@data_scadentei]&lt;[@data_factura],"SCADENTA INAINTEA FACTURII","")</f>
        <v/>
      </c>
      <c r="T1828">
        <f>IF(NETWORKDAYS.INTL([@data_factura],[@data_factura],1,tbl_SarbatoriLegale[data])=0,"ZI NELUCRATOARE","")</f>
        <v/>
      </c>
      <c r="U1828">
        <f>IF([@motiv_anomalie]="","OK","DE INVESTIGAT")</f>
        <v/>
      </c>
      <c r="V1828">
        <f>TEXTJOIN("; ",TRUE,[@flag_oras],[@flag_tva],[@flag_scadenta],[@flag_zi])</f>
        <v/>
      </c>
    </row>
    <row r="1829">
      <c r="A1829" t="inlineStr">
        <is>
          <t>F-2025-01828</t>
        </is>
      </c>
      <c r="B1829" s="12" t="n">
        <v>46205</v>
      </c>
      <c r="C1829" t="inlineStr">
        <is>
          <t>SC NORDIS DISTRIBUTIE SRL</t>
        </is>
      </c>
      <c r="D1829" t="inlineStr">
        <is>
          <t>Constanța</t>
        </is>
      </c>
      <c r="E1829" t="inlineStr">
        <is>
          <t>PRD-007</t>
        </is>
      </c>
      <c r="F1829" t="inlineStr">
        <is>
          <t>Cafea boabe 1kg</t>
        </is>
      </c>
      <c r="G1829" t="inlineStr">
        <is>
          <t>Alimente</t>
        </is>
      </c>
      <c r="H1829" t="n">
        <v>10</v>
      </c>
      <c r="I1829" t="n">
        <v>186.5</v>
      </c>
      <c r="J1829" t="n">
        <v>1865</v>
      </c>
      <c r="K1829" s="13" t="n">
        <v>0.09</v>
      </c>
      <c r="L1829" t="n">
        <v>167.85</v>
      </c>
      <c r="M1829" t="n">
        <v>2032.85</v>
      </c>
      <c r="N1829" t="inlineStr">
        <is>
          <t>RON</t>
        </is>
      </c>
      <c r="O1829" t="inlineStr">
        <is>
          <t>Mangalia</t>
        </is>
      </c>
      <c r="P1829" s="12" t="n">
        <v>46235</v>
      </c>
      <c r="Q1829">
        <f>IF(COUNTIF(tbl_Localitati[oras_oficial],[@oras])=0,"ORAS NEALINIAT",IF(XLOOKUP([@oras],tbl_Localitati[oras_oficial],tbl_Localitati[judet],"?")&lt;&gt;[@judet],"JUDET NECORESPUNZATOR",""))</f>
        <v/>
      </c>
      <c r="R1829">
        <f>IF(XLOOKUP([@categorie],tbl_RegulriTVA[categorie],tbl_RegulriTVA[cota_legala],-1)&lt;&gt;[@cota_tva],"TVA GRESIT","")</f>
        <v/>
      </c>
      <c r="S1829">
        <f>IF([@data_scadentei]&lt;[@data_factura],"SCADENTA INAINTEA FACTURII","")</f>
        <v/>
      </c>
      <c r="T1829">
        <f>IF(NETWORKDAYS.INTL([@data_factura],[@data_factura],1,tbl_SarbatoriLegale[data])=0,"ZI NELUCRATOARE","")</f>
        <v/>
      </c>
      <c r="U1829">
        <f>IF([@motiv_anomalie]="","OK","DE INVESTIGAT")</f>
        <v/>
      </c>
      <c r="V1829">
        <f>TEXTJOIN("; ",TRUE,[@flag_oras],[@flag_tva],[@flag_scadenta],[@flag_zi])</f>
        <v/>
      </c>
    </row>
    <row r="1830">
      <c r="A1830" t="inlineStr">
        <is>
          <t>F-2025-01829</t>
        </is>
      </c>
      <c r="B1830" s="12" t="n">
        <v>46077</v>
      </c>
      <c r="C1830" t="inlineStr">
        <is>
          <t>SC SOLARIS ENERGY SRL</t>
        </is>
      </c>
      <c r="D1830" t="inlineStr">
        <is>
          <t>Prahova</t>
        </is>
      </c>
      <c r="E1830" t="inlineStr">
        <is>
          <t>PRD-006</t>
        </is>
      </c>
      <c r="F1830" t="inlineStr">
        <is>
          <t>Apa plata bax</t>
        </is>
      </c>
      <c r="G1830" t="inlineStr">
        <is>
          <t>Alimente</t>
        </is>
      </c>
      <c r="H1830" t="n">
        <v>5</v>
      </c>
      <c r="I1830" t="n">
        <v>716.02</v>
      </c>
      <c r="J1830" t="n">
        <v>3580.1</v>
      </c>
      <c r="K1830" s="13" t="n">
        <v>0.09</v>
      </c>
      <c r="L1830" t="n">
        <v>322.21</v>
      </c>
      <c r="M1830" t="n">
        <v>3902.31</v>
      </c>
      <c r="N1830" t="inlineStr">
        <is>
          <t>RON</t>
        </is>
      </c>
      <c r="O1830" t="inlineStr">
        <is>
          <t>Câmpina</t>
        </is>
      </c>
      <c r="P1830" s="12" t="n">
        <v>46107</v>
      </c>
      <c r="Q1830">
        <f>IF(COUNTIF(tbl_Localitati[oras_oficial],[@oras])=0,"ORAS NEALINIAT",IF(XLOOKUP([@oras],tbl_Localitati[oras_oficial],tbl_Localitati[judet],"?")&lt;&gt;[@judet],"JUDET NECORESPUNZATOR",""))</f>
        <v/>
      </c>
      <c r="R1830">
        <f>IF(XLOOKUP([@categorie],tbl_RegulriTVA[categorie],tbl_RegulriTVA[cota_legala],-1)&lt;&gt;[@cota_tva],"TVA GRESIT","")</f>
        <v/>
      </c>
      <c r="S1830">
        <f>IF([@data_scadentei]&lt;[@data_factura],"SCADENTA INAINTEA FACTURII","")</f>
        <v/>
      </c>
      <c r="T1830">
        <f>IF(NETWORKDAYS.INTL([@data_factura],[@data_factura],1,tbl_SarbatoriLegale[data])=0,"ZI NELUCRATOARE","")</f>
        <v/>
      </c>
      <c r="U1830">
        <f>IF([@motiv_anomalie]="","OK","DE INVESTIGAT")</f>
        <v/>
      </c>
      <c r="V1830">
        <f>TEXTJOIN("; ",TRUE,[@flag_oras],[@flag_tva],[@flag_scadenta],[@flag_zi])</f>
        <v/>
      </c>
    </row>
    <row r="1831">
      <c r="A1831" t="inlineStr">
        <is>
          <t>F-2025-01830</t>
        </is>
      </c>
      <c r="B1831" s="12" t="n">
        <v>46198</v>
      </c>
      <c r="C1831" t="inlineStr">
        <is>
          <t>SC DACTECH SOLUTIONS SRL</t>
        </is>
      </c>
      <c r="D1831" t="inlineStr">
        <is>
          <t>Argeș</t>
        </is>
      </c>
      <c r="E1831" t="inlineStr">
        <is>
          <t>PRD-011</t>
        </is>
      </c>
      <c r="F1831" t="inlineStr">
        <is>
          <t>Pachet protocol sedinte</t>
        </is>
      </c>
      <c r="G1831" t="inlineStr">
        <is>
          <t>Alimente</t>
        </is>
      </c>
      <c r="H1831" t="n">
        <v>20</v>
      </c>
      <c r="I1831" t="n">
        <v>45.18</v>
      </c>
      <c r="J1831" t="n">
        <v>903.6</v>
      </c>
      <c r="K1831" s="13" t="n">
        <v>0.09</v>
      </c>
      <c r="L1831" t="n">
        <v>81.31999999999999</v>
      </c>
      <c r="M1831" t="n">
        <v>984.92</v>
      </c>
      <c r="N1831" t="inlineStr">
        <is>
          <t>RON</t>
        </is>
      </c>
      <c r="O1831" t="inlineStr">
        <is>
          <t>Pitești</t>
        </is>
      </c>
      <c r="P1831" s="12" t="n">
        <v>46243</v>
      </c>
      <c r="Q1831">
        <f>IF(COUNTIF(tbl_Localitati[oras_oficial],[@oras])=0,"ORAS NEALINIAT",IF(XLOOKUP([@oras],tbl_Localitati[oras_oficial],tbl_Localitati[judet],"?")&lt;&gt;[@judet],"JUDET NECORESPUNZATOR",""))</f>
        <v/>
      </c>
      <c r="R1831">
        <f>IF(XLOOKUP([@categorie],tbl_RegulriTVA[categorie],tbl_RegulriTVA[cota_legala],-1)&lt;&gt;[@cota_tva],"TVA GRESIT","")</f>
        <v/>
      </c>
      <c r="S1831">
        <f>IF([@data_scadentei]&lt;[@data_factura],"SCADENTA INAINTEA FACTURII","")</f>
        <v/>
      </c>
      <c r="T1831">
        <f>IF(NETWORKDAYS.INTL([@data_factura],[@data_factura],1,tbl_SarbatoriLegale[data])=0,"ZI NELUCRATOARE","")</f>
        <v/>
      </c>
      <c r="U1831">
        <f>IF([@motiv_anomalie]="","OK","DE INVESTIGAT")</f>
        <v/>
      </c>
      <c r="V1831">
        <f>TEXTJOIN("; ",TRUE,[@flag_oras],[@flag_tva],[@flag_scadenta],[@flag_zi])</f>
        <v/>
      </c>
    </row>
    <row r="1832">
      <c r="A1832" t="inlineStr">
        <is>
          <t>F-2025-01831</t>
        </is>
      </c>
      <c r="B1832" s="12" t="n">
        <v>46315</v>
      </c>
      <c r="C1832" t="inlineStr">
        <is>
          <t>SC SOLARIS ENERGY SRL</t>
        </is>
      </c>
      <c r="D1832" t="inlineStr">
        <is>
          <t>Prahova</t>
        </is>
      </c>
      <c r="E1832" t="inlineStr">
        <is>
          <t>PRD-012</t>
        </is>
      </c>
      <c r="F1832" t="inlineStr">
        <is>
          <t>Multifunctionala laser</t>
        </is>
      </c>
      <c r="G1832" t="inlineStr">
        <is>
          <t>Echipamente birou</t>
        </is>
      </c>
      <c r="H1832" t="n">
        <v>4</v>
      </c>
      <c r="I1832" t="n">
        <v>171.53</v>
      </c>
      <c r="J1832" t="n">
        <v>686.12</v>
      </c>
      <c r="K1832" s="13" t="n">
        <v>0.19</v>
      </c>
      <c r="L1832" t="n">
        <v>130.36</v>
      </c>
      <c r="M1832" t="n">
        <v>816.48</v>
      </c>
      <c r="N1832" t="inlineStr">
        <is>
          <t>RON</t>
        </is>
      </c>
      <c r="O1832" t="inlineStr">
        <is>
          <t>Câmpina</t>
        </is>
      </c>
      <c r="P1832" s="12" t="n">
        <v>46345</v>
      </c>
      <c r="Q1832">
        <f>IF(COUNTIF(tbl_Localitati[oras_oficial],[@oras])=0,"ORAS NEALINIAT",IF(XLOOKUP([@oras],tbl_Localitati[oras_oficial],tbl_Localitati[judet],"?")&lt;&gt;[@judet],"JUDET NECORESPUNZATOR",""))</f>
        <v/>
      </c>
      <c r="R1832">
        <f>IF(XLOOKUP([@categorie],tbl_RegulriTVA[categorie],tbl_RegulriTVA[cota_legala],-1)&lt;&gt;[@cota_tva],"TVA GRESIT","")</f>
        <v/>
      </c>
      <c r="S1832">
        <f>IF([@data_scadentei]&lt;[@data_factura],"SCADENTA INAINTEA FACTURII","")</f>
        <v/>
      </c>
      <c r="T1832">
        <f>IF(NETWORKDAYS.INTL([@data_factura],[@data_factura],1,tbl_SarbatoriLegale[data])=0,"ZI NELUCRATOARE","")</f>
        <v/>
      </c>
      <c r="U1832">
        <f>IF([@motiv_anomalie]="","OK","DE INVESTIGAT")</f>
        <v/>
      </c>
      <c r="V1832">
        <f>TEXTJOIN("; ",TRUE,[@flag_oras],[@flag_tva],[@flag_scadenta],[@flag_zi])</f>
        <v/>
      </c>
    </row>
    <row r="1833">
      <c r="A1833" t="inlineStr">
        <is>
          <t>F-2025-01832</t>
        </is>
      </c>
      <c r="B1833" s="12" t="n">
        <v>46139</v>
      </c>
      <c r="C1833" t="inlineStr">
        <is>
          <t>SC AROMET TRADING SRL</t>
        </is>
      </c>
      <c r="D1833" t="inlineStr">
        <is>
          <t>Alba</t>
        </is>
      </c>
      <c r="E1833" t="inlineStr">
        <is>
          <t>PRD-006</t>
        </is>
      </c>
      <c r="F1833" t="inlineStr">
        <is>
          <t>Suport tehnic anual</t>
        </is>
      </c>
      <c r="G1833" t="inlineStr">
        <is>
          <t>Servicii consultanță</t>
        </is>
      </c>
      <c r="H1833" t="n">
        <v>5</v>
      </c>
      <c r="I1833" t="n">
        <v>748.2</v>
      </c>
      <c r="J1833" t="n">
        <v>3741</v>
      </c>
      <c r="K1833" s="13" t="n">
        <v>0.19</v>
      </c>
      <c r="L1833" t="n">
        <v>710.79</v>
      </c>
      <c r="M1833" t="n">
        <v>4451.79</v>
      </c>
      <c r="N1833" t="inlineStr">
        <is>
          <t>RON</t>
        </is>
      </c>
      <c r="O1833" t="inlineStr">
        <is>
          <t>Alba Iulia</t>
        </is>
      </c>
      <c r="P1833" s="12" t="n">
        <v>46184</v>
      </c>
      <c r="Q1833">
        <f>IF(COUNTIF(tbl_Localitati[oras_oficial],[@oras])=0,"ORAS NEALINIAT",IF(XLOOKUP([@oras],tbl_Localitati[oras_oficial],tbl_Localitati[judet],"?")&lt;&gt;[@judet],"JUDET NECORESPUNZATOR",""))</f>
        <v/>
      </c>
      <c r="R1833">
        <f>IF(XLOOKUP([@categorie],tbl_RegulriTVA[categorie],tbl_RegulriTVA[cota_legala],-1)&lt;&gt;[@cota_tva],"TVA GRESIT","")</f>
        <v/>
      </c>
      <c r="S1833">
        <f>IF([@data_scadentei]&lt;[@data_factura],"SCADENTA INAINTEA FACTURII","")</f>
        <v/>
      </c>
      <c r="T1833">
        <f>IF(NETWORKDAYS.INTL([@data_factura],[@data_factura],1,tbl_SarbatoriLegale[data])=0,"ZI NELUCRATOARE","")</f>
        <v/>
      </c>
      <c r="U1833">
        <f>IF([@motiv_anomalie]="","OK","DE INVESTIGAT")</f>
        <v/>
      </c>
      <c r="V1833">
        <f>TEXTJOIN("; ",TRUE,[@flag_oras],[@flag_tva],[@flag_scadenta],[@flag_zi])</f>
        <v/>
      </c>
    </row>
    <row r="1834">
      <c r="A1834" t="inlineStr">
        <is>
          <t>F-2025-01833</t>
        </is>
      </c>
      <c r="B1834" s="12" t="n">
        <v>46226</v>
      </c>
      <c r="C1834" t="inlineStr">
        <is>
          <t>SC AROMET TRADING SRL</t>
        </is>
      </c>
      <c r="D1834" t="inlineStr">
        <is>
          <t>Alba</t>
        </is>
      </c>
      <c r="E1834" t="inlineStr">
        <is>
          <t>PRD-009</t>
        </is>
      </c>
      <c r="F1834" t="inlineStr">
        <is>
          <t>Audit infrastructura</t>
        </is>
      </c>
      <c r="G1834" t="inlineStr">
        <is>
          <t>Servicii consultanță</t>
        </is>
      </c>
      <c r="H1834" t="n">
        <v>5</v>
      </c>
      <c r="I1834" t="n">
        <v>27.5</v>
      </c>
      <c r="J1834" t="n">
        <v>137.5</v>
      </c>
      <c r="K1834" s="13" t="n">
        <v>0.19</v>
      </c>
      <c r="L1834" t="n">
        <v>26.12</v>
      </c>
      <c r="M1834" t="n">
        <v>163.62</v>
      </c>
      <c r="N1834" t="inlineStr">
        <is>
          <t>RON</t>
        </is>
      </c>
      <c r="O1834" t="inlineStr">
        <is>
          <t>Alba Iulia</t>
        </is>
      </c>
      <c r="P1834" s="12" t="n">
        <v>46241</v>
      </c>
      <c r="Q1834">
        <f>IF(COUNTIF(tbl_Localitati[oras_oficial],[@oras])=0,"ORAS NEALINIAT",IF(XLOOKUP([@oras],tbl_Localitati[oras_oficial],tbl_Localitati[judet],"?")&lt;&gt;[@judet],"JUDET NECORESPUNZATOR",""))</f>
        <v/>
      </c>
      <c r="R1834">
        <f>IF(XLOOKUP([@categorie],tbl_RegulriTVA[categorie],tbl_RegulriTVA[cota_legala],-1)&lt;&gt;[@cota_tva],"TVA GRESIT","")</f>
        <v/>
      </c>
      <c r="S1834">
        <f>IF([@data_scadentei]&lt;[@data_factura],"SCADENTA INAINTEA FACTURII","")</f>
        <v/>
      </c>
      <c r="T1834">
        <f>IF(NETWORKDAYS.INTL([@data_factura],[@data_factura],1,tbl_SarbatoriLegale[data])=0,"ZI NELUCRATOARE","")</f>
        <v/>
      </c>
      <c r="U1834">
        <f>IF([@motiv_anomalie]="","OK","DE INVESTIGAT")</f>
        <v/>
      </c>
      <c r="V1834">
        <f>TEXTJOIN("; ",TRUE,[@flag_oras],[@flag_tva],[@flag_scadenta],[@flag_zi])</f>
        <v/>
      </c>
    </row>
    <row r="1835">
      <c r="A1835" t="inlineStr">
        <is>
          <t>F-2025-01834</t>
        </is>
      </c>
      <c r="B1835" s="12" t="n">
        <v>46280</v>
      </c>
      <c r="C1835" t="inlineStr">
        <is>
          <t>SC OMEGA SOFT SRL</t>
        </is>
      </c>
      <c r="D1835" t="inlineStr">
        <is>
          <t>Dolj</t>
        </is>
      </c>
      <c r="E1835" t="inlineStr">
        <is>
          <t>PRD-003</t>
        </is>
      </c>
      <c r="F1835" t="inlineStr">
        <is>
          <t>Suport tehnic anual</t>
        </is>
      </c>
      <c r="G1835" t="inlineStr">
        <is>
          <t>Servicii consultanță</t>
        </is>
      </c>
      <c r="H1835" t="n">
        <v>2</v>
      </c>
      <c r="I1835" t="n">
        <v>4335.34</v>
      </c>
      <c r="J1835" t="n">
        <v>8670.68</v>
      </c>
      <c r="K1835" s="13" t="n">
        <v>0.19</v>
      </c>
      <c r="L1835" t="n">
        <v>1647.43</v>
      </c>
      <c r="M1835" t="n">
        <v>10318.11</v>
      </c>
      <c r="N1835" t="inlineStr">
        <is>
          <t>RON</t>
        </is>
      </c>
      <c r="O1835" t="inlineStr">
        <is>
          <t>Craiova</t>
        </is>
      </c>
      <c r="P1835" s="12" t="n">
        <v>46310</v>
      </c>
      <c r="Q1835">
        <f>IF(COUNTIF(tbl_Localitati[oras_oficial],[@oras])=0,"ORAS NEALINIAT",IF(XLOOKUP([@oras],tbl_Localitati[oras_oficial],tbl_Localitati[judet],"?")&lt;&gt;[@judet],"JUDET NECORESPUNZATOR",""))</f>
        <v/>
      </c>
      <c r="R1835">
        <f>IF(XLOOKUP([@categorie],tbl_RegulriTVA[categorie],tbl_RegulriTVA[cota_legala],-1)&lt;&gt;[@cota_tva],"TVA GRESIT","")</f>
        <v/>
      </c>
      <c r="S1835">
        <f>IF([@data_scadentei]&lt;[@data_factura],"SCADENTA INAINTEA FACTURII","")</f>
        <v/>
      </c>
      <c r="T1835">
        <f>IF(NETWORKDAYS.INTL([@data_factura],[@data_factura],1,tbl_SarbatoriLegale[data])=0,"ZI NELUCRATOARE","")</f>
        <v/>
      </c>
      <c r="U1835">
        <f>IF([@motiv_anomalie]="","OK","DE INVESTIGAT")</f>
        <v/>
      </c>
      <c r="V1835">
        <f>TEXTJOIN("; ",TRUE,[@flag_oras],[@flag_tva],[@flag_scadenta],[@flag_zi])</f>
        <v/>
      </c>
    </row>
    <row r="1836">
      <c r="A1836" t="inlineStr">
        <is>
          <t>F-2025-01835</t>
        </is>
      </c>
      <c r="B1836" s="12" t="n">
        <v>46386</v>
      </c>
      <c r="C1836" t="inlineStr">
        <is>
          <t>SC SOLARIS ENERGY SRL</t>
        </is>
      </c>
      <c r="D1836" t="inlineStr">
        <is>
          <t>Prahova</t>
        </is>
      </c>
      <c r="E1836" t="inlineStr">
        <is>
          <t>PRD-010</t>
        </is>
      </c>
      <c r="F1836" t="inlineStr">
        <is>
          <t>Monitor 27" 4K</t>
        </is>
      </c>
      <c r="G1836" t="inlineStr">
        <is>
          <t>Hardware IT</t>
        </is>
      </c>
      <c r="H1836" t="n">
        <v>20</v>
      </c>
      <c r="I1836" t="n">
        <v>350.8</v>
      </c>
      <c r="J1836" t="n">
        <v>7016</v>
      </c>
      <c r="K1836" s="13" t="n">
        <v>0.19</v>
      </c>
      <c r="L1836" t="n">
        <v>1333.04</v>
      </c>
      <c r="M1836" t="n">
        <v>8349.040000000001</v>
      </c>
      <c r="N1836" t="inlineStr">
        <is>
          <t>RON</t>
        </is>
      </c>
      <c r="O1836" t="inlineStr">
        <is>
          <t>Câmpina</t>
        </is>
      </c>
      <c r="P1836" s="12" t="n">
        <v>46416</v>
      </c>
      <c r="Q1836">
        <f>IF(COUNTIF(tbl_Localitati[oras_oficial],[@oras])=0,"ORAS NEALINIAT",IF(XLOOKUP([@oras],tbl_Localitati[oras_oficial],tbl_Localitati[judet],"?")&lt;&gt;[@judet],"JUDET NECORESPUNZATOR",""))</f>
        <v/>
      </c>
      <c r="R1836">
        <f>IF(XLOOKUP([@categorie],tbl_RegulriTVA[categorie],tbl_RegulriTVA[cota_legala],-1)&lt;&gt;[@cota_tva],"TVA GRESIT","")</f>
        <v/>
      </c>
      <c r="S1836">
        <f>IF([@data_scadentei]&lt;[@data_factura],"SCADENTA INAINTEA FACTURII","")</f>
        <v/>
      </c>
      <c r="T1836">
        <f>IF(NETWORKDAYS.INTL([@data_factura],[@data_factura],1,tbl_SarbatoriLegale[data])=0,"ZI NELUCRATOARE","")</f>
        <v/>
      </c>
      <c r="U1836">
        <f>IF([@motiv_anomalie]="","OK","DE INVESTIGAT")</f>
        <v/>
      </c>
      <c r="V1836">
        <f>TEXTJOIN("; ",TRUE,[@flag_oras],[@flag_tva],[@flag_scadenta],[@flag_zi])</f>
        <v/>
      </c>
    </row>
    <row r="1837">
      <c r="A1837" t="inlineStr">
        <is>
          <t>F-2025-01836</t>
        </is>
      </c>
      <c r="B1837" s="12" t="n">
        <v>46154</v>
      </c>
      <c r="C1837" t="inlineStr">
        <is>
          <t>SC RAPID LOGISTIC SA</t>
        </is>
      </c>
      <c r="D1837" t="inlineStr">
        <is>
          <t>Prahova</t>
        </is>
      </c>
      <c r="E1837" t="inlineStr">
        <is>
          <t>PRD-005</t>
        </is>
      </c>
      <c r="F1837" t="inlineStr">
        <is>
          <t>Switch gigabit 24p</t>
        </is>
      </c>
      <c r="G1837" t="inlineStr">
        <is>
          <t>Hardware IT</t>
        </is>
      </c>
      <c r="H1837" t="n">
        <v>5</v>
      </c>
      <c r="I1837" t="n">
        <v>242.9</v>
      </c>
      <c r="J1837" t="n">
        <v>1214.5</v>
      </c>
      <c r="K1837" s="13" t="n">
        <v>0.19</v>
      </c>
      <c r="L1837" t="n">
        <v>230.75</v>
      </c>
      <c r="M1837" t="n">
        <v>1445.25</v>
      </c>
      <c r="N1837" t="inlineStr">
        <is>
          <t>RON</t>
        </is>
      </c>
      <c r="O1837" t="inlineStr">
        <is>
          <t>Ploiești</t>
        </is>
      </c>
      <c r="P1837" s="12" t="n">
        <v>46184</v>
      </c>
      <c r="Q1837">
        <f>IF(COUNTIF(tbl_Localitati[oras_oficial],[@oras])=0,"ORAS NEALINIAT",IF(XLOOKUP([@oras],tbl_Localitati[oras_oficial],tbl_Localitati[judet],"?")&lt;&gt;[@judet],"JUDET NECORESPUNZATOR",""))</f>
        <v/>
      </c>
      <c r="R1837">
        <f>IF(XLOOKUP([@categorie],tbl_RegulriTVA[categorie],tbl_RegulriTVA[cota_legala],-1)&lt;&gt;[@cota_tva],"TVA GRESIT","")</f>
        <v/>
      </c>
      <c r="S1837">
        <f>IF([@data_scadentei]&lt;[@data_factura],"SCADENTA INAINTEA FACTURII","")</f>
        <v/>
      </c>
      <c r="T1837">
        <f>IF(NETWORKDAYS.INTL([@data_factura],[@data_factura],1,tbl_SarbatoriLegale[data])=0,"ZI NELUCRATOARE","")</f>
        <v/>
      </c>
      <c r="U1837">
        <f>IF([@motiv_anomalie]="","OK","DE INVESTIGAT")</f>
        <v/>
      </c>
      <c r="V1837">
        <f>TEXTJOIN("; ",TRUE,[@flag_oras],[@flag_tva],[@flag_scadenta],[@flag_zi])</f>
        <v/>
      </c>
    </row>
    <row r="1838">
      <c r="A1838" t="inlineStr">
        <is>
          <t>F-2025-01837</t>
        </is>
      </c>
      <c r="B1838" s="12" t="n">
        <v>46239</v>
      </c>
      <c r="C1838" t="inlineStr">
        <is>
          <t>SC METALPLAST INVEST SA</t>
        </is>
      </c>
      <c r="D1838" t="inlineStr">
        <is>
          <t>Cluj</t>
        </is>
      </c>
      <c r="E1838" t="inlineStr">
        <is>
          <t>PRD-002</t>
        </is>
      </c>
      <c r="F1838" t="inlineStr">
        <is>
          <t>Server rack 1U</t>
        </is>
      </c>
      <c r="G1838" t="inlineStr">
        <is>
          <t>Hardware IT</t>
        </is>
      </c>
      <c r="H1838" t="n">
        <v>3</v>
      </c>
      <c r="I1838" t="n">
        <v>1128.91</v>
      </c>
      <c r="J1838" t="n">
        <v>3386.73</v>
      </c>
      <c r="K1838" s="13" t="n">
        <v>0.19</v>
      </c>
      <c r="L1838" t="n">
        <v>643.48</v>
      </c>
      <c r="M1838" t="n">
        <v>4030.21</v>
      </c>
      <c r="N1838" t="inlineStr">
        <is>
          <t>RON</t>
        </is>
      </c>
      <c r="O1838" t="inlineStr">
        <is>
          <t>Turda</t>
        </is>
      </c>
      <c r="P1838" s="12" t="n">
        <v>46284</v>
      </c>
      <c r="Q1838">
        <f>IF(COUNTIF(tbl_Localitati[oras_oficial],[@oras])=0,"ORAS NEALINIAT",IF(XLOOKUP([@oras],tbl_Localitati[oras_oficial],tbl_Localitati[judet],"?")&lt;&gt;[@judet],"JUDET NECORESPUNZATOR",""))</f>
        <v/>
      </c>
      <c r="R1838">
        <f>IF(XLOOKUP([@categorie],tbl_RegulriTVA[categorie],tbl_RegulriTVA[cota_legala],-1)&lt;&gt;[@cota_tva],"TVA GRESIT","")</f>
        <v/>
      </c>
      <c r="S1838">
        <f>IF([@data_scadentei]&lt;[@data_factura],"SCADENTA INAINTEA FACTURII","")</f>
        <v/>
      </c>
      <c r="T1838">
        <f>IF(NETWORKDAYS.INTL([@data_factura],[@data_factura],1,tbl_SarbatoriLegale[data])=0,"ZI NELUCRATOARE","")</f>
        <v/>
      </c>
      <c r="U1838">
        <f>IF([@motiv_anomalie]="","OK","DE INVESTIGAT")</f>
        <v/>
      </c>
      <c r="V1838">
        <f>TEXTJOIN("; ",TRUE,[@flag_oras],[@flag_tva],[@flag_scadenta],[@flag_zi])</f>
        <v/>
      </c>
    </row>
    <row r="1839">
      <c r="A1839" t="inlineStr">
        <is>
          <t>F-2025-01838</t>
        </is>
      </c>
      <c r="B1839" s="12" t="n">
        <v>46247</v>
      </c>
      <c r="C1839" t="inlineStr">
        <is>
          <t>SC DACTECH SOLUTIONS SRL</t>
        </is>
      </c>
      <c r="D1839" t="inlineStr">
        <is>
          <t>Argeș</t>
        </is>
      </c>
      <c r="E1839" t="inlineStr">
        <is>
          <t>PRD-006</t>
        </is>
      </c>
      <c r="F1839" t="inlineStr">
        <is>
          <t>Monitor 27" 4K</t>
        </is>
      </c>
      <c r="G1839" t="inlineStr">
        <is>
          <t>Hardware IT</t>
        </is>
      </c>
      <c r="H1839" t="n">
        <v>1</v>
      </c>
      <c r="I1839" t="n">
        <v>714.14</v>
      </c>
      <c r="J1839" t="n">
        <v>714.14</v>
      </c>
      <c r="K1839" s="13" t="n">
        <v>0.19</v>
      </c>
      <c r="L1839" t="n">
        <v>135.69</v>
      </c>
      <c r="M1839" t="n">
        <v>849.83</v>
      </c>
      <c r="N1839" t="inlineStr">
        <is>
          <t>RON</t>
        </is>
      </c>
      <c r="O1839" t="inlineStr">
        <is>
          <t>Pitești</t>
        </is>
      </c>
      <c r="P1839" s="12" t="n">
        <v>46262</v>
      </c>
      <c r="Q1839">
        <f>IF(COUNTIF(tbl_Localitati[oras_oficial],[@oras])=0,"ORAS NEALINIAT",IF(XLOOKUP([@oras],tbl_Localitati[oras_oficial],tbl_Localitati[judet],"?")&lt;&gt;[@judet],"JUDET NECORESPUNZATOR",""))</f>
        <v/>
      </c>
      <c r="R1839">
        <f>IF(XLOOKUP([@categorie],tbl_RegulriTVA[categorie],tbl_RegulriTVA[cota_legala],-1)&lt;&gt;[@cota_tva],"TVA GRESIT","")</f>
        <v/>
      </c>
      <c r="S1839">
        <f>IF([@data_scadentei]&lt;[@data_factura],"SCADENTA INAINTEA FACTURII","")</f>
        <v/>
      </c>
      <c r="T1839">
        <f>IF(NETWORKDAYS.INTL([@data_factura],[@data_factura],1,tbl_SarbatoriLegale[data])=0,"ZI NELUCRATOARE","")</f>
        <v/>
      </c>
      <c r="U1839">
        <f>IF([@motiv_anomalie]="","OK","DE INVESTIGAT")</f>
        <v/>
      </c>
      <c r="V1839">
        <f>TEXTJOIN("; ",TRUE,[@flag_oras],[@flag_tva],[@flag_scadenta],[@flag_zi])</f>
        <v/>
      </c>
    </row>
    <row r="1840">
      <c r="A1840" t="inlineStr">
        <is>
          <t>F-2025-01839</t>
        </is>
      </c>
      <c r="B1840" s="12" t="n">
        <v>46342</v>
      </c>
      <c r="C1840" t="inlineStr">
        <is>
          <t>SC NORDIS DISTRIBUTIE SRL</t>
        </is>
      </c>
      <c r="D1840" t="inlineStr">
        <is>
          <t>Constanța</t>
        </is>
      </c>
      <c r="E1840" t="inlineStr">
        <is>
          <t>PRD-003</t>
        </is>
      </c>
      <c r="F1840" t="inlineStr">
        <is>
          <t>Trusa prim ajutor</t>
        </is>
      </c>
      <c r="G1840" t="inlineStr">
        <is>
          <t>Produse farmaceutice</t>
        </is>
      </c>
      <c r="H1840" t="n">
        <v>2</v>
      </c>
      <c r="I1840" t="n">
        <v>4359.83</v>
      </c>
      <c r="J1840" t="n">
        <v>8719.66</v>
      </c>
      <c r="K1840" s="13" t="n">
        <v>0.09</v>
      </c>
      <c r="L1840" t="n">
        <v>784.77</v>
      </c>
      <c r="M1840" t="n">
        <v>9504.43</v>
      </c>
      <c r="N1840" t="inlineStr">
        <is>
          <t>RON</t>
        </is>
      </c>
      <c r="O1840" t="inlineStr">
        <is>
          <t>Mangalia</t>
        </is>
      </c>
      <c r="P1840" s="12" t="n">
        <v>46372</v>
      </c>
      <c r="Q1840">
        <f>IF(COUNTIF(tbl_Localitati[oras_oficial],[@oras])=0,"ORAS NEALINIAT",IF(XLOOKUP([@oras],tbl_Localitati[oras_oficial],tbl_Localitati[judet],"?")&lt;&gt;[@judet],"JUDET NECORESPUNZATOR",""))</f>
        <v/>
      </c>
      <c r="R1840">
        <f>IF(XLOOKUP([@categorie],tbl_RegulriTVA[categorie],tbl_RegulriTVA[cota_legala],-1)&lt;&gt;[@cota_tva],"TVA GRESIT","")</f>
        <v/>
      </c>
      <c r="S1840">
        <f>IF([@data_scadentei]&lt;[@data_factura],"SCADENTA INAINTEA FACTURII","")</f>
        <v/>
      </c>
      <c r="T1840">
        <f>IF(NETWORKDAYS.INTL([@data_factura],[@data_factura],1,tbl_SarbatoriLegale[data])=0,"ZI NELUCRATOARE","")</f>
        <v/>
      </c>
      <c r="U1840">
        <f>IF([@motiv_anomalie]="","OK","DE INVESTIGAT")</f>
        <v/>
      </c>
      <c r="V1840">
        <f>TEXTJOIN("; ",TRUE,[@flag_oras],[@flag_tva],[@flag_scadenta],[@flag_zi])</f>
        <v/>
      </c>
    </row>
    <row r="1841">
      <c r="A1841" t="inlineStr">
        <is>
          <t>F-2025-01840</t>
        </is>
      </c>
      <c r="B1841" s="12" t="n">
        <v>46182</v>
      </c>
      <c r="C1841" t="inlineStr">
        <is>
          <t>SC DACTECH SOLUTIONS SRL</t>
        </is>
      </c>
      <c r="D1841" t="inlineStr">
        <is>
          <t>Argeș</t>
        </is>
      </c>
      <c r="E1841" t="inlineStr">
        <is>
          <t>PRD-007</t>
        </is>
      </c>
      <c r="F1841" t="inlineStr">
        <is>
          <t>Abonament suita cloud</t>
        </is>
      </c>
      <c r="G1841" t="inlineStr">
        <is>
          <t>Licențe software</t>
        </is>
      </c>
      <c r="H1841" t="n">
        <v>25</v>
      </c>
      <c r="I1841" t="n">
        <v>178.55</v>
      </c>
      <c r="J1841" t="n">
        <v>4463.75</v>
      </c>
      <c r="K1841" s="13" t="n">
        <v>0.19</v>
      </c>
      <c r="L1841" t="n">
        <v>848.11</v>
      </c>
      <c r="M1841" t="n">
        <v>5311.86</v>
      </c>
      <c r="N1841" t="inlineStr">
        <is>
          <t>RON</t>
        </is>
      </c>
      <c r="O1841" t="inlineStr">
        <is>
          <t>Pitești</t>
        </is>
      </c>
      <c r="P1841" s="12" t="n">
        <v>46197</v>
      </c>
      <c r="Q1841">
        <f>IF(COUNTIF(tbl_Localitati[oras_oficial],[@oras])=0,"ORAS NEALINIAT",IF(XLOOKUP([@oras],tbl_Localitati[oras_oficial],tbl_Localitati[judet],"?")&lt;&gt;[@judet],"JUDET NECORESPUNZATOR",""))</f>
        <v/>
      </c>
      <c r="R1841">
        <f>IF(XLOOKUP([@categorie],tbl_RegulriTVA[categorie],tbl_RegulriTVA[cota_legala],-1)&lt;&gt;[@cota_tva],"TVA GRESIT","")</f>
        <v/>
      </c>
      <c r="S1841">
        <f>IF([@data_scadentei]&lt;[@data_factura],"SCADENTA INAINTEA FACTURII","")</f>
        <v/>
      </c>
      <c r="T1841">
        <f>IF(NETWORKDAYS.INTL([@data_factura],[@data_factura],1,tbl_SarbatoriLegale[data])=0,"ZI NELUCRATOARE","")</f>
        <v/>
      </c>
      <c r="U1841">
        <f>IF([@motiv_anomalie]="","OK","DE INVESTIGAT")</f>
        <v/>
      </c>
      <c r="V1841">
        <f>TEXTJOIN("; ",TRUE,[@flag_oras],[@flag_tva],[@flag_scadenta],[@flag_zi])</f>
        <v/>
      </c>
    </row>
    <row r="1842">
      <c r="A1842" t="inlineStr">
        <is>
          <t>F-2025-01841</t>
        </is>
      </c>
      <c r="B1842" s="12" t="n">
        <v>46167</v>
      </c>
      <c r="C1842" t="inlineStr">
        <is>
          <t>SC DACTECH SOLUTIONS SRL</t>
        </is>
      </c>
      <c r="D1842" t="inlineStr">
        <is>
          <t>Argeș</t>
        </is>
      </c>
      <c r="E1842" t="inlineStr">
        <is>
          <t>PRD-009</t>
        </is>
      </c>
      <c r="F1842" t="inlineStr">
        <is>
          <t>Licenta ERP contabilitate</t>
        </is>
      </c>
      <c r="G1842" t="inlineStr">
        <is>
          <t>Licențe software</t>
        </is>
      </c>
      <c r="H1842" t="n">
        <v>10</v>
      </c>
      <c r="I1842" t="n">
        <v>28.25</v>
      </c>
      <c r="J1842" t="n">
        <v>282.5</v>
      </c>
      <c r="K1842" s="13" t="n">
        <v>0.19</v>
      </c>
      <c r="L1842" t="n">
        <v>53.67</v>
      </c>
      <c r="M1842" t="n">
        <v>336.17</v>
      </c>
      <c r="N1842" t="inlineStr">
        <is>
          <t>EUR</t>
        </is>
      </c>
      <c r="O1842" t="inlineStr">
        <is>
          <t>Pitești</t>
        </is>
      </c>
      <c r="P1842" s="12" t="n">
        <v>46197</v>
      </c>
      <c r="Q1842">
        <f>IF(COUNTIF(tbl_Localitati[oras_oficial],[@oras])=0,"ORAS NEALINIAT",IF(XLOOKUP([@oras],tbl_Localitati[oras_oficial],tbl_Localitati[judet],"?")&lt;&gt;[@judet],"JUDET NECORESPUNZATOR",""))</f>
        <v/>
      </c>
      <c r="R1842">
        <f>IF(XLOOKUP([@categorie],tbl_RegulriTVA[categorie],tbl_RegulriTVA[cota_legala],-1)&lt;&gt;[@cota_tva],"TVA GRESIT","")</f>
        <v/>
      </c>
      <c r="S1842">
        <f>IF([@data_scadentei]&lt;[@data_factura],"SCADENTA INAINTEA FACTURII","")</f>
        <v/>
      </c>
      <c r="T1842">
        <f>IF(NETWORKDAYS.INTL([@data_factura],[@data_factura],1,tbl_SarbatoriLegale[data])=0,"ZI NELUCRATOARE","")</f>
        <v/>
      </c>
      <c r="U1842">
        <f>IF([@motiv_anomalie]="","OK","DE INVESTIGAT")</f>
        <v/>
      </c>
      <c r="V1842">
        <f>TEXTJOIN("; ",TRUE,[@flag_oras],[@flag_tva],[@flag_scadenta],[@flag_zi])</f>
        <v/>
      </c>
    </row>
    <row r="1843">
      <c r="A1843" t="inlineStr">
        <is>
          <t>F-2025-01842</t>
        </is>
      </c>
      <c r="B1843" s="12" t="n">
        <v>46223</v>
      </c>
      <c r="C1843" t="inlineStr">
        <is>
          <t>SC DACTECH SOLUTIONS SRL</t>
        </is>
      </c>
      <c r="D1843" t="inlineStr">
        <is>
          <t>Argeș</t>
        </is>
      </c>
      <c r="E1843" t="inlineStr">
        <is>
          <t>PRD-011</t>
        </is>
      </c>
      <c r="F1843" t="inlineStr">
        <is>
          <t>Statie de lucru desktop</t>
        </is>
      </c>
      <c r="G1843" t="inlineStr">
        <is>
          <t>Hardware IT</t>
        </is>
      </c>
      <c r="H1843" t="n">
        <v>20</v>
      </c>
      <c r="I1843" t="n">
        <v>47.07</v>
      </c>
      <c r="J1843" t="n">
        <v>941.4</v>
      </c>
      <c r="K1843" s="13" t="n">
        <v>0.19</v>
      </c>
      <c r="L1843" t="n">
        <v>178.87</v>
      </c>
      <c r="M1843" t="n">
        <v>1120.27</v>
      </c>
      <c r="N1843" t="inlineStr">
        <is>
          <t>RON</t>
        </is>
      </c>
      <c r="O1843" t="inlineStr">
        <is>
          <t>Pitești</t>
        </is>
      </c>
      <c r="P1843" s="12" t="n">
        <v>46253</v>
      </c>
      <c r="Q1843">
        <f>IF(COUNTIF(tbl_Localitati[oras_oficial],[@oras])=0,"ORAS NEALINIAT",IF(XLOOKUP([@oras],tbl_Localitati[oras_oficial],tbl_Localitati[judet],"?")&lt;&gt;[@judet],"JUDET NECORESPUNZATOR",""))</f>
        <v/>
      </c>
      <c r="R1843">
        <f>IF(XLOOKUP([@categorie],tbl_RegulriTVA[categorie],tbl_RegulriTVA[cota_legala],-1)&lt;&gt;[@cota_tva],"TVA GRESIT","")</f>
        <v/>
      </c>
      <c r="S1843">
        <f>IF([@data_scadentei]&lt;[@data_factura],"SCADENTA INAINTEA FACTURII","")</f>
        <v/>
      </c>
      <c r="T1843">
        <f>IF(NETWORKDAYS.INTL([@data_factura],[@data_factura],1,tbl_SarbatoriLegale[data])=0,"ZI NELUCRATOARE","")</f>
        <v/>
      </c>
      <c r="U1843">
        <f>IF([@motiv_anomalie]="","OK","DE INVESTIGAT")</f>
        <v/>
      </c>
      <c r="V1843">
        <f>TEXTJOIN("; ",TRUE,[@flag_oras],[@flag_tva],[@flag_scadenta],[@flag_zi])</f>
        <v/>
      </c>
    </row>
    <row r="1844">
      <c r="A1844" t="inlineStr">
        <is>
          <t>F-2025-01843</t>
        </is>
      </c>
      <c r="B1844" s="12" t="n">
        <v>46167</v>
      </c>
      <c r="C1844" t="inlineStr">
        <is>
          <t>SC ZENITH AUTO SRL</t>
        </is>
      </c>
      <c r="D1844" t="inlineStr">
        <is>
          <t>București</t>
        </is>
      </c>
      <c r="E1844" t="inlineStr">
        <is>
          <t>PRD-006</t>
        </is>
      </c>
      <c r="F1844" t="inlineStr">
        <is>
          <t>Statie de lucru desktop</t>
        </is>
      </c>
      <c r="G1844" t="inlineStr">
        <is>
          <t>Hardware IT</t>
        </is>
      </c>
      <c r="H1844" t="n">
        <v>5</v>
      </c>
      <c r="I1844" t="n">
        <v>720.01</v>
      </c>
      <c r="J1844" t="n">
        <v>3600.05</v>
      </c>
      <c r="K1844" s="13" t="n">
        <v>0.19</v>
      </c>
      <c r="L1844" t="n">
        <v>684.01</v>
      </c>
      <c r="M1844" t="n">
        <v>4284.06</v>
      </c>
      <c r="N1844" t="inlineStr">
        <is>
          <t>RON</t>
        </is>
      </c>
      <c r="O1844" t="inlineStr">
        <is>
          <t>București</t>
        </is>
      </c>
      <c r="P1844" s="12" t="n">
        <v>46182</v>
      </c>
      <c r="Q1844">
        <f>IF(COUNTIF(tbl_Localitati[oras_oficial],[@oras])=0,"ORAS NEALINIAT",IF(XLOOKUP([@oras],tbl_Localitati[oras_oficial],tbl_Localitati[judet],"?")&lt;&gt;[@judet],"JUDET NECORESPUNZATOR",""))</f>
        <v/>
      </c>
      <c r="R1844">
        <f>IF(XLOOKUP([@categorie],tbl_RegulriTVA[categorie],tbl_RegulriTVA[cota_legala],-1)&lt;&gt;[@cota_tva],"TVA GRESIT","")</f>
        <v/>
      </c>
      <c r="S1844">
        <f>IF([@data_scadentei]&lt;[@data_factura],"SCADENTA INAINTEA FACTURII","")</f>
        <v/>
      </c>
      <c r="T1844">
        <f>IF(NETWORKDAYS.INTL([@data_factura],[@data_factura],1,tbl_SarbatoriLegale[data])=0,"ZI NELUCRATOARE","")</f>
        <v/>
      </c>
      <c r="U1844">
        <f>IF([@motiv_anomalie]="","OK","DE INVESTIGAT")</f>
        <v/>
      </c>
      <c r="V1844">
        <f>TEXTJOIN("; ",TRUE,[@flag_oras],[@flag_tva],[@flag_scadenta],[@flag_zi])</f>
        <v/>
      </c>
    </row>
    <row r="1845">
      <c r="A1845" t="inlineStr">
        <is>
          <t>F-2025-01844</t>
        </is>
      </c>
      <c r="B1845" s="12" t="n">
        <v>46192</v>
      </c>
      <c r="C1845" t="inlineStr">
        <is>
          <t>SC FARMAVITAL DISTRIBUTIE SA</t>
        </is>
      </c>
      <c r="D1845" t="inlineStr">
        <is>
          <t>Bihor</t>
        </is>
      </c>
      <c r="E1845" t="inlineStr">
        <is>
          <t>PRD-003</t>
        </is>
      </c>
      <c r="F1845" t="inlineStr">
        <is>
          <t>Laptop business 15"</t>
        </is>
      </c>
      <c r="G1845" t="inlineStr">
        <is>
          <t>Hardware IT</t>
        </is>
      </c>
      <c r="H1845" t="n">
        <v>3</v>
      </c>
      <c r="I1845" t="n">
        <v>4077.94</v>
      </c>
      <c r="J1845" t="n">
        <v>12233.82</v>
      </c>
      <c r="K1845" s="13" t="n">
        <v>0.19</v>
      </c>
      <c r="L1845" t="n">
        <v>2324.43</v>
      </c>
      <c r="M1845" t="n">
        <v>14558.25</v>
      </c>
      <c r="N1845" t="inlineStr">
        <is>
          <t>RON</t>
        </is>
      </c>
      <c r="O1845" t="inlineStr">
        <is>
          <t>Oradea</t>
        </is>
      </c>
      <c r="P1845" s="12" t="n">
        <v>46237</v>
      </c>
      <c r="Q1845">
        <f>IF(COUNTIF(tbl_Localitati[oras_oficial],[@oras])=0,"ORAS NEALINIAT",IF(XLOOKUP([@oras],tbl_Localitati[oras_oficial],tbl_Localitati[judet],"?")&lt;&gt;[@judet],"JUDET NECORESPUNZATOR",""))</f>
        <v/>
      </c>
      <c r="R1845">
        <f>IF(XLOOKUP([@categorie],tbl_RegulriTVA[categorie],tbl_RegulriTVA[cota_legala],-1)&lt;&gt;[@cota_tva],"TVA GRESIT","")</f>
        <v/>
      </c>
      <c r="S1845">
        <f>IF([@data_scadentei]&lt;[@data_factura],"SCADENTA INAINTEA FACTURII","")</f>
        <v/>
      </c>
      <c r="T1845">
        <f>IF(NETWORKDAYS.INTL([@data_factura],[@data_factura],1,tbl_SarbatoriLegale[data])=0,"ZI NELUCRATOARE","")</f>
        <v/>
      </c>
      <c r="U1845">
        <f>IF([@motiv_anomalie]="","OK","DE INVESTIGAT")</f>
        <v/>
      </c>
      <c r="V1845">
        <f>TEXTJOIN("; ",TRUE,[@flag_oras],[@flag_tva],[@flag_scadenta],[@flag_zi])</f>
        <v/>
      </c>
    </row>
    <row r="1846">
      <c r="A1846" t="inlineStr">
        <is>
          <t>F-2025-01845</t>
        </is>
      </c>
      <c r="B1846" s="12" t="n">
        <v>46360</v>
      </c>
      <c r="C1846" t="inlineStr">
        <is>
          <t>SC PROVITA MEDICAL SRL</t>
        </is>
      </c>
      <c r="D1846" t="inlineStr">
        <is>
          <t>Mureș</t>
        </is>
      </c>
      <c r="E1846" t="inlineStr">
        <is>
          <t>PRD-004</t>
        </is>
      </c>
      <c r="F1846" t="inlineStr">
        <is>
          <t>Tocator documente</t>
        </is>
      </c>
      <c r="G1846" t="inlineStr">
        <is>
          <t>Echipamente birou</t>
        </is>
      </c>
      <c r="H1846" t="n">
        <v>2</v>
      </c>
      <c r="I1846" t="n">
        <v>933.84</v>
      </c>
      <c r="J1846" t="n">
        <v>1867.68</v>
      </c>
      <c r="K1846" s="13" t="n">
        <v>0.19</v>
      </c>
      <c r="L1846" t="n">
        <v>354.86</v>
      </c>
      <c r="M1846" t="n">
        <v>2222.54</v>
      </c>
      <c r="N1846" t="inlineStr">
        <is>
          <t>RON</t>
        </is>
      </c>
      <c r="O1846" t="inlineStr">
        <is>
          <t>CJ</t>
        </is>
      </c>
      <c r="P1846" s="12" t="n">
        <v>46405</v>
      </c>
      <c r="Q1846">
        <f>IF(COUNTIF(tbl_Localitati[oras_oficial],[@oras])=0,"ORAS NEALINIAT",IF(XLOOKUP([@oras],tbl_Localitati[oras_oficial],tbl_Localitati[judet],"?")&lt;&gt;[@judet],"JUDET NECORESPUNZATOR",""))</f>
        <v/>
      </c>
      <c r="R1846">
        <f>IF(XLOOKUP([@categorie],tbl_RegulriTVA[categorie],tbl_RegulriTVA[cota_legala],-1)&lt;&gt;[@cota_tva],"TVA GRESIT","")</f>
        <v/>
      </c>
      <c r="S1846">
        <f>IF([@data_scadentei]&lt;[@data_factura],"SCADENTA INAINTEA FACTURII","")</f>
        <v/>
      </c>
      <c r="T1846">
        <f>IF(NETWORKDAYS.INTL([@data_factura],[@data_factura],1,tbl_SarbatoriLegale[data])=0,"ZI NELUCRATOARE","")</f>
        <v/>
      </c>
      <c r="U1846">
        <f>IF([@motiv_anomalie]="","OK","DE INVESTIGAT")</f>
        <v/>
      </c>
      <c r="V1846">
        <f>TEXTJOIN("; ",TRUE,[@flag_oras],[@flag_tva],[@flag_scadenta],[@flag_zi])</f>
        <v/>
      </c>
    </row>
    <row r="1847">
      <c r="A1847" t="inlineStr">
        <is>
          <t>F-2025-01846</t>
        </is>
      </c>
      <c r="B1847" s="12" t="n">
        <v>46155</v>
      </c>
      <c r="C1847" t="inlineStr">
        <is>
          <t>SC OMEGA SOFT SRL</t>
        </is>
      </c>
      <c r="D1847" t="inlineStr">
        <is>
          <t>Dolj</t>
        </is>
      </c>
      <c r="E1847" t="inlineStr">
        <is>
          <t>PRD-009</t>
        </is>
      </c>
      <c r="F1847" t="inlineStr">
        <is>
          <t>Switch gigabit 24p</t>
        </is>
      </c>
      <c r="G1847" t="inlineStr">
        <is>
          <t>Hardware IT</t>
        </is>
      </c>
      <c r="H1847" t="n">
        <v>10</v>
      </c>
      <c r="I1847" t="n">
        <v>27.13</v>
      </c>
      <c r="J1847" t="n">
        <v>271.3</v>
      </c>
      <c r="K1847" s="13" t="n">
        <v>0.19</v>
      </c>
      <c r="L1847" t="n">
        <v>51.55</v>
      </c>
      <c r="M1847" t="n">
        <v>322.85</v>
      </c>
      <c r="N1847" t="inlineStr">
        <is>
          <t>RON</t>
        </is>
      </c>
      <c r="O1847" t="inlineStr">
        <is>
          <t>Craiova</t>
        </is>
      </c>
      <c r="P1847" s="12" t="n">
        <v>46185</v>
      </c>
      <c r="Q1847">
        <f>IF(COUNTIF(tbl_Localitati[oras_oficial],[@oras])=0,"ORAS NEALINIAT",IF(XLOOKUP([@oras],tbl_Localitati[oras_oficial],tbl_Localitati[judet],"?")&lt;&gt;[@judet],"JUDET NECORESPUNZATOR",""))</f>
        <v/>
      </c>
      <c r="R1847">
        <f>IF(XLOOKUP([@categorie],tbl_RegulriTVA[categorie],tbl_RegulriTVA[cota_legala],-1)&lt;&gt;[@cota_tva],"TVA GRESIT","")</f>
        <v/>
      </c>
      <c r="S1847">
        <f>IF([@data_scadentei]&lt;[@data_factura],"SCADENTA INAINTEA FACTURII","")</f>
        <v/>
      </c>
      <c r="T1847">
        <f>IF(NETWORKDAYS.INTL([@data_factura],[@data_factura],1,tbl_SarbatoriLegale[data])=0,"ZI NELUCRATOARE","")</f>
        <v/>
      </c>
      <c r="U1847">
        <f>IF([@motiv_anomalie]="","OK","DE INVESTIGAT")</f>
        <v/>
      </c>
      <c r="V1847">
        <f>TEXTJOIN("; ",TRUE,[@flag_oras],[@flag_tva],[@flag_scadenta],[@flag_zi])</f>
        <v/>
      </c>
    </row>
    <row r="1848">
      <c r="A1848" t="inlineStr">
        <is>
          <t>F-2025-01847</t>
        </is>
      </c>
      <c r="B1848" s="12" t="n">
        <v>46311</v>
      </c>
      <c r="C1848" t="inlineStr">
        <is>
          <t>SC AROMET TRADING SRL</t>
        </is>
      </c>
      <c r="D1848" t="inlineStr">
        <is>
          <t>Alba</t>
        </is>
      </c>
      <c r="E1848" t="inlineStr">
        <is>
          <t>PRD-005</t>
        </is>
      </c>
      <c r="F1848" t="inlineStr">
        <is>
          <t>Licenta antivirus enterprise</t>
        </is>
      </c>
      <c r="G1848" t="inlineStr">
        <is>
          <t>Licențe software</t>
        </is>
      </c>
      <c r="H1848" t="n">
        <v>5</v>
      </c>
      <c r="I1848" t="n">
        <v>240.13</v>
      </c>
      <c r="J1848" t="n">
        <v>1200.65</v>
      </c>
      <c r="K1848" s="13" t="n">
        <v>0.19</v>
      </c>
      <c r="L1848" t="n">
        <v>228.12</v>
      </c>
      <c r="M1848" t="n">
        <v>1428.77</v>
      </c>
      <c r="N1848" t="inlineStr">
        <is>
          <t>RON</t>
        </is>
      </c>
      <c r="O1848" t="inlineStr">
        <is>
          <t>Alba Iulia</t>
        </is>
      </c>
      <c r="P1848" s="12" t="n">
        <v>46341</v>
      </c>
      <c r="Q1848">
        <f>IF(COUNTIF(tbl_Localitati[oras_oficial],[@oras])=0,"ORAS NEALINIAT",IF(XLOOKUP([@oras],tbl_Localitati[oras_oficial],tbl_Localitati[judet],"?")&lt;&gt;[@judet],"JUDET NECORESPUNZATOR",""))</f>
        <v/>
      </c>
      <c r="R1848">
        <f>IF(XLOOKUP([@categorie],tbl_RegulriTVA[categorie],tbl_RegulriTVA[cota_legala],-1)&lt;&gt;[@cota_tva],"TVA GRESIT","")</f>
        <v/>
      </c>
      <c r="S1848">
        <f>IF([@data_scadentei]&lt;[@data_factura],"SCADENTA INAINTEA FACTURII","")</f>
        <v/>
      </c>
      <c r="T1848">
        <f>IF(NETWORKDAYS.INTL([@data_factura],[@data_factura],1,tbl_SarbatoriLegale[data])=0,"ZI NELUCRATOARE","")</f>
        <v/>
      </c>
      <c r="U1848">
        <f>IF([@motiv_anomalie]="","OK","DE INVESTIGAT")</f>
        <v/>
      </c>
      <c r="V1848">
        <f>TEXTJOIN("; ",TRUE,[@flag_oras],[@flag_tva],[@flag_scadenta],[@flag_zi])</f>
        <v/>
      </c>
    </row>
    <row r="1849">
      <c r="A1849" t="inlineStr">
        <is>
          <t>F-2025-01848</t>
        </is>
      </c>
      <c r="B1849" s="12" t="n">
        <v>46346</v>
      </c>
      <c r="C1849" t="inlineStr">
        <is>
          <t>SC AROMET TRADING SRL</t>
        </is>
      </c>
      <c r="D1849" t="inlineStr">
        <is>
          <t>Alba</t>
        </is>
      </c>
      <c r="E1849" t="inlineStr">
        <is>
          <t>PRD-005</t>
        </is>
      </c>
      <c r="F1849" t="inlineStr">
        <is>
          <t>Carte tehnica IT</t>
        </is>
      </c>
      <c r="G1849" t="inlineStr">
        <is>
          <t>Cărți și manuale</t>
        </is>
      </c>
      <c r="H1849" t="n">
        <v>2</v>
      </c>
      <c r="I1849" t="n">
        <v>253.49</v>
      </c>
      <c r="J1849" t="n">
        <v>506.98</v>
      </c>
      <c r="K1849" s="13" t="n">
        <v>0.05</v>
      </c>
      <c r="L1849" t="n">
        <v>25.35</v>
      </c>
      <c r="M1849" t="n">
        <v>532.33</v>
      </c>
      <c r="N1849" t="inlineStr">
        <is>
          <t>RON</t>
        </is>
      </c>
      <c r="O1849" t="inlineStr">
        <is>
          <t>Alba Iulia</t>
        </is>
      </c>
      <c r="P1849" s="12" t="n">
        <v>46361</v>
      </c>
      <c r="Q1849">
        <f>IF(COUNTIF(tbl_Localitati[oras_oficial],[@oras])=0,"ORAS NEALINIAT",IF(XLOOKUP([@oras],tbl_Localitati[oras_oficial],tbl_Localitati[judet],"?")&lt;&gt;[@judet],"JUDET NECORESPUNZATOR",""))</f>
        <v/>
      </c>
      <c r="R1849">
        <f>IF(XLOOKUP([@categorie],tbl_RegulriTVA[categorie],tbl_RegulriTVA[cota_legala],-1)&lt;&gt;[@cota_tva],"TVA GRESIT","")</f>
        <v/>
      </c>
      <c r="S1849">
        <f>IF([@data_scadentei]&lt;[@data_factura],"SCADENTA INAINTEA FACTURII","")</f>
        <v/>
      </c>
      <c r="T1849">
        <f>IF(NETWORKDAYS.INTL([@data_factura],[@data_factura],1,tbl_SarbatoriLegale[data])=0,"ZI NELUCRATOARE","")</f>
        <v/>
      </c>
      <c r="U1849">
        <f>IF([@motiv_anomalie]="","OK","DE INVESTIGAT")</f>
        <v/>
      </c>
      <c r="V1849">
        <f>TEXTJOIN("; ",TRUE,[@flag_oras],[@flag_tva],[@flag_scadenta],[@flag_zi])</f>
        <v/>
      </c>
    </row>
    <row r="1850">
      <c r="A1850" t="inlineStr">
        <is>
          <t>F-2025-01849</t>
        </is>
      </c>
      <c r="B1850" s="12" t="n">
        <v>46294</v>
      </c>
      <c r="C1850" t="inlineStr">
        <is>
          <t>SC INTEGROMED SA</t>
        </is>
      </c>
      <c r="D1850" t="inlineStr">
        <is>
          <t>Cluj</t>
        </is>
      </c>
      <c r="E1850" t="inlineStr">
        <is>
          <t>PRD-008</t>
        </is>
      </c>
      <c r="F1850" t="inlineStr">
        <is>
          <t>Server rack 1U</t>
        </is>
      </c>
      <c r="G1850" t="inlineStr">
        <is>
          <t>Hardware IT</t>
        </is>
      </c>
      <c r="H1850" t="n">
        <v>50</v>
      </c>
      <c r="I1850" t="n">
        <v>464.45</v>
      </c>
      <c r="J1850" t="n">
        <v>23222.5</v>
      </c>
      <c r="K1850" s="13" t="n">
        <v>0.19</v>
      </c>
      <c r="L1850" t="n">
        <v>4412.27</v>
      </c>
      <c r="M1850" t="n">
        <v>27634.77</v>
      </c>
      <c r="N1850" t="inlineStr">
        <is>
          <t>RON</t>
        </is>
      </c>
      <c r="O1850" t="inlineStr">
        <is>
          <t>Cluj-Napoca</t>
        </is>
      </c>
      <c r="P1850" s="12" t="n">
        <v>46309</v>
      </c>
      <c r="Q1850">
        <f>IF(COUNTIF(tbl_Localitati[oras_oficial],[@oras])=0,"ORAS NEALINIAT",IF(XLOOKUP([@oras],tbl_Localitati[oras_oficial],tbl_Localitati[judet],"?")&lt;&gt;[@judet],"JUDET NECORESPUNZATOR",""))</f>
        <v/>
      </c>
      <c r="R1850">
        <f>IF(XLOOKUP([@categorie],tbl_RegulriTVA[categorie],tbl_RegulriTVA[cota_legala],-1)&lt;&gt;[@cota_tva],"TVA GRESIT","")</f>
        <v/>
      </c>
      <c r="S1850">
        <f>IF([@data_scadentei]&lt;[@data_factura],"SCADENTA INAINTEA FACTURII","")</f>
        <v/>
      </c>
      <c r="T1850">
        <f>IF(NETWORKDAYS.INTL([@data_factura],[@data_factura],1,tbl_SarbatoriLegale[data])=0,"ZI NELUCRATOARE","")</f>
        <v/>
      </c>
      <c r="U1850">
        <f>IF([@motiv_anomalie]="","OK","DE INVESTIGAT")</f>
        <v/>
      </c>
      <c r="V1850">
        <f>TEXTJOIN("; ",TRUE,[@flag_oras],[@flag_tva],[@flag_scadenta],[@flag_zi])</f>
        <v/>
      </c>
    </row>
    <row r="1851">
      <c r="A1851" t="inlineStr">
        <is>
          <t>F-2025-01850</t>
        </is>
      </c>
      <c r="B1851" s="12" t="n">
        <v>46289</v>
      </c>
      <c r="C1851" t="inlineStr">
        <is>
          <t>SC PROVITA MEDICAL SRL</t>
        </is>
      </c>
      <c r="D1851" t="inlineStr">
        <is>
          <t>Mureș</t>
        </is>
      </c>
      <c r="E1851" t="inlineStr">
        <is>
          <t>PRD-007</t>
        </is>
      </c>
      <c r="F1851" t="inlineStr">
        <is>
          <t>Multifunctionala laser</t>
        </is>
      </c>
      <c r="G1851" t="inlineStr">
        <is>
          <t>Echipamente birou</t>
        </is>
      </c>
      <c r="H1851" t="n">
        <v>10</v>
      </c>
      <c r="I1851" t="n">
        <v>184.6</v>
      </c>
      <c r="J1851" t="n">
        <v>1846</v>
      </c>
      <c r="K1851" s="13" t="n">
        <v>0.19</v>
      </c>
      <c r="L1851" t="n">
        <v>350.74</v>
      </c>
      <c r="M1851" t="n">
        <v>2196.74</v>
      </c>
      <c r="N1851" t="inlineStr">
        <is>
          <t>RON</t>
        </is>
      </c>
      <c r="O1851" t="inlineStr">
        <is>
          <t>Târgu Mureș</t>
        </is>
      </c>
      <c r="P1851" s="12" t="n">
        <v>46334</v>
      </c>
      <c r="Q1851">
        <f>IF(COUNTIF(tbl_Localitati[oras_oficial],[@oras])=0,"ORAS NEALINIAT",IF(XLOOKUP([@oras],tbl_Localitati[oras_oficial],tbl_Localitati[judet],"?")&lt;&gt;[@judet],"JUDET NECORESPUNZATOR",""))</f>
        <v/>
      </c>
      <c r="R1851">
        <f>IF(XLOOKUP([@categorie],tbl_RegulriTVA[categorie],tbl_RegulriTVA[cota_legala],-1)&lt;&gt;[@cota_tva],"TVA GRESIT","")</f>
        <v/>
      </c>
      <c r="S1851">
        <f>IF([@data_scadentei]&lt;[@data_factura],"SCADENTA INAINTEA FACTURII","")</f>
        <v/>
      </c>
      <c r="T1851">
        <f>IF(NETWORKDAYS.INTL([@data_factura],[@data_factura],1,tbl_SarbatoriLegale[data])=0,"ZI NELUCRATOARE","")</f>
        <v/>
      </c>
      <c r="U1851">
        <f>IF([@motiv_anomalie]="","OK","DE INVESTIGAT")</f>
        <v/>
      </c>
      <c r="V1851">
        <f>TEXTJOIN("; ",TRUE,[@flag_oras],[@flag_tva],[@flag_scadenta],[@flag_zi])</f>
        <v/>
      </c>
    </row>
    <row r="1852">
      <c r="A1852" t="inlineStr">
        <is>
          <t>F-2025-01851</t>
        </is>
      </c>
      <c r="B1852" s="12" t="n">
        <v>46142</v>
      </c>
      <c r="C1852" t="inlineStr">
        <is>
          <t>SC PROVITA MEDICAL SRL</t>
        </is>
      </c>
      <c r="D1852" t="inlineStr">
        <is>
          <t>Mureș</t>
        </is>
      </c>
      <c r="E1852" t="inlineStr">
        <is>
          <t>PRD-008</t>
        </is>
      </c>
      <c r="F1852" t="inlineStr">
        <is>
          <t>Switch gigabit 24p</t>
        </is>
      </c>
      <c r="G1852" t="inlineStr">
        <is>
          <t>Hardware IT</t>
        </is>
      </c>
      <c r="H1852" t="n">
        <v>25</v>
      </c>
      <c r="I1852" t="n">
        <v>449.42</v>
      </c>
      <c r="J1852" t="n">
        <v>11235.5</v>
      </c>
      <c r="K1852" s="13" t="n">
        <v>0.19</v>
      </c>
      <c r="L1852" t="n">
        <v>2134.74</v>
      </c>
      <c r="M1852" t="n">
        <v>13370.24</v>
      </c>
      <c r="N1852" t="inlineStr">
        <is>
          <t>RON</t>
        </is>
      </c>
      <c r="O1852" t="inlineStr">
        <is>
          <t>Târgu Mureș</t>
        </is>
      </c>
      <c r="P1852" s="12" t="n">
        <v>46157</v>
      </c>
      <c r="Q1852">
        <f>IF(COUNTIF(tbl_Localitati[oras_oficial],[@oras])=0,"ORAS NEALINIAT",IF(XLOOKUP([@oras],tbl_Localitati[oras_oficial],tbl_Localitati[judet],"?")&lt;&gt;[@judet],"JUDET NECORESPUNZATOR",""))</f>
        <v/>
      </c>
      <c r="R1852">
        <f>IF(XLOOKUP([@categorie],tbl_RegulriTVA[categorie],tbl_RegulriTVA[cota_legala],-1)&lt;&gt;[@cota_tva],"TVA GRESIT","")</f>
        <v/>
      </c>
      <c r="S1852">
        <f>IF([@data_scadentei]&lt;[@data_factura],"SCADENTA INAINTEA FACTURII","")</f>
        <v/>
      </c>
      <c r="T1852">
        <f>IF(NETWORKDAYS.INTL([@data_factura],[@data_factura],1,tbl_SarbatoriLegale[data])=0,"ZI NELUCRATOARE","")</f>
        <v/>
      </c>
      <c r="U1852">
        <f>IF([@motiv_anomalie]="","OK","DE INVESTIGAT")</f>
        <v/>
      </c>
      <c r="V1852">
        <f>TEXTJOIN("; ",TRUE,[@flag_oras],[@flag_tva],[@flag_scadenta],[@flag_zi])</f>
        <v/>
      </c>
    </row>
    <row r="1853">
      <c r="A1853" t="inlineStr">
        <is>
          <t>F-2025-01852</t>
        </is>
      </c>
      <c r="B1853" s="12" t="n">
        <v>46153</v>
      </c>
      <c r="C1853" t="inlineStr">
        <is>
          <t>SC AROMET TRADING SRL</t>
        </is>
      </c>
      <c r="D1853" t="inlineStr">
        <is>
          <t>Alba</t>
        </is>
      </c>
      <c r="E1853" t="inlineStr">
        <is>
          <t>PRD-004</t>
        </is>
      </c>
      <c r="F1853" t="inlineStr">
        <is>
          <t>Laptop business 15"</t>
        </is>
      </c>
      <c r="G1853" t="inlineStr">
        <is>
          <t>Hardware IT</t>
        </is>
      </c>
      <c r="H1853" t="n">
        <v>1</v>
      </c>
      <c r="I1853" t="n">
        <v>903.01</v>
      </c>
      <c r="J1853" t="n">
        <v>903.01</v>
      </c>
      <c r="K1853" s="13" t="n">
        <v>0.19</v>
      </c>
      <c r="L1853" t="n">
        <v>171.57</v>
      </c>
      <c r="M1853" t="n">
        <v>1074.58</v>
      </c>
      <c r="N1853" t="inlineStr">
        <is>
          <t>RON</t>
        </is>
      </c>
      <c r="O1853" t="inlineStr">
        <is>
          <t>Alba Iulia</t>
        </is>
      </c>
      <c r="P1853" s="12" t="n">
        <v>46183</v>
      </c>
      <c r="Q1853">
        <f>IF(COUNTIF(tbl_Localitati[oras_oficial],[@oras])=0,"ORAS NEALINIAT",IF(XLOOKUP([@oras],tbl_Localitati[oras_oficial],tbl_Localitati[judet],"?")&lt;&gt;[@judet],"JUDET NECORESPUNZATOR",""))</f>
        <v/>
      </c>
      <c r="R1853">
        <f>IF(XLOOKUP([@categorie],tbl_RegulriTVA[categorie],tbl_RegulriTVA[cota_legala],-1)&lt;&gt;[@cota_tva],"TVA GRESIT","")</f>
        <v/>
      </c>
      <c r="S1853">
        <f>IF([@data_scadentei]&lt;[@data_factura],"SCADENTA INAINTEA FACTURII","")</f>
        <v/>
      </c>
      <c r="T1853">
        <f>IF(NETWORKDAYS.INTL([@data_factura],[@data_factura],1,tbl_SarbatoriLegale[data])=0,"ZI NELUCRATOARE","")</f>
        <v/>
      </c>
      <c r="U1853">
        <f>IF([@motiv_anomalie]="","OK","DE INVESTIGAT")</f>
        <v/>
      </c>
      <c r="V1853">
        <f>TEXTJOIN("; ",TRUE,[@flag_oras],[@flag_tva],[@flag_scadenta],[@flag_zi])</f>
        <v/>
      </c>
    </row>
    <row r="1854">
      <c r="A1854" t="inlineStr">
        <is>
          <t>F-2025-01853</t>
        </is>
      </c>
      <c r="B1854" s="12" t="n">
        <v>46220</v>
      </c>
      <c r="C1854" t="inlineStr">
        <is>
          <t>SC AROMET TRADING SRL</t>
        </is>
      </c>
      <c r="D1854" t="inlineStr">
        <is>
          <t>Alba</t>
        </is>
      </c>
      <c r="E1854" t="inlineStr">
        <is>
          <t>PRD-003</t>
        </is>
      </c>
      <c r="F1854" t="inlineStr">
        <is>
          <t>Monitor 27" 4K</t>
        </is>
      </c>
      <c r="G1854" t="inlineStr">
        <is>
          <t>Hardware IT</t>
        </is>
      </c>
      <c r="H1854" t="n">
        <v>5</v>
      </c>
      <c r="I1854" t="n">
        <v>4015.58</v>
      </c>
      <c r="J1854" t="n">
        <v>20077.9</v>
      </c>
      <c r="K1854" s="13" t="n">
        <v>0.19</v>
      </c>
      <c r="L1854" t="n">
        <v>3814.8</v>
      </c>
      <c r="M1854" t="n">
        <v>23892.7</v>
      </c>
      <c r="N1854" t="inlineStr">
        <is>
          <t>RON</t>
        </is>
      </c>
      <c r="O1854" t="inlineStr">
        <is>
          <t>Alba Iulia</t>
        </is>
      </c>
      <c r="P1854" s="12" t="n">
        <v>46280</v>
      </c>
      <c r="Q1854">
        <f>IF(COUNTIF(tbl_Localitati[oras_oficial],[@oras])=0,"ORAS NEALINIAT",IF(XLOOKUP([@oras],tbl_Localitati[oras_oficial],tbl_Localitati[judet],"?")&lt;&gt;[@judet],"JUDET NECORESPUNZATOR",""))</f>
        <v/>
      </c>
      <c r="R1854">
        <f>IF(XLOOKUP([@categorie],tbl_RegulriTVA[categorie],tbl_RegulriTVA[cota_legala],-1)&lt;&gt;[@cota_tva],"TVA GRESIT","")</f>
        <v/>
      </c>
      <c r="S1854">
        <f>IF([@data_scadentei]&lt;[@data_factura],"SCADENTA INAINTEA FACTURII","")</f>
        <v/>
      </c>
      <c r="T1854">
        <f>IF(NETWORKDAYS.INTL([@data_factura],[@data_factura],1,tbl_SarbatoriLegale[data])=0,"ZI NELUCRATOARE","")</f>
        <v/>
      </c>
      <c r="U1854">
        <f>IF([@motiv_anomalie]="","OK","DE INVESTIGAT")</f>
        <v/>
      </c>
      <c r="V1854">
        <f>TEXTJOIN("; ",TRUE,[@flag_oras],[@flag_tva],[@flag_scadenta],[@flag_zi])</f>
        <v/>
      </c>
    </row>
    <row r="1855">
      <c r="A1855" t="inlineStr">
        <is>
          <t>F-2025-01854</t>
        </is>
      </c>
      <c r="B1855" s="12" t="n">
        <v>46240</v>
      </c>
      <c r="C1855" t="inlineStr">
        <is>
          <t>SC PROVITA MEDICAL SRL</t>
        </is>
      </c>
      <c r="D1855" t="inlineStr">
        <is>
          <t>Mureș</t>
        </is>
      </c>
      <c r="E1855" t="inlineStr">
        <is>
          <t>PRD-009</t>
        </is>
      </c>
      <c r="F1855" t="inlineStr">
        <is>
          <t>Statie de lucru desktop</t>
        </is>
      </c>
      <c r="G1855" t="inlineStr">
        <is>
          <t>Hardware IT</t>
        </is>
      </c>
      <c r="H1855" t="n">
        <v>100</v>
      </c>
      <c r="I1855" t="n">
        <v>27.61</v>
      </c>
      <c r="J1855" t="n">
        <v>2761</v>
      </c>
      <c r="K1855" s="13" t="n">
        <v>0.19</v>
      </c>
      <c r="L1855" t="n">
        <v>524.59</v>
      </c>
      <c r="M1855" t="n">
        <v>3285.59</v>
      </c>
      <c r="N1855" t="inlineStr">
        <is>
          <t>RON</t>
        </is>
      </c>
      <c r="O1855" t="inlineStr">
        <is>
          <t>Târgu Mureș</t>
        </is>
      </c>
      <c r="P1855" s="12" t="n">
        <v>46270</v>
      </c>
      <c r="Q1855">
        <f>IF(COUNTIF(tbl_Localitati[oras_oficial],[@oras])=0,"ORAS NEALINIAT",IF(XLOOKUP([@oras],tbl_Localitati[oras_oficial],tbl_Localitati[judet],"?")&lt;&gt;[@judet],"JUDET NECORESPUNZATOR",""))</f>
        <v/>
      </c>
      <c r="R1855">
        <f>IF(XLOOKUP([@categorie],tbl_RegulriTVA[categorie],tbl_RegulriTVA[cota_legala],-1)&lt;&gt;[@cota_tva],"TVA GRESIT","")</f>
        <v/>
      </c>
      <c r="S1855">
        <f>IF([@data_scadentei]&lt;[@data_factura],"SCADENTA INAINTEA FACTURII","")</f>
        <v/>
      </c>
      <c r="T1855">
        <f>IF(NETWORKDAYS.INTL([@data_factura],[@data_factura],1,tbl_SarbatoriLegale[data])=0,"ZI NELUCRATOARE","")</f>
        <v/>
      </c>
      <c r="U1855">
        <f>IF([@motiv_anomalie]="","OK","DE INVESTIGAT")</f>
        <v/>
      </c>
      <c r="V1855">
        <f>TEXTJOIN("; ",TRUE,[@flag_oras],[@flag_tva],[@flag_scadenta],[@flag_zi])</f>
        <v/>
      </c>
    </row>
    <row r="1856">
      <c r="A1856" t="inlineStr">
        <is>
          <t>F-2025-01855</t>
        </is>
      </c>
      <c r="B1856" s="12" t="n">
        <v>46100</v>
      </c>
      <c r="C1856" t="inlineStr">
        <is>
          <t>SC AROMET TRADING SRL</t>
        </is>
      </c>
      <c r="D1856" t="inlineStr">
        <is>
          <t>Alba</t>
        </is>
      </c>
      <c r="E1856" t="inlineStr">
        <is>
          <t>PRD-006</t>
        </is>
      </c>
      <c r="F1856" t="inlineStr">
        <is>
          <t>Licenta ERP contabilitate</t>
        </is>
      </c>
      <c r="G1856" t="inlineStr">
        <is>
          <t>Licențe software</t>
        </is>
      </c>
      <c r="H1856" t="n">
        <v>25</v>
      </c>
      <c r="I1856" t="n">
        <v>750.92</v>
      </c>
      <c r="J1856" t="n">
        <v>18773</v>
      </c>
      <c r="K1856" s="13" t="n">
        <v>0.19</v>
      </c>
      <c r="L1856" t="n">
        <v>3566.87</v>
      </c>
      <c r="M1856" t="n">
        <v>22339.87</v>
      </c>
      <c r="N1856" t="inlineStr">
        <is>
          <t>RON</t>
        </is>
      </c>
      <c r="O1856" t="inlineStr">
        <is>
          <t>Alba Iulia</t>
        </is>
      </c>
      <c r="P1856" s="12" t="n">
        <v>46130</v>
      </c>
      <c r="Q1856">
        <f>IF(COUNTIF(tbl_Localitati[oras_oficial],[@oras])=0,"ORAS NEALINIAT",IF(XLOOKUP([@oras],tbl_Localitati[oras_oficial],tbl_Localitati[judet],"?")&lt;&gt;[@judet],"JUDET NECORESPUNZATOR",""))</f>
        <v/>
      </c>
      <c r="R1856">
        <f>IF(XLOOKUP([@categorie],tbl_RegulriTVA[categorie],tbl_RegulriTVA[cota_legala],-1)&lt;&gt;[@cota_tva],"TVA GRESIT","")</f>
        <v/>
      </c>
      <c r="S1856">
        <f>IF([@data_scadentei]&lt;[@data_factura],"SCADENTA INAINTEA FACTURII","")</f>
        <v/>
      </c>
      <c r="T1856">
        <f>IF(NETWORKDAYS.INTL([@data_factura],[@data_factura],1,tbl_SarbatoriLegale[data])=0,"ZI NELUCRATOARE","")</f>
        <v/>
      </c>
      <c r="U1856">
        <f>IF([@motiv_anomalie]="","OK","DE INVESTIGAT")</f>
        <v/>
      </c>
      <c r="V1856">
        <f>TEXTJOIN("; ",TRUE,[@flag_oras],[@flag_tva],[@flag_scadenta],[@flag_zi])</f>
        <v/>
      </c>
    </row>
    <row r="1857">
      <c r="A1857" t="inlineStr">
        <is>
          <t>F-2025-01856</t>
        </is>
      </c>
      <c r="B1857" s="12" t="n">
        <v>46225</v>
      </c>
      <c r="C1857" t="inlineStr">
        <is>
          <t>SC PROVITA MEDICAL SRL</t>
        </is>
      </c>
      <c r="D1857" t="inlineStr">
        <is>
          <t>Mureș</t>
        </is>
      </c>
      <c r="E1857" t="inlineStr">
        <is>
          <t>PRD-005</t>
        </is>
      </c>
      <c r="F1857" t="inlineStr">
        <is>
          <t>Abonament suita cloud</t>
        </is>
      </c>
      <c r="G1857" t="inlineStr">
        <is>
          <t>Licențe software</t>
        </is>
      </c>
      <c r="H1857" t="n">
        <v>10</v>
      </c>
      <c r="I1857" t="n">
        <v>244.42</v>
      </c>
      <c r="J1857" t="n">
        <v>2444.2</v>
      </c>
      <c r="K1857" s="13" t="n">
        <v>0.19</v>
      </c>
      <c r="L1857" t="n">
        <v>464.4</v>
      </c>
      <c r="M1857" t="n">
        <v>2908.6</v>
      </c>
      <c r="N1857" t="inlineStr">
        <is>
          <t>RON</t>
        </is>
      </c>
      <c r="O1857" t="inlineStr">
        <is>
          <t>Târgu Mureș</t>
        </is>
      </c>
      <c r="P1857" s="12" t="n">
        <v>46255</v>
      </c>
      <c r="Q1857">
        <f>IF(COUNTIF(tbl_Localitati[oras_oficial],[@oras])=0,"ORAS NEALINIAT",IF(XLOOKUP([@oras],tbl_Localitati[oras_oficial],tbl_Localitati[judet],"?")&lt;&gt;[@judet],"JUDET NECORESPUNZATOR",""))</f>
        <v/>
      </c>
      <c r="R1857">
        <f>IF(XLOOKUP([@categorie],tbl_RegulriTVA[categorie],tbl_RegulriTVA[cota_legala],-1)&lt;&gt;[@cota_tva],"TVA GRESIT","")</f>
        <v/>
      </c>
      <c r="S1857">
        <f>IF([@data_scadentei]&lt;[@data_factura],"SCADENTA INAINTEA FACTURII","")</f>
        <v/>
      </c>
      <c r="T1857">
        <f>IF(NETWORKDAYS.INTL([@data_factura],[@data_factura],1,tbl_SarbatoriLegale[data])=0,"ZI NELUCRATOARE","")</f>
        <v/>
      </c>
      <c r="U1857">
        <f>IF([@motiv_anomalie]="","OK","DE INVESTIGAT")</f>
        <v/>
      </c>
      <c r="V1857">
        <f>TEXTJOIN("; ",TRUE,[@flag_oras],[@flag_tva],[@flag_scadenta],[@flag_zi])</f>
        <v/>
      </c>
    </row>
    <row r="1858">
      <c r="A1858" t="inlineStr">
        <is>
          <t>F-2025-01857</t>
        </is>
      </c>
      <c r="B1858" s="12" t="n">
        <v>46071</v>
      </c>
      <c r="C1858" t="inlineStr">
        <is>
          <t>SC AROMET TRADING SRL</t>
        </is>
      </c>
      <c r="D1858" t="inlineStr">
        <is>
          <t>Alba</t>
        </is>
      </c>
      <c r="E1858" t="inlineStr">
        <is>
          <t>PRD-007</t>
        </is>
      </c>
      <c r="F1858" t="inlineStr">
        <is>
          <t>Apa plata bax</t>
        </is>
      </c>
      <c r="G1858" t="inlineStr">
        <is>
          <t>Alimente</t>
        </is>
      </c>
      <c r="H1858" t="n">
        <v>5</v>
      </c>
      <c r="I1858" t="n">
        <v>178.85</v>
      </c>
      <c r="J1858" t="n">
        <v>894.25</v>
      </c>
      <c r="K1858" s="13" t="n">
        <v>0.09</v>
      </c>
      <c r="L1858" t="n">
        <v>80.48</v>
      </c>
      <c r="M1858" t="n">
        <v>974.73</v>
      </c>
      <c r="N1858" t="inlineStr">
        <is>
          <t>RON</t>
        </is>
      </c>
      <c r="O1858" t="inlineStr">
        <is>
          <t>Alba Iulia</t>
        </is>
      </c>
      <c r="P1858" s="12" t="n">
        <v>46101</v>
      </c>
      <c r="Q1858">
        <f>IF(COUNTIF(tbl_Localitati[oras_oficial],[@oras])=0,"ORAS NEALINIAT",IF(XLOOKUP([@oras],tbl_Localitati[oras_oficial],tbl_Localitati[judet],"?")&lt;&gt;[@judet],"JUDET NECORESPUNZATOR",""))</f>
        <v/>
      </c>
      <c r="R1858">
        <f>IF(XLOOKUP([@categorie],tbl_RegulriTVA[categorie],tbl_RegulriTVA[cota_legala],-1)&lt;&gt;[@cota_tva],"TVA GRESIT","")</f>
        <v/>
      </c>
      <c r="S1858">
        <f>IF([@data_scadentei]&lt;[@data_factura],"SCADENTA INAINTEA FACTURII","")</f>
        <v/>
      </c>
      <c r="T1858">
        <f>IF(NETWORKDAYS.INTL([@data_factura],[@data_factura],1,tbl_SarbatoriLegale[data])=0,"ZI NELUCRATOARE","")</f>
        <v/>
      </c>
      <c r="U1858">
        <f>IF([@motiv_anomalie]="","OK","DE INVESTIGAT")</f>
        <v/>
      </c>
      <c r="V1858">
        <f>TEXTJOIN("; ",TRUE,[@flag_oras],[@flag_tva],[@flag_scadenta],[@flag_zi])</f>
        <v/>
      </c>
    </row>
    <row r="1859">
      <c r="A1859" t="inlineStr">
        <is>
          <t>F-2025-01858</t>
        </is>
      </c>
      <c r="B1859" s="12" t="n">
        <v>46129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Laptop business 15"</t>
        </is>
      </c>
      <c r="G1859" t="inlineStr">
        <is>
          <t>Hardware IT</t>
        </is>
      </c>
      <c r="H1859" t="n">
        <v>5</v>
      </c>
      <c r="I1859" t="n">
        <v>182.7</v>
      </c>
      <c r="J1859" t="n">
        <v>913.5</v>
      </c>
      <c r="K1859" s="13" t="n">
        <v>0.19</v>
      </c>
      <c r="L1859" t="n">
        <v>173.56</v>
      </c>
      <c r="M1859" t="n">
        <v>1087.06</v>
      </c>
      <c r="N1859" t="inlineStr">
        <is>
          <t>RON</t>
        </is>
      </c>
      <c r="O1859" t="inlineStr">
        <is>
          <t>Sibiu</t>
        </is>
      </c>
      <c r="P1859" s="12" t="n">
        <v>46144</v>
      </c>
      <c r="Q1859">
        <f>IF(COUNTIF(tbl_Localitati[oras_oficial],[@oras])=0,"ORAS NEALINIAT",IF(XLOOKUP([@oras],tbl_Localitati[oras_oficial],tbl_Localitati[judet],"?")&lt;&gt;[@judet],"JUDET NECORESPUNZATOR",""))</f>
        <v/>
      </c>
      <c r="R1859">
        <f>IF(XLOOKUP([@categorie],tbl_RegulriTVA[categorie],tbl_RegulriTVA[cota_legala],-1)&lt;&gt;[@cota_tva],"TVA GRESIT","")</f>
        <v/>
      </c>
      <c r="S1859">
        <f>IF([@data_scadentei]&lt;[@data_factura],"SCADENTA INAINTEA FACTURII","")</f>
        <v/>
      </c>
      <c r="T1859">
        <f>IF(NETWORKDAYS.INTL([@data_factura],[@data_factura],1,tbl_SarbatoriLegale[data])=0,"ZI NELUCRATOARE","")</f>
        <v/>
      </c>
      <c r="U1859">
        <f>IF([@motiv_anomalie]="","OK","DE INVESTIGAT")</f>
        <v/>
      </c>
      <c r="V1859">
        <f>TEXTJOIN("; ",TRUE,[@flag_oras],[@flag_tva],[@flag_scadenta],[@flag_zi])</f>
        <v/>
      </c>
    </row>
    <row r="1860">
      <c r="A1860" t="inlineStr">
        <is>
          <t>F-2025-01859</t>
        </is>
      </c>
      <c r="B1860" s="12" t="n">
        <v>46234</v>
      </c>
      <c r="C1860" t="inlineStr">
        <is>
          <t>SC AROMET TRADING SRL</t>
        </is>
      </c>
      <c r="D1860" t="inlineStr">
        <is>
          <t>Alba</t>
        </is>
      </c>
      <c r="E1860" t="inlineStr">
        <is>
          <t>PRD-005</t>
        </is>
      </c>
      <c r="F1860" t="inlineStr">
        <is>
          <t>Cafea boabe 1kg</t>
        </is>
      </c>
      <c r="G1860" t="inlineStr">
        <is>
          <t>Alimente</t>
        </is>
      </c>
      <c r="H1860" t="n">
        <v>1</v>
      </c>
      <c r="I1860" t="n">
        <v>239.13</v>
      </c>
      <c r="J1860" t="n">
        <v>239.13</v>
      </c>
      <c r="K1860" s="13" t="n">
        <v>0.09</v>
      </c>
      <c r="L1860" t="n">
        <v>21.52</v>
      </c>
      <c r="M1860" t="n">
        <v>260.65</v>
      </c>
      <c r="N1860" t="inlineStr">
        <is>
          <t>RON</t>
        </is>
      </c>
      <c r="O1860" t="inlineStr">
        <is>
          <t>Alba Iulia</t>
        </is>
      </c>
      <c r="P1860" s="12" t="n">
        <v>46279</v>
      </c>
      <c r="Q1860">
        <f>IF(COUNTIF(tbl_Localitati[oras_oficial],[@oras])=0,"ORAS NEALINIAT",IF(XLOOKUP([@oras],tbl_Localitati[oras_oficial],tbl_Localitati[judet],"?")&lt;&gt;[@judet],"JUDET NECORESPUNZATOR",""))</f>
        <v/>
      </c>
      <c r="R1860">
        <f>IF(XLOOKUP([@categorie],tbl_RegulriTVA[categorie],tbl_RegulriTVA[cota_legala],-1)&lt;&gt;[@cota_tva],"TVA GRESIT","")</f>
        <v/>
      </c>
      <c r="S1860">
        <f>IF([@data_scadentei]&lt;[@data_factura],"SCADENTA INAINTEA FACTURII","")</f>
        <v/>
      </c>
      <c r="T1860">
        <f>IF(NETWORKDAYS.INTL([@data_factura],[@data_factura],1,tbl_SarbatoriLegale[data])=0,"ZI NELUCRATOARE","")</f>
        <v/>
      </c>
      <c r="U1860">
        <f>IF([@motiv_anomalie]="","OK","DE INVESTIGAT")</f>
        <v/>
      </c>
      <c r="V1860">
        <f>TEXTJOIN("; ",TRUE,[@flag_oras],[@flag_tva],[@flag_scadenta],[@flag_zi])</f>
        <v/>
      </c>
    </row>
    <row r="1861">
      <c r="A1861" t="inlineStr">
        <is>
          <t>F-2025-01860</t>
        </is>
      </c>
      <c r="B1861" s="12" t="n">
        <v>46227</v>
      </c>
      <c r="C1861" t="inlineStr">
        <is>
          <t>SC OMEGA SOFT SRL</t>
        </is>
      </c>
      <c r="D1861" t="inlineStr">
        <is>
          <t>Dolj</t>
        </is>
      </c>
      <c r="E1861" t="inlineStr">
        <is>
          <t>PRD-002</t>
        </is>
      </c>
      <c r="F1861" t="inlineStr">
        <is>
          <t>Switch gigabit 24p</t>
        </is>
      </c>
      <c r="G1861" t="inlineStr">
        <is>
          <t>Hardware IT</t>
        </is>
      </c>
      <c r="H1861" t="n">
        <v>2</v>
      </c>
      <c r="I1861" t="n">
        <v>1133.6</v>
      </c>
      <c r="J1861" t="n">
        <v>2267.2</v>
      </c>
      <c r="K1861" s="13" t="n">
        <v>0.19</v>
      </c>
      <c r="L1861" t="n">
        <v>430.77</v>
      </c>
      <c r="M1861" t="n">
        <v>2697.97</v>
      </c>
      <c r="N1861" t="inlineStr">
        <is>
          <t>RON</t>
        </is>
      </c>
      <c r="O1861" t="inlineStr">
        <is>
          <t>Craiova</t>
        </is>
      </c>
      <c r="P1861" s="12" t="n">
        <v>46257</v>
      </c>
      <c r="Q1861">
        <f>IF(COUNTIF(tbl_Localitati[oras_oficial],[@oras])=0,"ORAS NEALINIAT",IF(XLOOKUP([@oras],tbl_Localitati[oras_oficial],tbl_Localitati[judet],"?")&lt;&gt;[@judet],"JUDET NECORESPUNZATOR",""))</f>
        <v/>
      </c>
      <c r="R1861">
        <f>IF(XLOOKUP([@categorie],tbl_RegulriTVA[categorie],tbl_RegulriTVA[cota_legala],-1)&lt;&gt;[@cota_tva],"TVA GRESIT","")</f>
        <v/>
      </c>
      <c r="S1861">
        <f>IF([@data_scadentei]&lt;[@data_factura],"SCADENTA INAINTEA FACTURII","")</f>
        <v/>
      </c>
      <c r="T1861">
        <f>IF(NETWORKDAYS.INTL([@data_factura],[@data_factura],1,tbl_SarbatoriLegale[data])=0,"ZI NELUCRATOARE","")</f>
        <v/>
      </c>
      <c r="U1861">
        <f>IF([@motiv_anomalie]="","OK","DE INVESTIGAT")</f>
        <v/>
      </c>
      <c r="V1861">
        <f>TEXTJOIN("; ",TRUE,[@flag_oras],[@flag_tva],[@flag_scadenta],[@flag_zi])</f>
        <v/>
      </c>
    </row>
    <row r="1862">
      <c r="A1862" t="inlineStr">
        <is>
          <t>F-2025-01861</t>
        </is>
      </c>
      <c r="B1862" s="12" t="n">
        <v>46128</v>
      </c>
      <c r="C1862" t="inlineStr">
        <is>
          <t>SC INTEGROMED SA</t>
        </is>
      </c>
      <c r="D1862" t="inlineStr">
        <is>
          <t>Cluj</t>
        </is>
      </c>
      <c r="E1862" t="inlineStr">
        <is>
          <t>PRD-006</t>
        </is>
      </c>
      <c r="F1862" t="inlineStr">
        <is>
          <t>Licenta ERP contabilitate</t>
        </is>
      </c>
      <c r="G1862" t="inlineStr">
        <is>
          <t>Licențe software</t>
        </is>
      </c>
      <c r="H1862" t="n">
        <v>1</v>
      </c>
      <c r="I1862" t="n">
        <v>739.91</v>
      </c>
      <c r="J1862" t="n">
        <v>739.91</v>
      </c>
      <c r="K1862" s="13" t="n">
        <v>0.19</v>
      </c>
      <c r="L1862" t="n">
        <v>140.58</v>
      </c>
      <c r="M1862" t="n">
        <v>880.49</v>
      </c>
      <c r="N1862" t="inlineStr">
        <is>
          <t>EUR</t>
        </is>
      </c>
      <c r="O1862" t="inlineStr">
        <is>
          <t>Cluj-Napoca</t>
        </is>
      </c>
      <c r="P1862" s="12" t="n">
        <v>46158</v>
      </c>
      <c r="Q1862">
        <f>IF(COUNTIF(tbl_Localitati[oras_oficial],[@oras])=0,"ORAS NEALINIAT",IF(XLOOKUP([@oras],tbl_Localitati[oras_oficial],tbl_Localitati[judet],"?")&lt;&gt;[@judet],"JUDET NECORESPUNZATOR",""))</f>
        <v/>
      </c>
      <c r="R1862">
        <f>IF(XLOOKUP([@categorie],tbl_RegulriTVA[categorie],tbl_RegulriTVA[cota_legala],-1)&lt;&gt;[@cota_tva],"TVA GRESIT","")</f>
        <v/>
      </c>
      <c r="S1862">
        <f>IF([@data_scadentei]&lt;[@data_factura],"SCADENTA INAINTEA FACTURII","")</f>
        <v/>
      </c>
      <c r="T1862">
        <f>IF(NETWORKDAYS.INTL([@data_factura],[@data_factura],1,tbl_SarbatoriLegale[data])=0,"ZI NELUCRATOARE","")</f>
        <v/>
      </c>
      <c r="U1862">
        <f>IF([@motiv_anomalie]="","OK","DE INVESTIGAT")</f>
        <v/>
      </c>
      <c r="V1862">
        <f>TEXTJOIN("; ",TRUE,[@flag_oras],[@flag_tva],[@flag_scadenta],[@flag_zi])</f>
        <v/>
      </c>
    </row>
    <row r="1863">
      <c r="A1863" t="inlineStr">
        <is>
          <t>F-2025-01862</t>
        </is>
      </c>
      <c r="B1863" s="12" t="n">
        <v>46115</v>
      </c>
      <c r="C1863" t="inlineStr">
        <is>
          <t>SC RAPID LOGISTIC SA</t>
        </is>
      </c>
      <c r="D1863" t="inlineStr">
        <is>
          <t>Prahova</t>
        </is>
      </c>
      <c r="E1863" t="inlineStr">
        <is>
          <t>PRD-005</t>
        </is>
      </c>
      <c r="F1863" t="inlineStr">
        <is>
          <t>Consultanta implementare IT</t>
        </is>
      </c>
      <c r="G1863" t="inlineStr">
        <is>
          <t>Servicii consultanță</t>
        </is>
      </c>
      <c r="H1863" t="n">
        <v>5</v>
      </c>
      <c r="I1863" t="n">
        <v>259.89</v>
      </c>
      <c r="J1863" t="n">
        <v>1299.45</v>
      </c>
      <c r="K1863" s="13" t="n">
        <v>0.19</v>
      </c>
      <c r="L1863" t="n">
        <v>246.9</v>
      </c>
      <c r="M1863" t="n">
        <v>1546.35</v>
      </c>
      <c r="N1863" t="inlineStr">
        <is>
          <t>EUR</t>
        </is>
      </c>
      <c r="O1863" t="inlineStr">
        <is>
          <t>Ploiești</t>
        </is>
      </c>
      <c r="P1863" s="12" t="n">
        <v>46145</v>
      </c>
      <c r="Q1863">
        <f>IF(COUNTIF(tbl_Localitati[oras_oficial],[@oras])=0,"ORAS NEALINIAT",IF(XLOOKUP([@oras],tbl_Localitati[oras_oficial],tbl_Localitati[judet],"?")&lt;&gt;[@judet],"JUDET NECORESPUNZATOR",""))</f>
        <v/>
      </c>
      <c r="R1863">
        <f>IF(XLOOKUP([@categorie],tbl_RegulriTVA[categorie],tbl_RegulriTVA[cota_legala],-1)&lt;&gt;[@cota_tva],"TVA GRESIT","")</f>
        <v/>
      </c>
      <c r="S1863">
        <f>IF([@data_scadentei]&lt;[@data_factura],"SCADENTA INAINTEA FACTURII","")</f>
        <v/>
      </c>
      <c r="T1863">
        <f>IF(NETWORKDAYS.INTL([@data_factura],[@data_factura],1,tbl_SarbatoriLegale[data])=0,"ZI NELUCRATOARE","")</f>
        <v/>
      </c>
      <c r="U1863">
        <f>IF([@motiv_anomalie]="","OK","DE INVESTIGAT")</f>
        <v/>
      </c>
      <c r="V1863">
        <f>TEXTJOIN("; ",TRUE,[@flag_oras],[@flag_tva],[@flag_scadenta],[@flag_zi])</f>
        <v/>
      </c>
    </row>
    <row r="1864">
      <c r="A1864" t="inlineStr">
        <is>
          <t>F-2025-01863</t>
        </is>
      </c>
      <c r="B1864" s="12" t="n">
        <v>46253</v>
      </c>
      <c r="C1864" t="inlineStr">
        <is>
          <t>SC AROMET TRADING SRL</t>
        </is>
      </c>
      <c r="D1864" t="inlineStr">
        <is>
          <t>Alba</t>
        </is>
      </c>
      <c r="E1864" t="inlineStr">
        <is>
          <t>PRD-007</t>
        </is>
      </c>
      <c r="F1864" t="inlineStr">
        <is>
          <t>Abonament suita cloud</t>
        </is>
      </c>
      <c r="G1864" t="inlineStr">
        <is>
          <t>Licențe software</t>
        </is>
      </c>
      <c r="H1864" t="n">
        <v>1</v>
      </c>
      <c r="I1864" t="n">
        <v>185.91</v>
      </c>
      <c r="J1864" t="n">
        <v>185.91</v>
      </c>
      <c r="K1864" s="13" t="n">
        <v>0.19</v>
      </c>
      <c r="L1864" t="n">
        <v>35.32</v>
      </c>
      <c r="M1864" t="n">
        <v>221.23</v>
      </c>
      <c r="N1864" t="inlineStr">
        <is>
          <t>RON</t>
        </is>
      </c>
      <c r="O1864" t="inlineStr">
        <is>
          <t>Alba Iulia</t>
        </is>
      </c>
      <c r="P1864" s="12" t="n">
        <v>46283</v>
      </c>
      <c r="Q1864">
        <f>IF(COUNTIF(tbl_Localitati[oras_oficial],[@oras])=0,"ORAS NEALINIAT",IF(XLOOKUP([@oras],tbl_Localitati[oras_oficial],tbl_Localitati[judet],"?")&lt;&gt;[@judet],"JUDET NECORESPUNZATOR",""))</f>
        <v/>
      </c>
      <c r="R1864">
        <f>IF(XLOOKUP([@categorie],tbl_RegulriTVA[categorie],tbl_RegulriTVA[cota_legala],-1)&lt;&gt;[@cota_tva],"TVA GRESIT","")</f>
        <v/>
      </c>
      <c r="S1864">
        <f>IF([@data_scadentei]&lt;[@data_factura],"SCADENTA INAINTEA FACTURII","")</f>
        <v/>
      </c>
      <c r="T1864">
        <f>IF(NETWORKDAYS.INTL([@data_factura],[@data_factura],1,tbl_SarbatoriLegale[data])=0,"ZI NELUCRATOARE","")</f>
        <v/>
      </c>
      <c r="U1864">
        <f>IF([@motiv_anomalie]="","OK","DE INVESTIGAT")</f>
        <v/>
      </c>
      <c r="V1864">
        <f>TEXTJOIN("; ",TRUE,[@flag_oras],[@flag_tva],[@flag_scadenta],[@flag_zi])</f>
        <v/>
      </c>
    </row>
    <row r="1865">
      <c r="A1865" t="inlineStr">
        <is>
          <t>F-2025-01864</t>
        </is>
      </c>
      <c r="B1865" s="12" t="n">
        <v>46076</v>
      </c>
      <c r="C1865" t="inlineStr">
        <is>
          <t>SC DACTECH SOLUTIONS SRL</t>
        </is>
      </c>
      <c r="D1865" t="inlineStr">
        <is>
          <t>Argeș</t>
        </is>
      </c>
      <c r="E1865" t="inlineStr">
        <is>
          <t>PRD-004</t>
        </is>
      </c>
      <c r="F1865" t="inlineStr">
        <is>
          <t>Server rack 1U</t>
        </is>
      </c>
      <c r="G1865" t="inlineStr">
        <is>
          <t>Hardware IT</t>
        </is>
      </c>
      <c r="H1865" t="n">
        <v>5</v>
      </c>
      <c r="I1865" t="n">
        <v>924.48</v>
      </c>
      <c r="J1865" t="n">
        <v>4622.4</v>
      </c>
      <c r="K1865" s="13" t="n">
        <v>0.19</v>
      </c>
      <c r="L1865" t="n">
        <v>878.26</v>
      </c>
      <c r="M1865" t="n">
        <v>5500.66</v>
      </c>
      <c r="N1865" t="inlineStr">
        <is>
          <t>RON</t>
        </is>
      </c>
      <c r="O1865" t="inlineStr">
        <is>
          <t>Pitești</t>
        </is>
      </c>
      <c r="P1865" s="12" t="n">
        <v>46091</v>
      </c>
      <c r="Q1865">
        <f>IF(COUNTIF(tbl_Localitati[oras_oficial],[@oras])=0,"ORAS NEALINIAT",IF(XLOOKUP([@oras],tbl_Localitati[oras_oficial],tbl_Localitati[judet],"?")&lt;&gt;[@judet],"JUDET NECORESPUNZATOR",""))</f>
        <v/>
      </c>
      <c r="R1865">
        <f>IF(XLOOKUP([@categorie],tbl_RegulriTVA[categorie],tbl_RegulriTVA[cota_legala],-1)&lt;&gt;[@cota_tva],"TVA GRESIT","")</f>
        <v/>
      </c>
      <c r="S1865">
        <f>IF([@data_scadentei]&lt;[@data_factura],"SCADENTA INAINTEA FACTURII","")</f>
        <v/>
      </c>
      <c r="T1865">
        <f>IF(NETWORKDAYS.INTL([@data_factura],[@data_factura],1,tbl_SarbatoriLegale[data])=0,"ZI NELUCRATOARE","")</f>
        <v/>
      </c>
      <c r="U1865">
        <f>IF([@motiv_anomalie]="","OK","DE INVESTIGAT")</f>
        <v/>
      </c>
      <c r="V1865">
        <f>TEXTJOIN("; ",TRUE,[@flag_oras],[@flag_tva],[@flag_scadenta],[@flag_zi])</f>
        <v/>
      </c>
    </row>
    <row r="1866">
      <c r="A1866" t="inlineStr">
        <is>
          <t>F-2025-01865</t>
        </is>
      </c>
      <c r="B1866" s="12" t="n">
        <v>46045</v>
      </c>
      <c r="C1866" t="inlineStr">
        <is>
          <t>SC NORDIS DISTRIBUTIE SRL</t>
        </is>
      </c>
      <c r="D1866" t="inlineStr">
        <is>
          <t>Constanța</t>
        </is>
      </c>
      <c r="E1866" t="inlineStr">
        <is>
          <t>PRD-004</t>
        </is>
      </c>
      <c r="F1866" t="inlineStr">
        <is>
          <t>Ceai cutie 100buc</t>
        </is>
      </c>
      <c r="G1866" t="inlineStr">
        <is>
          <t>Alimente</t>
        </is>
      </c>
      <c r="H1866" t="n">
        <v>3</v>
      </c>
      <c r="I1866" t="n">
        <v>882</v>
      </c>
      <c r="J1866" t="n">
        <v>2646</v>
      </c>
      <c r="K1866" s="13" t="n">
        <v>0.09</v>
      </c>
      <c r="L1866" t="n">
        <v>238.14</v>
      </c>
      <c r="M1866" t="n">
        <v>2884.14</v>
      </c>
      <c r="N1866" t="inlineStr">
        <is>
          <t>RON</t>
        </is>
      </c>
      <c r="O1866" t="inlineStr">
        <is>
          <t>Mangalia</t>
        </is>
      </c>
      <c r="P1866" s="12" t="n">
        <v>46060</v>
      </c>
      <c r="Q1866">
        <f>IF(COUNTIF(tbl_Localitati[oras_oficial],[@oras])=0,"ORAS NEALINIAT",IF(XLOOKUP([@oras],tbl_Localitati[oras_oficial],tbl_Localitati[judet],"?")&lt;&gt;[@judet],"JUDET NECORESPUNZATOR",""))</f>
        <v/>
      </c>
      <c r="R1866">
        <f>IF(XLOOKUP([@categorie],tbl_RegulriTVA[categorie],tbl_RegulriTVA[cota_legala],-1)&lt;&gt;[@cota_tva],"TVA GRESIT","")</f>
        <v/>
      </c>
      <c r="S1866">
        <f>IF([@data_scadentei]&lt;[@data_factura],"SCADENTA INAINTEA FACTURII","")</f>
        <v/>
      </c>
      <c r="T1866">
        <f>IF(NETWORKDAYS.INTL([@data_factura],[@data_factura],1,tbl_SarbatoriLegale[data])=0,"ZI NELUCRATOARE","")</f>
        <v/>
      </c>
      <c r="U1866">
        <f>IF([@motiv_anomalie]="","OK","DE INVESTIGAT")</f>
        <v/>
      </c>
      <c r="V1866">
        <f>TEXTJOIN("; ",TRUE,[@flag_oras],[@flag_tva],[@flag_scadenta],[@flag_zi])</f>
        <v/>
      </c>
    </row>
    <row r="1867">
      <c r="A1867" t="inlineStr">
        <is>
          <t>F-2025-01866</t>
        </is>
      </c>
      <c r="B1867" s="12" t="n">
        <v>46059</v>
      </c>
      <c r="C1867" t="inlineStr">
        <is>
          <t>SC DACTECH SOLUTIONS SRL</t>
        </is>
      </c>
      <c r="D1867" t="inlineStr">
        <is>
          <t>Argeș</t>
        </is>
      </c>
      <c r="E1867" t="inlineStr">
        <is>
          <t>PRD-007</t>
        </is>
      </c>
      <c r="F1867" t="inlineStr">
        <is>
          <t>Server rack 1U</t>
        </is>
      </c>
      <c r="G1867" t="inlineStr">
        <is>
          <t>Hardware IT</t>
        </is>
      </c>
      <c r="H1867" t="n">
        <v>5</v>
      </c>
      <c r="I1867" t="n">
        <v>174.03</v>
      </c>
      <c r="J1867" t="n">
        <v>870.15</v>
      </c>
      <c r="K1867" s="13" t="n">
        <v>0.19</v>
      </c>
      <c r="L1867" t="n">
        <v>165.33</v>
      </c>
      <c r="M1867" t="n">
        <v>1035.48</v>
      </c>
      <c r="N1867" t="inlineStr">
        <is>
          <t>RON</t>
        </is>
      </c>
      <c r="O1867" t="inlineStr">
        <is>
          <t>Pitești</t>
        </is>
      </c>
      <c r="P1867" s="12" t="n">
        <v>46089</v>
      </c>
      <c r="Q1867">
        <f>IF(COUNTIF(tbl_Localitati[oras_oficial],[@oras])=0,"ORAS NEALINIAT",IF(XLOOKUP([@oras],tbl_Localitati[oras_oficial],tbl_Localitati[judet],"?")&lt;&gt;[@judet],"JUDET NECORESPUNZATOR",""))</f>
        <v/>
      </c>
      <c r="R1867">
        <f>IF(XLOOKUP([@categorie],tbl_RegulriTVA[categorie],tbl_RegulriTVA[cota_legala],-1)&lt;&gt;[@cota_tva],"TVA GRESIT","")</f>
        <v/>
      </c>
      <c r="S1867">
        <f>IF([@data_scadentei]&lt;[@data_factura],"SCADENTA INAINTEA FACTURII","")</f>
        <v/>
      </c>
      <c r="T1867">
        <f>IF(NETWORKDAYS.INTL([@data_factura],[@data_factura],1,tbl_SarbatoriLegale[data])=0,"ZI NELUCRATOARE","")</f>
        <v/>
      </c>
      <c r="U1867">
        <f>IF([@motiv_anomalie]="","OK","DE INVESTIGAT")</f>
        <v/>
      </c>
      <c r="V1867">
        <f>TEXTJOIN("; ",TRUE,[@flag_oras],[@flag_tva],[@flag_scadenta],[@flag_zi])</f>
        <v/>
      </c>
    </row>
    <row r="1868">
      <c r="A1868" t="inlineStr">
        <is>
          <t>F-2025-01867</t>
        </is>
      </c>
      <c r="B1868" s="12" t="n">
        <v>46287</v>
      </c>
      <c r="C1868" t="inlineStr">
        <is>
          <t>SC PROVITA MEDICAL SRL</t>
        </is>
      </c>
      <c r="D1868" t="inlineStr">
        <is>
          <t>Mureș</t>
        </is>
      </c>
      <c r="E1868" t="inlineStr">
        <is>
          <t>PRD-010</t>
        </is>
      </c>
      <c r="F1868" t="inlineStr">
        <is>
          <t>Switch gigabit 24p</t>
        </is>
      </c>
      <c r="G1868" t="inlineStr">
        <is>
          <t>Hardware IT</t>
        </is>
      </c>
      <c r="H1868" t="n">
        <v>5</v>
      </c>
      <c r="I1868" t="n">
        <v>344.41</v>
      </c>
      <c r="J1868" t="n">
        <v>1722.05</v>
      </c>
      <c r="K1868" s="13" t="n">
        <v>0.19</v>
      </c>
      <c r="L1868" t="n">
        <v>327.19</v>
      </c>
      <c r="M1868" t="n">
        <v>2049.24</v>
      </c>
      <c r="N1868" t="inlineStr">
        <is>
          <t>RON</t>
        </is>
      </c>
      <c r="O1868" t="inlineStr">
        <is>
          <t>Târgu Mureș</t>
        </is>
      </c>
      <c r="P1868" s="12" t="n">
        <v>46332</v>
      </c>
      <c r="Q1868">
        <f>IF(COUNTIF(tbl_Localitati[oras_oficial],[@oras])=0,"ORAS NEALINIAT",IF(XLOOKUP([@oras],tbl_Localitati[oras_oficial],tbl_Localitati[judet],"?")&lt;&gt;[@judet],"JUDET NECORESPUNZATOR",""))</f>
        <v/>
      </c>
      <c r="R1868">
        <f>IF(XLOOKUP([@categorie],tbl_RegulriTVA[categorie],tbl_RegulriTVA[cota_legala],-1)&lt;&gt;[@cota_tva],"TVA GRESIT","")</f>
        <v/>
      </c>
      <c r="S1868">
        <f>IF([@data_scadentei]&lt;[@data_factura],"SCADENTA INAINTEA FACTURII","")</f>
        <v/>
      </c>
      <c r="T1868">
        <f>IF(NETWORKDAYS.INTL([@data_factura],[@data_factura],1,tbl_SarbatoriLegale[data])=0,"ZI NELUCRATOARE","")</f>
        <v/>
      </c>
      <c r="U1868">
        <f>IF([@motiv_anomalie]="","OK","DE INVESTIGAT")</f>
        <v/>
      </c>
      <c r="V1868">
        <f>TEXTJOIN("; ",TRUE,[@flag_oras],[@flag_tva],[@flag_scadenta],[@flag_zi])</f>
        <v/>
      </c>
    </row>
    <row r="1869">
      <c r="A1869" t="inlineStr">
        <is>
          <t>F-2025-01868</t>
        </is>
      </c>
      <c r="B1869" s="12" t="n">
        <v>46335</v>
      </c>
      <c r="C1869" t="inlineStr">
        <is>
          <t>SC VECTOR CONSULT SRL</t>
        </is>
      </c>
      <c r="D1869" t="inlineStr">
        <is>
          <t>Timiș</t>
        </is>
      </c>
      <c r="E1869" t="inlineStr">
        <is>
          <t>PRD-005</t>
        </is>
      </c>
      <c r="F1869" t="inlineStr">
        <is>
          <t>Ceai cutie 100buc</t>
        </is>
      </c>
      <c r="G1869" t="inlineStr">
        <is>
          <t>Alimente</t>
        </is>
      </c>
      <c r="H1869" t="n">
        <v>1</v>
      </c>
      <c r="I1869" t="n">
        <v>257.42</v>
      </c>
      <c r="J1869" t="n">
        <v>257.42</v>
      </c>
      <c r="K1869" s="13" t="n">
        <v>0.09</v>
      </c>
      <c r="L1869" t="n">
        <v>23.17</v>
      </c>
      <c r="M1869" t="n">
        <v>280.59</v>
      </c>
      <c r="N1869" t="inlineStr">
        <is>
          <t>RON</t>
        </is>
      </c>
      <c r="O1869" t="inlineStr">
        <is>
          <t>Timișoara</t>
        </is>
      </c>
      <c r="P1869" s="12" t="n">
        <v>46395</v>
      </c>
      <c r="Q1869">
        <f>IF(COUNTIF(tbl_Localitati[oras_oficial],[@oras])=0,"ORAS NEALINIAT",IF(XLOOKUP([@oras],tbl_Localitati[oras_oficial],tbl_Localitati[judet],"?")&lt;&gt;[@judet],"JUDET NECORESPUNZATOR",""))</f>
        <v/>
      </c>
      <c r="R1869">
        <f>IF(XLOOKUP([@categorie],tbl_RegulriTVA[categorie],tbl_RegulriTVA[cota_legala],-1)&lt;&gt;[@cota_tva],"TVA GRESIT","")</f>
        <v/>
      </c>
      <c r="S1869">
        <f>IF([@data_scadentei]&lt;[@data_factura],"SCADENTA INAINTEA FACTURII","")</f>
        <v/>
      </c>
      <c r="T1869">
        <f>IF(NETWORKDAYS.INTL([@data_factura],[@data_factura],1,tbl_SarbatoriLegale[data])=0,"ZI NELUCRATOARE","")</f>
        <v/>
      </c>
      <c r="U1869">
        <f>IF([@motiv_anomalie]="","OK","DE INVESTIGAT")</f>
        <v/>
      </c>
      <c r="V1869">
        <f>TEXTJOIN("; ",TRUE,[@flag_oras],[@flag_tva],[@flag_scadenta],[@flag_zi])</f>
        <v/>
      </c>
    </row>
    <row r="1870">
      <c r="A1870" t="inlineStr">
        <is>
          <t>F-2025-01869</t>
        </is>
      </c>
      <c r="B1870" s="12" t="n">
        <v>46161</v>
      </c>
      <c r="C1870" t="inlineStr">
        <is>
          <t>SC METALPLAST INVEST SA</t>
        </is>
      </c>
      <c r="D1870" t="inlineStr">
        <is>
          <t>Cluj</t>
        </is>
      </c>
      <c r="E1870" t="inlineStr">
        <is>
          <t>PRD-005</t>
        </is>
      </c>
      <c r="F1870" t="inlineStr">
        <is>
          <t>Pachet protocol sedinte</t>
        </is>
      </c>
      <c r="G1870" t="inlineStr">
        <is>
          <t>Alimente</t>
        </is>
      </c>
      <c r="H1870" t="n">
        <v>1</v>
      </c>
      <c r="I1870" t="n">
        <v>241.81</v>
      </c>
      <c r="J1870" t="n">
        <v>241.81</v>
      </c>
      <c r="K1870" s="13" t="n">
        <v>0.09</v>
      </c>
      <c r="L1870" t="n">
        <v>21.76</v>
      </c>
      <c r="M1870" t="n">
        <v>263.57</v>
      </c>
      <c r="N1870" t="inlineStr">
        <is>
          <t>RON</t>
        </is>
      </c>
      <c r="O1870" t="inlineStr">
        <is>
          <t>Turda</t>
        </is>
      </c>
      <c r="P1870" s="12" t="n">
        <v>46191</v>
      </c>
      <c r="Q1870">
        <f>IF(COUNTIF(tbl_Localitati[oras_oficial],[@oras])=0,"ORAS NEALINIAT",IF(XLOOKUP([@oras],tbl_Localitati[oras_oficial],tbl_Localitati[judet],"?")&lt;&gt;[@judet],"JUDET NECORESPUNZATOR",""))</f>
        <v/>
      </c>
      <c r="R1870">
        <f>IF(XLOOKUP([@categorie],tbl_RegulriTVA[categorie],tbl_RegulriTVA[cota_legala],-1)&lt;&gt;[@cota_tva],"TVA GRESIT","")</f>
        <v/>
      </c>
      <c r="S1870">
        <f>IF([@data_scadentei]&lt;[@data_factura],"SCADENTA INAINTEA FACTURII","")</f>
        <v/>
      </c>
      <c r="T1870">
        <f>IF(NETWORKDAYS.INTL([@data_factura],[@data_factura],1,tbl_SarbatoriLegale[data])=0,"ZI NELUCRATOARE","")</f>
        <v/>
      </c>
      <c r="U1870">
        <f>IF([@motiv_anomalie]="","OK","DE INVESTIGAT")</f>
        <v/>
      </c>
      <c r="V1870">
        <f>TEXTJOIN("; ",TRUE,[@flag_oras],[@flag_tva],[@flag_scadenta],[@flag_zi])</f>
        <v/>
      </c>
    </row>
    <row r="1871">
      <c r="A1871" t="inlineStr">
        <is>
          <t>F-2025-01870</t>
        </is>
      </c>
      <c r="B1871" s="12" t="n">
        <v>46289</v>
      </c>
      <c r="C1871" t="inlineStr">
        <is>
          <t>SC SOLARIS ENERGY SRL</t>
        </is>
      </c>
      <c r="D1871" t="inlineStr">
        <is>
          <t>Prahova</t>
        </is>
      </c>
      <c r="E1871" t="inlineStr">
        <is>
          <t>PRD-006</t>
        </is>
      </c>
      <c r="F1871" t="inlineStr">
        <is>
          <t>Switch gigabit 24p</t>
        </is>
      </c>
      <c r="G1871" t="inlineStr">
        <is>
          <t>Hardware IT</t>
        </is>
      </c>
      <c r="H1871" t="n">
        <v>5</v>
      </c>
      <c r="I1871" t="n">
        <v>736.01</v>
      </c>
      <c r="J1871" t="n">
        <v>3680.05</v>
      </c>
      <c r="K1871" s="13" t="n">
        <v>0.19</v>
      </c>
      <c r="L1871" t="n">
        <v>699.21</v>
      </c>
      <c r="M1871" t="n">
        <v>4379.26</v>
      </c>
      <c r="N1871" t="inlineStr">
        <is>
          <t>RON</t>
        </is>
      </c>
      <c r="O1871" t="inlineStr">
        <is>
          <t>Câmpina</t>
        </is>
      </c>
      <c r="P1871" s="12" t="n">
        <v>46349</v>
      </c>
      <c r="Q1871">
        <f>IF(COUNTIF(tbl_Localitati[oras_oficial],[@oras])=0,"ORAS NEALINIAT",IF(XLOOKUP([@oras],tbl_Localitati[oras_oficial],tbl_Localitati[judet],"?")&lt;&gt;[@judet],"JUDET NECORESPUNZATOR",""))</f>
        <v/>
      </c>
      <c r="R1871">
        <f>IF(XLOOKUP([@categorie],tbl_RegulriTVA[categorie],tbl_RegulriTVA[cota_legala],-1)&lt;&gt;[@cota_tva],"TVA GRESIT","")</f>
        <v/>
      </c>
      <c r="S1871">
        <f>IF([@data_scadentei]&lt;[@data_factura],"SCADENTA INAINTEA FACTURII","")</f>
        <v/>
      </c>
      <c r="T1871">
        <f>IF(NETWORKDAYS.INTL([@data_factura],[@data_factura],1,tbl_SarbatoriLegale[data])=0,"ZI NELUCRATOARE","")</f>
        <v/>
      </c>
      <c r="U1871">
        <f>IF([@motiv_anomalie]="","OK","DE INVESTIGAT")</f>
        <v/>
      </c>
      <c r="V1871">
        <f>TEXTJOIN("; ",TRUE,[@flag_oras],[@flag_tva],[@flag_scadenta],[@flag_zi])</f>
        <v/>
      </c>
    </row>
    <row r="1872">
      <c r="A1872" t="inlineStr">
        <is>
          <t>F-2025-01871</t>
        </is>
      </c>
      <c r="B1872" s="12" t="n">
        <v>46387</v>
      </c>
      <c r="C1872" t="inlineStr">
        <is>
          <t>SC VECTOR CONSULT SRL</t>
        </is>
      </c>
      <c r="D1872" t="inlineStr">
        <is>
          <t>Timiș</t>
        </is>
      </c>
      <c r="E1872" t="inlineStr">
        <is>
          <t>PRD-008</t>
        </is>
      </c>
      <c r="F1872" t="inlineStr">
        <is>
          <t>Switch gigabit 24p</t>
        </is>
      </c>
      <c r="G1872" t="inlineStr">
        <is>
          <t>Hardware IT</t>
        </is>
      </c>
      <c r="H1872" t="n">
        <v>25</v>
      </c>
      <c r="I1872" t="n">
        <v>442.38</v>
      </c>
      <c r="J1872" t="n">
        <v>11059.5</v>
      </c>
      <c r="K1872" s="13" t="n">
        <v>0.19</v>
      </c>
      <c r="L1872" t="n">
        <v>2101.3</v>
      </c>
      <c r="M1872" t="n">
        <v>13160.8</v>
      </c>
      <c r="N1872" t="inlineStr">
        <is>
          <t>RON</t>
        </is>
      </c>
      <c r="O1872" t="inlineStr">
        <is>
          <t>Timișoara</t>
        </is>
      </c>
      <c r="P1872" s="12" t="n">
        <v>46417</v>
      </c>
      <c r="Q1872">
        <f>IF(COUNTIF(tbl_Localitati[oras_oficial],[@oras])=0,"ORAS NEALINIAT",IF(XLOOKUP([@oras],tbl_Localitati[oras_oficial],tbl_Localitati[judet],"?")&lt;&gt;[@judet],"JUDET NECORESPUNZATOR",""))</f>
        <v/>
      </c>
      <c r="R1872">
        <f>IF(XLOOKUP([@categorie],tbl_RegulriTVA[categorie],tbl_RegulriTVA[cota_legala],-1)&lt;&gt;[@cota_tva],"TVA GRESIT","")</f>
        <v/>
      </c>
      <c r="S1872">
        <f>IF([@data_scadentei]&lt;[@data_factura],"SCADENTA INAINTEA FACTURII","")</f>
        <v/>
      </c>
      <c r="T1872">
        <f>IF(NETWORKDAYS.INTL([@data_factura],[@data_factura],1,tbl_SarbatoriLegale[data])=0,"ZI NELUCRATOARE","")</f>
        <v/>
      </c>
      <c r="U1872">
        <f>IF([@motiv_anomalie]="","OK","DE INVESTIGAT")</f>
        <v/>
      </c>
      <c r="V1872">
        <f>TEXTJOIN("; ",TRUE,[@flag_oras],[@flag_tva],[@flag_scadenta],[@flag_zi])</f>
        <v/>
      </c>
    </row>
    <row r="1873">
      <c r="A1873" t="inlineStr">
        <is>
          <t>F-2025-01872</t>
        </is>
      </c>
      <c r="B1873" s="12" t="n">
        <v>46062</v>
      </c>
      <c r="C1873" t="inlineStr">
        <is>
          <t>SC INTEGROMED SA</t>
        </is>
      </c>
      <c r="D1873" t="inlineStr">
        <is>
          <t>Cluj</t>
        </is>
      </c>
      <c r="E1873" t="inlineStr">
        <is>
          <t>PRD-006</t>
        </is>
      </c>
      <c r="F1873" t="inlineStr">
        <is>
          <t>Server rack 1U</t>
        </is>
      </c>
      <c r="G1873" t="inlineStr">
        <is>
          <t>Hardware IT</t>
        </is>
      </c>
      <c r="H1873" t="n">
        <v>25</v>
      </c>
      <c r="I1873" t="n">
        <v>770.15</v>
      </c>
      <c r="J1873" t="n">
        <v>19253.75</v>
      </c>
      <c r="K1873" s="13" t="n">
        <v>0.19</v>
      </c>
      <c r="L1873" t="n">
        <v>3658.21</v>
      </c>
      <c r="M1873" t="n">
        <v>22911.96</v>
      </c>
      <c r="N1873" t="inlineStr">
        <is>
          <t>RON</t>
        </is>
      </c>
      <c r="O1873" t="inlineStr">
        <is>
          <t>Cluj-Napoca</t>
        </is>
      </c>
      <c r="P1873" s="12" t="n">
        <v>46122</v>
      </c>
      <c r="Q1873">
        <f>IF(COUNTIF(tbl_Localitati[oras_oficial],[@oras])=0,"ORAS NEALINIAT",IF(XLOOKUP([@oras],tbl_Localitati[oras_oficial],tbl_Localitati[judet],"?")&lt;&gt;[@judet],"JUDET NECORESPUNZATOR",""))</f>
        <v/>
      </c>
      <c r="R1873">
        <f>IF(XLOOKUP([@categorie],tbl_RegulriTVA[categorie],tbl_RegulriTVA[cota_legala],-1)&lt;&gt;[@cota_tva],"TVA GRESIT","")</f>
        <v/>
      </c>
      <c r="S1873">
        <f>IF([@data_scadentei]&lt;[@data_factura],"SCADENTA INAINTEA FACTURII","")</f>
        <v/>
      </c>
      <c r="T1873">
        <f>IF(NETWORKDAYS.INTL([@data_factura],[@data_factura],1,tbl_SarbatoriLegale[data])=0,"ZI NELUCRATOARE","")</f>
        <v/>
      </c>
      <c r="U1873">
        <f>IF([@motiv_anomalie]="","OK","DE INVESTIGAT")</f>
        <v/>
      </c>
      <c r="V1873">
        <f>TEXTJOIN("; ",TRUE,[@flag_oras],[@flag_tva],[@flag_scadenta],[@flag_zi])</f>
        <v/>
      </c>
    </row>
    <row r="1874">
      <c r="A1874" t="inlineStr">
        <is>
          <t>F-2025-01873</t>
        </is>
      </c>
      <c r="B1874" s="12" t="n">
        <v>46197</v>
      </c>
      <c r="C1874" t="inlineStr">
        <is>
          <t>SC AROMET TRADING SRL</t>
        </is>
      </c>
      <c r="D1874" t="inlineStr">
        <is>
          <t>Alba</t>
        </is>
      </c>
      <c r="E1874" t="inlineStr">
        <is>
          <t>PRD-010</t>
        </is>
      </c>
      <c r="F1874" t="inlineStr">
        <is>
          <t>Server rack 1U</t>
        </is>
      </c>
      <c r="G1874" t="inlineStr">
        <is>
          <t>Hardware IT</t>
        </is>
      </c>
      <c r="H1874" t="n">
        <v>5</v>
      </c>
      <c r="I1874" t="n">
        <v>362.34</v>
      </c>
      <c r="J1874" t="n">
        <v>1811.7</v>
      </c>
      <c r="K1874" s="13" t="n">
        <v>0.19</v>
      </c>
      <c r="L1874" t="n">
        <v>344.22</v>
      </c>
      <c r="M1874" t="n">
        <v>2155.92</v>
      </c>
      <c r="N1874" t="inlineStr">
        <is>
          <t>RON</t>
        </is>
      </c>
      <c r="O1874" t="inlineStr">
        <is>
          <t>Alba Iulia</t>
        </is>
      </c>
      <c r="P1874" s="12" t="n">
        <v>46227</v>
      </c>
      <c r="Q1874">
        <f>IF(COUNTIF(tbl_Localitati[oras_oficial],[@oras])=0,"ORAS NEALINIAT",IF(XLOOKUP([@oras],tbl_Localitati[oras_oficial],tbl_Localitati[judet],"?")&lt;&gt;[@judet],"JUDET NECORESPUNZATOR",""))</f>
        <v/>
      </c>
      <c r="R1874">
        <f>IF(XLOOKUP([@categorie],tbl_RegulriTVA[categorie],tbl_RegulriTVA[cota_legala],-1)&lt;&gt;[@cota_tva],"TVA GRESIT","")</f>
        <v/>
      </c>
      <c r="S1874">
        <f>IF([@data_scadentei]&lt;[@data_factura],"SCADENTA INAINTEA FACTURII","")</f>
        <v/>
      </c>
      <c r="T1874">
        <f>IF(NETWORKDAYS.INTL([@data_factura],[@data_factura],1,tbl_SarbatoriLegale[data])=0,"ZI NELUCRATOARE","")</f>
        <v/>
      </c>
      <c r="U1874">
        <f>IF([@motiv_anomalie]="","OK","DE INVESTIGAT")</f>
        <v/>
      </c>
      <c r="V1874">
        <f>TEXTJOIN("; ",TRUE,[@flag_oras],[@flag_tva],[@flag_scadenta],[@flag_zi])</f>
        <v/>
      </c>
    </row>
    <row r="1875">
      <c r="A1875" t="inlineStr">
        <is>
          <t>F-2025-01874</t>
        </is>
      </c>
      <c r="B1875" s="12" t="n">
        <v>46112</v>
      </c>
      <c r="C1875" t="inlineStr">
        <is>
          <t>SC DACTECH SOLUTIONS SRL</t>
        </is>
      </c>
      <c r="D1875" t="inlineStr">
        <is>
          <t>Argeș</t>
        </is>
      </c>
      <c r="E1875" t="inlineStr">
        <is>
          <t>PRD-010</t>
        </is>
      </c>
      <c r="F1875" t="inlineStr">
        <is>
          <t>Tocator documente</t>
        </is>
      </c>
      <c r="G1875" t="inlineStr">
        <is>
          <t>Echipamente birou</t>
        </is>
      </c>
      <c r="H1875" t="n">
        <v>10</v>
      </c>
      <c r="I1875" t="n">
        <v>337.69</v>
      </c>
      <c r="J1875" t="n">
        <v>3376.9</v>
      </c>
      <c r="K1875" s="13" t="n">
        <v>0.19</v>
      </c>
      <c r="L1875" t="n">
        <v>641.61</v>
      </c>
      <c r="M1875" t="n">
        <v>4018.51</v>
      </c>
      <c r="N1875" t="inlineStr">
        <is>
          <t>RON</t>
        </is>
      </c>
      <c r="O1875" t="inlineStr">
        <is>
          <t>Pitești</t>
        </is>
      </c>
      <c r="P1875" s="12" t="n">
        <v>46142</v>
      </c>
      <c r="Q1875">
        <f>IF(COUNTIF(tbl_Localitati[oras_oficial],[@oras])=0,"ORAS NEALINIAT",IF(XLOOKUP([@oras],tbl_Localitati[oras_oficial],tbl_Localitati[judet],"?")&lt;&gt;[@judet],"JUDET NECORESPUNZATOR",""))</f>
        <v/>
      </c>
      <c r="R1875">
        <f>IF(XLOOKUP([@categorie],tbl_RegulriTVA[categorie],tbl_RegulriTVA[cota_legala],-1)&lt;&gt;[@cota_tva],"TVA GRESIT","")</f>
        <v/>
      </c>
      <c r="S1875">
        <f>IF([@data_scadentei]&lt;[@data_factura],"SCADENTA INAINTEA FACTURII","")</f>
        <v/>
      </c>
      <c r="T1875">
        <f>IF(NETWORKDAYS.INTL([@data_factura],[@data_factura],1,tbl_SarbatoriLegale[data])=0,"ZI NELUCRATOARE","")</f>
        <v/>
      </c>
      <c r="U1875">
        <f>IF([@motiv_anomalie]="","OK","DE INVESTIGAT")</f>
        <v/>
      </c>
      <c r="V1875">
        <f>TEXTJOIN("; ",TRUE,[@flag_oras],[@flag_tva],[@flag_scadenta],[@flag_zi])</f>
        <v/>
      </c>
    </row>
    <row r="1876">
      <c r="A1876" t="inlineStr">
        <is>
          <t>F-2025-01875</t>
        </is>
      </c>
      <c r="B1876" s="12" t="n">
        <v>46121</v>
      </c>
      <c r="C1876" t="inlineStr">
        <is>
          <t>SC INTEGROMED SA</t>
        </is>
      </c>
      <c r="D1876" t="inlineStr">
        <is>
          <t>Cluj</t>
        </is>
      </c>
      <c r="E1876" t="inlineStr">
        <is>
          <t>PRD-010</t>
        </is>
      </c>
      <c r="F1876" t="inlineStr">
        <is>
          <t>Ceai cutie 100buc</t>
        </is>
      </c>
      <c r="G1876" t="inlineStr">
        <is>
          <t>Alimente</t>
        </is>
      </c>
      <c r="H1876" t="n">
        <v>10</v>
      </c>
      <c r="I1876" t="n">
        <v>337.61</v>
      </c>
      <c r="J1876" t="n">
        <v>3376.1</v>
      </c>
      <c r="K1876" s="13" t="n">
        <v>0.09</v>
      </c>
      <c r="L1876" t="n">
        <v>303.85</v>
      </c>
      <c r="M1876" t="n">
        <v>3679.95</v>
      </c>
      <c r="N1876" t="inlineStr">
        <is>
          <t>RON</t>
        </is>
      </c>
      <c r="O1876" t="inlineStr">
        <is>
          <t>Cluj-Napoca</t>
        </is>
      </c>
      <c r="P1876" s="12" t="n">
        <v>46151</v>
      </c>
      <c r="Q1876">
        <f>IF(COUNTIF(tbl_Localitati[oras_oficial],[@oras])=0,"ORAS NEALINIAT",IF(XLOOKUP([@oras],tbl_Localitati[oras_oficial],tbl_Localitati[judet],"?")&lt;&gt;[@judet],"JUDET NECORESPUNZATOR",""))</f>
        <v/>
      </c>
      <c r="R1876">
        <f>IF(XLOOKUP([@categorie],tbl_RegulriTVA[categorie],tbl_RegulriTVA[cota_legala],-1)&lt;&gt;[@cota_tva],"TVA GRESIT","")</f>
        <v/>
      </c>
      <c r="S1876">
        <f>IF([@data_scadentei]&lt;[@data_factura],"SCADENTA INAINTEA FACTURII","")</f>
        <v/>
      </c>
      <c r="T1876">
        <f>IF(NETWORKDAYS.INTL([@data_factura],[@data_factura],1,tbl_SarbatoriLegale[data])=0,"ZI NELUCRATOARE","")</f>
        <v/>
      </c>
      <c r="U1876">
        <f>IF([@motiv_anomalie]="","OK","DE INVESTIGAT")</f>
        <v/>
      </c>
      <c r="V1876">
        <f>TEXTJOIN("; ",TRUE,[@flag_oras],[@flag_tva],[@flag_scadenta],[@flag_zi])</f>
        <v/>
      </c>
    </row>
    <row r="1877">
      <c r="A1877" t="inlineStr">
        <is>
          <t>F-2025-01876</t>
        </is>
      </c>
      <c r="B1877" s="12" t="n">
        <v>46286</v>
      </c>
      <c r="C1877" t="inlineStr">
        <is>
          <t>SC ELECTROBUILD SRL</t>
        </is>
      </c>
      <c r="D1877" t="inlineStr">
        <is>
          <t>Bacău</t>
        </is>
      </c>
      <c r="E1877" t="inlineStr">
        <is>
          <t>PRD-005</t>
        </is>
      </c>
      <c r="F1877" t="inlineStr">
        <is>
          <t>Monitor 27" 4K</t>
        </is>
      </c>
      <c r="G1877" t="inlineStr">
        <is>
          <t>Hardware IT</t>
        </is>
      </c>
      <c r="H1877" t="n">
        <v>1</v>
      </c>
      <c r="I1877" t="n">
        <v>250.94</v>
      </c>
      <c r="J1877" t="n">
        <v>250.94</v>
      </c>
      <c r="K1877" s="13" t="n">
        <v>0.19</v>
      </c>
      <c r="L1877" t="n">
        <v>47.68</v>
      </c>
      <c r="M1877" t="n">
        <v>298.62</v>
      </c>
      <c r="N1877" t="inlineStr">
        <is>
          <t>RON</t>
        </is>
      </c>
      <c r="O1877" t="inlineStr">
        <is>
          <t>Bacău</t>
        </is>
      </c>
      <c r="P1877" s="12" t="n">
        <v>46346</v>
      </c>
      <c r="Q1877">
        <f>IF(COUNTIF(tbl_Localitati[oras_oficial],[@oras])=0,"ORAS NEALINIAT",IF(XLOOKUP([@oras],tbl_Localitati[oras_oficial],tbl_Localitati[judet],"?")&lt;&gt;[@judet],"JUDET NECORESPUNZATOR",""))</f>
        <v/>
      </c>
      <c r="R1877">
        <f>IF(XLOOKUP([@categorie],tbl_RegulriTVA[categorie],tbl_RegulriTVA[cota_legala],-1)&lt;&gt;[@cota_tva],"TVA GRESIT","")</f>
        <v/>
      </c>
      <c r="S1877">
        <f>IF([@data_scadentei]&lt;[@data_factura],"SCADENTA INAINTEA FACTURII","")</f>
        <v/>
      </c>
      <c r="T1877">
        <f>IF(NETWORKDAYS.INTL([@data_factura],[@data_factura],1,tbl_SarbatoriLegale[data])=0,"ZI NELUCRATOARE","")</f>
        <v/>
      </c>
      <c r="U1877">
        <f>IF([@motiv_anomalie]="","OK","DE INVESTIGAT")</f>
        <v/>
      </c>
      <c r="V1877">
        <f>TEXTJOIN("; ",TRUE,[@flag_oras],[@flag_tva],[@flag_scadenta],[@flag_zi])</f>
        <v/>
      </c>
    </row>
    <row r="1878">
      <c r="A1878" t="inlineStr">
        <is>
          <t>F-2025-01877</t>
        </is>
      </c>
      <c r="B1878" s="12" t="n">
        <v>46197</v>
      </c>
      <c r="C1878" t="inlineStr">
        <is>
          <t>SC NORDIS DISTRIBUTIE SRL</t>
        </is>
      </c>
      <c r="D1878" t="inlineStr">
        <is>
          <t>Constanța</t>
        </is>
      </c>
      <c r="E1878" t="inlineStr">
        <is>
          <t>PRD-001</t>
        </is>
      </c>
      <c r="F1878" t="inlineStr">
        <is>
          <t>Licenta Office 365 anuala</t>
        </is>
      </c>
      <c r="G1878" t="inlineStr">
        <is>
          <t>Licențe software</t>
        </is>
      </c>
      <c r="H1878" t="n">
        <v>1</v>
      </c>
      <c r="I1878" t="n">
        <v>2479.94</v>
      </c>
      <c r="J1878" t="n">
        <v>2479.94</v>
      </c>
      <c r="K1878" s="13" t="n">
        <v>0.19</v>
      </c>
      <c r="L1878" t="n">
        <v>471.19</v>
      </c>
      <c r="M1878" t="n">
        <v>2951.13</v>
      </c>
      <c r="N1878" t="inlineStr">
        <is>
          <t>RON</t>
        </is>
      </c>
      <c r="O1878" t="inlineStr">
        <is>
          <t>Mangalia</t>
        </is>
      </c>
      <c r="P1878" s="12" t="n">
        <v>46227</v>
      </c>
      <c r="Q1878">
        <f>IF(COUNTIF(tbl_Localitati[oras_oficial],[@oras])=0,"ORAS NEALINIAT",IF(XLOOKUP([@oras],tbl_Localitati[oras_oficial],tbl_Localitati[judet],"?")&lt;&gt;[@judet],"JUDET NECORESPUNZATOR",""))</f>
        <v/>
      </c>
      <c r="R1878">
        <f>IF(XLOOKUP([@categorie],tbl_RegulriTVA[categorie],tbl_RegulriTVA[cota_legala],-1)&lt;&gt;[@cota_tva],"TVA GRESIT","")</f>
        <v/>
      </c>
      <c r="S1878">
        <f>IF([@data_scadentei]&lt;[@data_factura],"SCADENTA INAINTEA FACTURII","")</f>
        <v/>
      </c>
      <c r="T1878">
        <f>IF(NETWORKDAYS.INTL([@data_factura],[@data_factura],1,tbl_SarbatoriLegale[data])=0,"ZI NELUCRATOARE","")</f>
        <v/>
      </c>
      <c r="U1878">
        <f>IF([@motiv_anomalie]="","OK","DE INVESTIGAT")</f>
        <v/>
      </c>
      <c r="V1878">
        <f>TEXTJOIN("; ",TRUE,[@flag_oras],[@flag_tva],[@flag_scadenta],[@flag_zi])</f>
        <v/>
      </c>
    </row>
    <row r="1879">
      <c r="A1879" t="inlineStr">
        <is>
          <t>F-2025-01878</t>
        </is>
      </c>
      <c r="B1879" s="12" t="n">
        <v>46204</v>
      </c>
      <c r="C1879" t="inlineStr">
        <is>
          <t>SC INTEGROMED SA</t>
        </is>
      </c>
      <c r="D1879" t="inlineStr">
        <is>
          <t>Cluj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 IT</t>
        </is>
      </c>
      <c r="H1879" t="n">
        <v>1</v>
      </c>
      <c r="I1879" t="n">
        <v>1052</v>
      </c>
      <c r="J1879" t="n">
        <v>1052</v>
      </c>
      <c r="K1879" s="13" t="n">
        <v>0.19</v>
      </c>
      <c r="L1879" t="n">
        <v>199.88</v>
      </c>
      <c r="M1879" t="n">
        <v>1251.88</v>
      </c>
      <c r="N1879" t="inlineStr">
        <is>
          <t>RON</t>
        </is>
      </c>
      <c r="O1879" t="inlineStr">
        <is>
          <t>Cluj-Napoca</t>
        </is>
      </c>
      <c r="P1879" s="12" t="n">
        <v>46219</v>
      </c>
      <c r="Q1879">
        <f>IF(COUNTIF(tbl_Localitati[oras_oficial],[@oras])=0,"ORAS NEALINIAT",IF(XLOOKUP([@oras],tbl_Localitati[oras_oficial],tbl_Localitati[judet],"?")&lt;&gt;[@judet],"JUDET NECORESPUNZATOR",""))</f>
        <v/>
      </c>
      <c r="R1879">
        <f>IF(XLOOKUP([@categorie],tbl_RegulriTVA[categorie],tbl_RegulriTVA[cota_legala],-1)&lt;&gt;[@cota_tva],"TVA GRESIT","")</f>
        <v/>
      </c>
      <c r="S1879">
        <f>IF([@data_scadentei]&lt;[@data_factura],"SCADENTA INAINTEA FACTURII","")</f>
        <v/>
      </c>
      <c r="T1879">
        <f>IF(NETWORKDAYS.INTL([@data_factura],[@data_factura],1,tbl_SarbatoriLegale[data])=0,"ZI NELUCRATOARE","")</f>
        <v/>
      </c>
      <c r="U1879">
        <f>IF([@motiv_anomalie]="","OK","DE INVESTIGAT")</f>
        <v/>
      </c>
      <c r="V1879">
        <f>TEXTJOIN("; ",TRUE,[@flag_oras],[@flag_tva],[@flag_scadenta],[@flag_zi])</f>
        <v/>
      </c>
    </row>
    <row r="1880">
      <c r="A1880" t="inlineStr">
        <is>
          <t>F-2025-01879</t>
        </is>
      </c>
      <c r="B1880" s="12" t="n">
        <v>46199</v>
      </c>
      <c r="C1880" t="inlineStr">
        <is>
          <t>SC AROMET TRADING SRL</t>
        </is>
      </c>
      <c r="D1880" t="inlineStr">
        <is>
          <t>Alba</t>
        </is>
      </c>
      <c r="E1880" t="inlineStr">
        <is>
          <t>PRD-004</t>
        </is>
      </c>
      <c r="F1880" t="inlineStr">
        <is>
          <t>Videoproiector sala</t>
        </is>
      </c>
      <c r="G1880" t="inlineStr">
        <is>
          <t>Echipamente birou</t>
        </is>
      </c>
      <c r="H1880" t="n">
        <v>3</v>
      </c>
      <c r="I1880" t="n">
        <v>910.79</v>
      </c>
      <c r="J1880" t="n">
        <v>2732.37</v>
      </c>
      <c r="K1880" s="13" t="n">
        <v>0.19</v>
      </c>
      <c r="L1880" t="n">
        <v>519.15</v>
      </c>
      <c r="M1880" t="n">
        <v>3251.52</v>
      </c>
      <c r="N1880" t="inlineStr">
        <is>
          <t>RON</t>
        </is>
      </c>
      <c r="O1880" t="inlineStr">
        <is>
          <t>Alba Iulia</t>
        </is>
      </c>
      <c r="P1880" s="12" t="n">
        <v>46229</v>
      </c>
      <c r="Q1880">
        <f>IF(COUNTIF(tbl_Localitati[oras_oficial],[@oras])=0,"ORAS NEALINIAT",IF(XLOOKUP([@oras],tbl_Localitati[oras_oficial],tbl_Localitati[judet],"?")&lt;&gt;[@judet],"JUDET NECORESPUNZATOR",""))</f>
        <v/>
      </c>
      <c r="R1880">
        <f>IF(XLOOKUP([@categorie],tbl_RegulriTVA[categorie],tbl_RegulriTVA[cota_legala],-1)&lt;&gt;[@cota_tva],"TVA GRESIT","")</f>
        <v/>
      </c>
      <c r="S1880">
        <f>IF([@data_scadentei]&lt;[@data_factura],"SCADENTA INAINTEA FACTURII","")</f>
        <v/>
      </c>
      <c r="T1880">
        <f>IF(NETWORKDAYS.INTL([@data_factura],[@data_factura],1,tbl_SarbatoriLegale[data])=0,"ZI NELUCRATOARE","")</f>
        <v/>
      </c>
      <c r="U1880">
        <f>IF([@motiv_anomalie]="","OK","DE INVESTIGAT")</f>
        <v/>
      </c>
      <c r="V1880">
        <f>TEXTJOIN("; ",TRUE,[@flag_oras],[@flag_tva],[@flag_scadenta],[@flag_zi])</f>
        <v/>
      </c>
    </row>
    <row r="1881">
      <c r="A1881" t="inlineStr">
        <is>
          <t>F-2025-01880</t>
        </is>
      </c>
      <c r="B1881" s="12" t="n">
        <v>46157</v>
      </c>
      <c r="C1881" t="inlineStr">
        <is>
          <t>SC RAPID LOGISTIC SA</t>
        </is>
      </c>
      <c r="D1881" t="inlineStr">
        <is>
          <t>Prahova</t>
        </is>
      </c>
      <c r="E1881" t="inlineStr">
        <is>
          <t>PRD-001</t>
        </is>
      </c>
      <c r="F1881" t="inlineStr">
        <is>
          <t>Carte tehnica IT</t>
        </is>
      </c>
      <c r="G1881" t="inlineStr">
        <is>
          <t>Cărți și manuale</t>
        </is>
      </c>
      <c r="H1881" t="n">
        <v>2</v>
      </c>
      <c r="I1881" t="n">
        <v>2444.54</v>
      </c>
      <c r="J1881" t="n">
        <v>4889.08</v>
      </c>
      <c r="K1881" s="13" t="n">
        <v>0.05</v>
      </c>
      <c r="L1881" t="n">
        <v>244.45</v>
      </c>
      <c r="M1881" t="n">
        <v>5133.53</v>
      </c>
      <c r="N1881" t="inlineStr">
        <is>
          <t>RON</t>
        </is>
      </c>
      <c r="O1881" t="inlineStr">
        <is>
          <t>Ploiești</t>
        </is>
      </c>
      <c r="P1881" s="12" t="n">
        <v>46202</v>
      </c>
      <c r="Q1881">
        <f>IF(COUNTIF(tbl_Localitati[oras_oficial],[@oras])=0,"ORAS NEALINIAT",IF(XLOOKUP([@oras],tbl_Localitati[oras_oficial],tbl_Localitati[judet],"?")&lt;&gt;[@judet],"JUDET NECORESPUNZATOR",""))</f>
        <v/>
      </c>
      <c r="R1881">
        <f>IF(XLOOKUP([@categorie],tbl_RegulriTVA[categorie],tbl_RegulriTVA[cota_legala],-1)&lt;&gt;[@cota_tva],"TVA GRESIT","")</f>
        <v/>
      </c>
      <c r="S1881">
        <f>IF([@data_scadentei]&lt;[@data_factura],"SCADENTA INAINTEA FACTURII","")</f>
        <v/>
      </c>
      <c r="T1881">
        <f>IF(NETWORKDAYS.INTL([@data_factura],[@data_factura],1,tbl_SarbatoriLegale[data])=0,"ZI NELUCRATOARE","")</f>
        <v/>
      </c>
      <c r="U1881">
        <f>IF([@motiv_anomalie]="","OK","DE INVESTIGAT")</f>
        <v/>
      </c>
      <c r="V1881">
        <f>TEXTJOIN("; ",TRUE,[@flag_oras],[@flag_tva],[@flag_scadenta],[@flag_zi])</f>
        <v/>
      </c>
    </row>
    <row r="1882">
      <c r="A1882" t="inlineStr">
        <is>
          <t>F-2025-01881</t>
        </is>
      </c>
      <c r="B1882" s="12" t="n">
        <v>46065</v>
      </c>
      <c r="C1882" t="inlineStr">
        <is>
          <t>SC AROMET TRADING SRL</t>
        </is>
      </c>
      <c r="D1882" t="inlineStr">
        <is>
          <t>Alba</t>
        </is>
      </c>
      <c r="E1882" t="inlineStr">
        <is>
          <t>PRD-002</t>
        </is>
      </c>
      <c r="F1882" t="inlineStr">
        <is>
          <t>Multifunctionala laser</t>
        </is>
      </c>
      <c r="G1882" t="inlineStr">
        <is>
          <t>Echipamente birou</t>
        </is>
      </c>
      <c r="H1882" t="n">
        <v>1</v>
      </c>
      <c r="I1882" t="n">
        <v>1104.62</v>
      </c>
      <c r="J1882" t="n">
        <v>1104.62</v>
      </c>
      <c r="K1882" s="13" t="n">
        <v>0.19</v>
      </c>
      <c r="L1882" t="n">
        <v>209.88</v>
      </c>
      <c r="M1882" t="n">
        <v>1314.5</v>
      </c>
      <c r="N1882" t="inlineStr">
        <is>
          <t>RON</t>
        </is>
      </c>
      <c r="O1882" t="inlineStr">
        <is>
          <t>Alba Iulia</t>
        </is>
      </c>
      <c r="P1882" s="12" t="n">
        <v>46095</v>
      </c>
      <c r="Q1882">
        <f>IF(COUNTIF(tbl_Localitati[oras_oficial],[@oras])=0,"ORAS NEALINIAT",IF(XLOOKUP([@oras],tbl_Localitati[oras_oficial],tbl_Localitati[judet],"?")&lt;&gt;[@judet],"JUDET NECORESPUNZATOR",""))</f>
        <v/>
      </c>
      <c r="R1882">
        <f>IF(XLOOKUP([@categorie],tbl_RegulriTVA[categorie],tbl_RegulriTVA[cota_legala],-1)&lt;&gt;[@cota_tva],"TVA GRESIT","")</f>
        <v/>
      </c>
      <c r="S1882">
        <f>IF([@data_scadentei]&lt;[@data_factura],"SCADENTA INAINTEA FACTURII","")</f>
        <v/>
      </c>
      <c r="T1882">
        <f>IF(NETWORKDAYS.INTL([@data_factura],[@data_factura],1,tbl_SarbatoriLegale[data])=0,"ZI NELUCRATOARE","")</f>
        <v/>
      </c>
      <c r="U1882">
        <f>IF([@motiv_anomalie]="","OK","DE INVESTIGAT")</f>
        <v/>
      </c>
      <c r="V1882">
        <f>TEXTJOIN("; ",TRUE,[@flag_oras],[@flag_tva],[@flag_scadenta],[@flag_zi])</f>
        <v/>
      </c>
    </row>
    <row r="1883">
      <c r="A1883" t="inlineStr">
        <is>
          <t>F-2025-01882</t>
        </is>
      </c>
      <c r="B1883" s="12" t="n">
        <v>46233</v>
      </c>
      <c r="C1883" t="inlineStr">
        <is>
          <t>SC ELECTROBUILD SRL</t>
        </is>
      </c>
      <c r="D1883" t="inlineStr">
        <is>
          <t>Bacău</t>
        </is>
      </c>
      <c r="E1883" t="inlineStr">
        <is>
          <t>PRD-009</t>
        </is>
      </c>
      <c r="F1883" t="inlineStr">
        <is>
          <t>Licenta Office 365 anuala</t>
        </is>
      </c>
      <c r="G1883" t="inlineStr">
        <is>
          <t>Licențe software</t>
        </is>
      </c>
      <c r="H1883" t="n">
        <v>20</v>
      </c>
      <c r="I1883" t="n">
        <v>27</v>
      </c>
      <c r="J1883" t="n">
        <v>540</v>
      </c>
      <c r="K1883" s="13" t="n">
        <v>0.19</v>
      </c>
      <c r="L1883" t="n">
        <v>102.6</v>
      </c>
      <c r="M1883" t="n">
        <v>642.6</v>
      </c>
      <c r="N1883" t="inlineStr">
        <is>
          <t>RON</t>
        </is>
      </c>
      <c r="O1883" t="inlineStr">
        <is>
          <t>Bacău</t>
        </is>
      </c>
      <c r="P1883" s="12" t="n">
        <v>46293</v>
      </c>
      <c r="Q1883">
        <f>IF(COUNTIF(tbl_Localitati[oras_oficial],[@oras])=0,"ORAS NEALINIAT",IF(XLOOKUP([@oras],tbl_Localitati[oras_oficial],tbl_Localitati[judet],"?")&lt;&gt;[@judet],"JUDET NECORESPUNZATOR",""))</f>
        <v/>
      </c>
      <c r="R1883">
        <f>IF(XLOOKUP([@categorie],tbl_RegulriTVA[categorie],tbl_RegulriTVA[cota_legala],-1)&lt;&gt;[@cota_tva],"TVA GRESIT","")</f>
        <v/>
      </c>
      <c r="S1883">
        <f>IF([@data_scadentei]&lt;[@data_factura],"SCADENTA INAINTEA FACTURII","")</f>
        <v/>
      </c>
      <c r="T1883">
        <f>IF(NETWORKDAYS.INTL([@data_factura],[@data_factura],1,tbl_SarbatoriLegale[data])=0,"ZI NELUCRATOARE","")</f>
        <v/>
      </c>
      <c r="U1883">
        <f>IF([@motiv_anomalie]="","OK","DE INVESTIGAT")</f>
        <v/>
      </c>
      <c r="V1883">
        <f>TEXTJOIN("; ",TRUE,[@flag_oras],[@flag_tva],[@flag_scadenta],[@flag_zi])</f>
        <v/>
      </c>
    </row>
    <row r="1884">
      <c r="A1884" t="inlineStr">
        <is>
          <t>F-2025-01883</t>
        </is>
      </c>
      <c r="B1884" s="12" t="n">
        <v>46225</v>
      </c>
      <c r="C1884" t="inlineStr">
        <is>
          <t>SC AROMET TRADING SRL</t>
        </is>
      </c>
      <c r="D1884" t="inlineStr">
        <is>
          <t>Alba</t>
        </is>
      </c>
      <c r="E1884" t="inlineStr">
        <is>
          <t>PRD-001</t>
        </is>
      </c>
      <c r="F1884" t="inlineStr">
        <is>
          <t>Abonament suita cloud</t>
        </is>
      </c>
      <c r="G1884" t="inlineStr">
        <is>
          <t>Licențe software</t>
        </is>
      </c>
      <c r="H1884" t="n">
        <v>1</v>
      </c>
      <c r="I1884" t="n">
        <v>2451.32</v>
      </c>
      <c r="J1884" t="n">
        <v>2451.32</v>
      </c>
      <c r="K1884" s="13" t="n">
        <v>0.19</v>
      </c>
      <c r="L1884" t="n">
        <v>465.75</v>
      </c>
      <c r="M1884" t="n">
        <v>2917.07</v>
      </c>
      <c r="N1884" t="inlineStr">
        <is>
          <t>RON</t>
        </is>
      </c>
      <c r="O1884" t="inlineStr">
        <is>
          <t>Alba Iulia</t>
        </is>
      </c>
      <c r="P1884" s="12" t="n">
        <v>46255</v>
      </c>
      <c r="Q1884">
        <f>IF(COUNTIF(tbl_Localitati[oras_oficial],[@oras])=0,"ORAS NEALINIAT",IF(XLOOKUP([@oras],tbl_Localitati[oras_oficial],tbl_Localitati[judet],"?")&lt;&gt;[@judet],"JUDET NECORESPUNZATOR",""))</f>
        <v/>
      </c>
      <c r="R1884">
        <f>IF(XLOOKUP([@categorie],tbl_RegulriTVA[categorie],tbl_RegulriTVA[cota_legala],-1)&lt;&gt;[@cota_tva],"TVA GRESIT","")</f>
        <v/>
      </c>
      <c r="S1884">
        <f>IF([@data_scadentei]&lt;[@data_factura],"SCADENTA INAINTEA FACTURII","")</f>
        <v/>
      </c>
      <c r="T1884">
        <f>IF(NETWORKDAYS.INTL([@data_factura],[@data_factura],1,tbl_SarbatoriLegale[data])=0,"ZI NELUCRATOARE","")</f>
        <v/>
      </c>
      <c r="U1884">
        <f>IF([@motiv_anomalie]="","OK","DE INVESTIGAT")</f>
        <v/>
      </c>
      <c r="V1884">
        <f>TEXTJOIN("; ",TRUE,[@flag_oras],[@flag_tva],[@flag_scadenta],[@flag_zi])</f>
        <v/>
      </c>
    </row>
    <row r="1885">
      <c r="A1885" t="inlineStr">
        <is>
          <t>F-2025-01884</t>
        </is>
      </c>
      <c r="B1885" s="12" t="n">
        <v>46182</v>
      </c>
      <c r="C1885" t="inlineStr">
        <is>
          <t>SC DACTECH SOLUTIONS SRL</t>
        </is>
      </c>
      <c r="D1885" t="inlineStr">
        <is>
          <t>Argeș</t>
        </is>
      </c>
      <c r="E1885" t="inlineStr">
        <is>
          <t>PRD-008</t>
        </is>
      </c>
      <c r="F1885" t="inlineStr">
        <is>
          <t>Audit infrastructura</t>
        </is>
      </c>
      <c r="G1885" t="inlineStr">
        <is>
          <t>Servicii consultanță</t>
        </is>
      </c>
      <c r="H1885" t="n">
        <v>1</v>
      </c>
      <c r="I1885" t="n">
        <v>429.07</v>
      </c>
      <c r="J1885" t="n">
        <v>429.07</v>
      </c>
      <c r="K1885" s="13" t="n">
        <v>0.05</v>
      </c>
      <c r="L1885" t="n">
        <v>21.45</v>
      </c>
      <c r="M1885" t="n">
        <v>450.52</v>
      </c>
      <c r="N1885" t="inlineStr">
        <is>
          <t>RON</t>
        </is>
      </c>
      <c r="O1885" t="inlineStr">
        <is>
          <t>Pitești</t>
        </is>
      </c>
      <c r="P1885" s="12" t="n">
        <v>46212</v>
      </c>
      <c r="Q1885">
        <f>IF(COUNTIF(tbl_Localitati[oras_oficial],[@oras])=0,"ORAS NEALINIAT",IF(XLOOKUP([@oras],tbl_Localitati[oras_oficial],tbl_Localitati[judet],"?")&lt;&gt;[@judet],"JUDET NECORESPUNZATOR",""))</f>
        <v/>
      </c>
      <c r="R1885">
        <f>IF(XLOOKUP([@categorie],tbl_RegulriTVA[categorie],tbl_RegulriTVA[cota_legala],-1)&lt;&gt;[@cota_tva],"TVA GRESIT","")</f>
        <v/>
      </c>
      <c r="S1885">
        <f>IF([@data_scadentei]&lt;[@data_factura],"SCADENTA INAINTEA FACTURII","")</f>
        <v/>
      </c>
      <c r="T1885">
        <f>IF(NETWORKDAYS.INTL([@data_factura],[@data_factura],1,tbl_SarbatoriLegale[data])=0,"ZI NELUCRATOARE","")</f>
        <v/>
      </c>
      <c r="U1885">
        <f>IF([@motiv_anomalie]="","OK","DE INVESTIGAT")</f>
        <v/>
      </c>
      <c r="V1885">
        <f>TEXTJOIN("; ",TRUE,[@flag_oras],[@flag_tva],[@flag_scadenta],[@flag_zi])</f>
        <v/>
      </c>
    </row>
    <row r="1886">
      <c r="A1886" t="inlineStr">
        <is>
          <t>F-2025-01885</t>
        </is>
      </c>
      <c r="B1886" s="12" t="n">
        <v>46085</v>
      </c>
      <c r="C1886" t="inlineStr">
        <is>
          <t>SC NORDIS DISTRIBUTIE SRL</t>
        </is>
      </c>
      <c r="D1886" t="inlineStr">
        <is>
          <t>Constanța</t>
        </is>
      </c>
      <c r="E1886" t="inlineStr">
        <is>
          <t>PRD-002</t>
        </is>
      </c>
      <c r="F1886" t="inlineStr">
        <is>
          <t>Training utilizatori</t>
        </is>
      </c>
      <c r="G1886" t="inlineStr">
        <is>
          <t>Servicii consultanță</t>
        </is>
      </c>
      <c r="H1886" t="n">
        <v>1</v>
      </c>
      <c r="I1886" t="n">
        <v>1080.23</v>
      </c>
      <c r="J1886" t="n">
        <v>1080.23</v>
      </c>
      <c r="K1886" s="13" t="n">
        <v>0.19</v>
      </c>
      <c r="L1886" t="n">
        <v>205.24</v>
      </c>
      <c r="M1886" t="n">
        <v>1285.47</v>
      </c>
      <c r="N1886" t="inlineStr">
        <is>
          <t>RON</t>
        </is>
      </c>
      <c r="O1886" t="inlineStr">
        <is>
          <t>Mangalia</t>
        </is>
      </c>
      <c r="P1886" s="12" t="n">
        <v>46115</v>
      </c>
      <c r="Q1886">
        <f>IF(COUNTIF(tbl_Localitati[oras_oficial],[@oras])=0,"ORAS NEALINIAT",IF(XLOOKUP([@oras],tbl_Localitati[oras_oficial],tbl_Localitati[judet],"?")&lt;&gt;[@judet],"JUDET NECORESPUNZATOR",""))</f>
        <v/>
      </c>
      <c r="R1886">
        <f>IF(XLOOKUP([@categorie],tbl_RegulriTVA[categorie],tbl_RegulriTVA[cota_legala],-1)&lt;&gt;[@cota_tva],"TVA GRESIT","")</f>
        <v/>
      </c>
      <c r="S1886">
        <f>IF([@data_scadentei]&lt;[@data_factura],"SCADENTA INAINTEA FACTURII","")</f>
        <v/>
      </c>
      <c r="T1886">
        <f>IF(NETWORKDAYS.INTL([@data_factura],[@data_factura],1,tbl_SarbatoriLegale[data])=0,"ZI NELUCRATOARE","")</f>
        <v/>
      </c>
      <c r="U1886">
        <f>IF([@motiv_anomalie]="","OK","DE INVESTIGAT")</f>
        <v/>
      </c>
      <c r="V1886">
        <f>TEXTJOIN("; ",TRUE,[@flag_oras],[@flag_tva],[@flag_scadenta],[@flag_zi])</f>
        <v/>
      </c>
    </row>
    <row r="1887">
      <c r="A1887" t="inlineStr">
        <is>
          <t>F-2025-01886</t>
        </is>
      </c>
      <c r="B1887" s="12" t="n">
        <v>46155</v>
      </c>
      <c r="C1887" t="inlineStr">
        <is>
          <t>SC DACTECH SOLUTIONS SRL</t>
        </is>
      </c>
      <c r="D1887" t="inlineStr">
        <is>
          <t>Argeș</t>
        </is>
      </c>
      <c r="E1887" t="inlineStr">
        <is>
          <t>PRD-001</t>
        </is>
      </c>
      <c r="F1887" t="inlineStr">
        <is>
          <t>Switch gigabit 24p</t>
        </is>
      </c>
      <c r="G1887" t="inlineStr">
        <is>
          <t>Hardware IT</t>
        </is>
      </c>
      <c r="H1887" t="n">
        <v>5</v>
      </c>
      <c r="I1887" t="n">
        <v>2405.64</v>
      </c>
      <c r="J1887" t="n">
        <v>12028.2</v>
      </c>
      <c r="K1887" s="13" t="n">
        <v>0.19</v>
      </c>
      <c r="L1887" t="n">
        <v>2285.36</v>
      </c>
      <c r="M1887" t="n">
        <v>14313.56</v>
      </c>
      <c r="N1887" t="inlineStr">
        <is>
          <t>RON</t>
        </is>
      </c>
      <c r="O1887" t="inlineStr">
        <is>
          <t>Pitești</t>
        </is>
      </c>
      <c r="P1887" s="12" t="n">
        <v>46185</v>
      </c>
      <c r="Q1887">
        <f>IF(COUNTIF(tbl_Localitati[oras_oficial],[@oras])=0,"ORAS NEALINIAT",IF(XLOOKUP([@oras],tbl_Localitati[oras_oficial],tbl_Localitati[judet],"?")&lt;&gt;[@judet],"JUDET NECORESPUNZATOR",""))</f>
        <v/>
      </c>
      <c r="R1887">
        <f>IF(XLOOKUP([@categorie],tbl_RegulriTVA[categorie],tbl_RegulriTVA[cota_legala],-1)&lt;&gt;[@cota_tva],"TVA GRESIT","")</f>
        <v/>
      </c>
      <c r="S1887">
        <f>IF([@data_scadentei]&lt;[@data_factura],"SCADENTA INAINTEA FACTURII","")</f>
        <v/>
      </c>
      <c r="T1887">
        <f>IF(NETWORKDAYS.INTL([@data_factura],[@data_factura],1,tbl_SarbatoriLegale[data])=0,"ZI NELUCRATOARE","")</f>
        <v/>
      </c>
      <c r="U1887">
        <f>IF([@motiv_anomalie]="","OK","DE INVESTIGAT")</f>
        <v/>
      </c>
      <c r="V1887">
        <f>TEXTJOIN("; ",TRUE,[@flag_oras],[@flag_tva],[@flag_scadenta],[@flag_zi])</f>
        <v/>
      </c>
    </row>
    <row r="1888">
      <c r="A1888" t="inlineStr">
        <is>
          <t>F-2025-01887</t>
        </is>
      </c>
      <c r="B1888" s="12" t="n">
        <v>46315</v>
      </c>
      <c r="C1888" t="inlineStr">
        <is>
          <t>SC FARMAVITAL DISTRIBUTIE SA</t>
        </is>
      </c>
      <c r="D1888" t="inlineStr">
        <is>
          <t>Bihor</t>
        </is>
      </c>
      <c r="E1888" t="inlineStr">
        <is>
          <t>PRD-011</t>
        </is>
      </c>
      <c r="F1888" t="inlineStr">
        <is>
          <t>Videoproiector sala</t>
        </is>
      </c>
      <c r="G1888" t="inlineStr">
        <is>
          <t>Echipamente birou</t>
        </is>
      </c>
      <c r="H1888" t="n">
        <v>50</v>
      </c>
      <c r="I1888" t="n">
        <v>46.93</v>
      </c>
      <c r="J1888" t="n">
        <v>2346.5</v>
      </c>
      <c r="K1888" s="13" t="n">
        <v>0.19</v>
      </c>
      <c r="L1888" t="n">
        <v>445.83</v>
      </c>
      <c r="M1888" t="n">
        <v>2792.33</v>
      </c>
      <c r="N1888" t="inlineStr">
        <is>
          <t>RON</t>
        </is>
      </c>
      <c r="O1888" t="inlineStr">
        <is>
          <t>Oradea</t>
        </is>
      </c>
      <c r="P1888" s="12" t="n">
        <v>46345</v>
      </c>
      <c r="Q1888">
        <f>IF(COUNTIF(tbl_Localitati[oras_oficial],[@oras])=0,"ORAS NEALINIAT",IF(XLOOKUP([@oras],tbl_Localitati[oras_oficial],tbl_Localitati[judet],"?")&lt;&gt;[@judet],"JUDET NECORESPUNZATOR",""))</f>
        <v/>
      </c>
      <c r="R1888">
        <f>IF(XLOOKUP([@categorie],tbl_RegulriTVA[categorie],tbl_RegulriTVA[cota_legala],-1)&lt;&gt;[@cota_tva],"TVA GRESIT","")</f>
        <v/>
      </c>
      <c r="S1888">
        <f>IF([@data_scadentei]&lt;[@data_factura],"SCADENTA INAINTEA FACTURII","")</f>
        <v/>
      </c>
      <c r="T1888">
        <f>IF(NETWORKDAYS.INTL([@data_factura],[@data_factura],1,tbl_SarbatoriLegale[data])=0,"ZI NELUCRATOARE","")</f>
        <v/>
      </c>
      <c r="U1888">
        <f>IF([@motiv_anomalie]="","OK","DE INVESTIGAT")</f>
        <v/>
      </c>
      <c r="V1888">
        <f>TEXTJOIN("; ",TRUE,[@flag_oras],[@flag_tva],[@flag_scadenta],[@flag_zi])</f>
        <v/>
      </c>
    </row>
    <row r="1889">
      <c r="A1889" t="inlineStr">
        <is>
          <t>F-2025-01888</t>
        </is>
      </c>
      <c r="B1889" s="12" t="n">
        <v>46282</v>
      </c>
      <c r="C1889" t="inlineStr">
        <is>
          <t>SC RAPID LOGISTIC SA</t>
        </is>
      </c>
      <c r="D1889" t="inlineStr">
        <is>
          <t>Prahova</t>
        </is>
      </c>
      <c r="E1889" t="inlineStr">
        <is>
          <t>PRD-002</t>
        </is>
      </c>
      <c r="F1889" t="inlineStr">
        <is>
          <t>Audit infrastructura</t>
        </is>
      </c>
      <c r="G1889" t="inlineStr">
        <is>
          <t>Servicii consultanță</t>
        </is>
      </c>
      <c r="H1889" t="n">
        <v>1</v>
      </c>
      <c r="I1889" t="n">
        <v>1066.01</v>
      </c>
      <c r="J1889" t="n">
        <v>1066.01</v>
      </c>
      <c r="K1889" s="13" t="n">
        <v>0.19</v>
      </c>
      <c r="L1889" t="n">
        <v>202.54</v>
      </c>
      <c r="M1889" t="n">
        <v>1268.55</v>
      </c>
      <c r="N1889" t="inlineStr">
        <is>
          <t>RON</t>
        </is>
      </c>
      <c r="O1889" t="inlineStr">
        <is>
          <t>Ploiești</t>
        </is>
      </c>
      <c r="P1889" s="12" t="n">
        <v>46312</v>
      </c>
      <c r="Q1889">
        <f>IF(COUNTIF(tbl_Localitati[oras_oficial],[@oras])=0,"ORAS NEALINIAT",IF(XLOOKUP([@oras],tbl_Localitati[oras_oficial],tbl_Localitati[judet],"?")&lt;&gt;[@judet],"JUDET NECORESPUNZATOR",""))</f>
        <v/>
      </c>
      <c r="R1889">
        <f>IF(XLOOKUP([@categorie],tbl_RegulriTVA[categorie],tbl_RegulriTVA[cota_legala],-1)&lt;&gt;[@cota_tva],"TVA GRESIT","")</f>
        <v/>
      </c>
      <c r="S1889">
        <f>IF([@data_scadentei]&lt;[@data_factura],"SCADENTA INAINTEA FACTURII","")</f>
        <v/>
      </c>
      <c r="T1889">
        <f>IF(NETWORKDAYS.INTL([@data_factura],[@data_factura],1,tbl_SarbatoriLegale[data])=0,"ZI NELUCRATOARE","")</f>
        <v/>
      </c>
      <c r="U1889">
        <f>IF([@motiv_anomalie]="","OK","DE INVESTIGAT")</f>
        <v/>
      </c>
      <c r="V1889">
        <f>TEXTJOIN("; ",TRUE,[@flag_oras],[@flag_tva],[@flag_scadenta],[@flag_zi])</f>
        <v/>
      </c>
    </row>
    <row r="1890">
      <c r="A1890" t="inlineStr">
        <is>
          <t>F-2025-01889</t>
        </is>
      </c>
      <c r="B1890" s="12" t="n">
        <v>46274</v>
      </c>
      <c r="C1890" t="inlineStr">
        <is>
          <t>SC INTEGROMED SA</t>
        </is>
      </c>
      <c r="D1890" t="inlineStr">
        <is>
          <t>Cluj</t>
        </is>
      </c>
      <c r="E1890" t="inlineStr">
        <is>
          <t>PRD-006</t>
        </is>
      </c>
      <c r="F1890" t="inlineStr">
        <is>
          <t>Ceai cutie 100buc</t>
        </is>
      </c>
      <c r="G1890" t="inlineStr">
        <is>
          <t>Alimente</t>
        </is>
      </c>
      <c r="H1890" t="n">
        <v>25</v>
      </c>
      <c r="I1890" t="n">
        <v>722.29</v>
      </c>
      <c r="J1890" t="n">
        <v>18057.25</v>
      </c>
      <c r="K1890" s="13" t="n">
        <v>0.09</v>
      </c>
      <c r="L1890" t="n">
        <v>1625.15</v>
      </c>
      <c r="M1890" t="n">
        <v>19682.4</v>
      </c>
      <c r="N1890" t="inlineStr">
        <is>
          <t>RON</t>
        </is>
      </c>
      <c r="O1890" t="inlineStr">
        <is>
          <t>Cluj-Napoca</t>
        </is>
      </c>
      <c r="P1890" s="12" t="n">
        <v>46289</v>
      </c>
      <c r="Q1890">
        <f>IF(COUNTIF(tbl_Localitati[oras_oficial],[@oras])=0,"ORAS NEALINIAT",IF(XLOOKUP([@oras],tbl_Localitati[oras_oficial],tbl_Localitati[judet],"?")&lt;&gt;[@judet],"JUDET NECORESPUNZATOR",""))</f>
        <v/>
      </c>
      <c r="R1890">
        <f>IF(XLOOKUP([@categorie],tbl_RegulriTVA[categorie],tbl_RegulriTVA[cota_legala],-1)&lt;&gt;[@cota_tva],"TVA GRESIT","")</f>
        <v/>
      </c>
      <c r="S1890">
        <f>IF([@data_scadentei]&lt;[@data_factura],"SCADENTA INAINTEA FACTURII","")</f>
        <v/>
      </c>
      <c r="T1890">
        <f>IF(NETWORKDAYS.INTL([@data_factura],[@data_factura],1,tbl_SarbatoriLegale[data])=0,"ZI NELUCRATOARE","")</f>
        <v/>
      </c>
      <c r="U1890">
        <f>IF([@motiv_anomalie]="","OK","DE INVESTIGAT")</f>
        <v/>
      </c>
      <c r="V1890">
        <f>TEXTJOIN("; ",TRUE,[@flag_oras],[@flag_tva],[@flag_scadenta],[@flag_zi])</f>
        <v/>
      </c>
    </row>
    <row r="1891">
      <c r="A1891" t="inlineStr">
        <is>
          <t>F-2025-01890</t>
        </is>
      </c>
      <c r="B1891" s="12" t="n">
        <v>46246</v>
      </c>
      <c r="C1891" t="inlineStr">
        <is>
          <t>SC OMEGA SOFT SRL</t>
        </is>
      </c>
      <c r="D1891" t="inlineStr">
        <is>
          <t>Dolj</t>
        </is>
      </c>
      <c r="E1891" t="inlineStr">
        <is>
          <t>PRD-008</t>
        </is>
      </c>
      <c r="F1891" t="inlineStr">
        <is>
          <t>Server rack 1U</t>
        </is>
      </c>
      <c r="G1891" t="inlineStr">
        <is>
          <t>Hardware IT</t>
        </is>
      </c>
      <c r="H1891" t="n">
        <v>25</v>
      </c>
      <c r="I1891" t="n">
        <v>432.49</v>
      </c>
      <c r="J1891" t="n">
        <v>10812.25</v>
      </c>
      <c r="K1891" s="13" t="n">
        <v>0.19</v>
      </c>
      <c r="L1891" t="n">
        <v>2054.33</v>
      </c>
      <c r="M1891" t="n">
        <v>12866.58</v>
      </c>
      <c r="N1891" t="inlineStr">
        <is>
          <t>EUR</t>
        </is>
      </c>
      <c r="O1891" t="inlineStr">
        <is>
          <t>Craiova</t>
        </is>
      </c>
      <c r="P1891" s="12" t="n">
        <v>46291</v>
      </c>
      <c r="Q1891">
        <f>IF(COUNTIF(tbl_Localitati[oras_oficial],[@oras])=0,"ORAS NEALINIAT",IF(XLOOKUP([@oras],tbl_Localitati[oras_oficial],tbl_Localitati[judet],"?")&lt;&gt;[@judet],"JUDET NECORESPUNZATOR",""))</f>
        <v/>
      </c>
      <c r="R1891">
        <f>IF(XLOOKUP([@categorie],tbl_RegulriTVA[categorie],tbl_RegulriTVA[cota_legala],-1)&lt;&gt;[@cota_tva],"TVA GRESIT","")</f>
        <v/>
      </c>
      <c r="S1891">
        <f>IF([@data_scadentei]&lt;[@data_factura],"SCADENTA INAINTEA FACTURII","")</f>
        <v/>
      </c>
      <c r="T1891">
        <f>IF(NETWORKDAYS.INTL([@data_factura],[@data_factura],1,tbl_SarbatoriLegale[data])=0,"ZI NELUCRATOARE","")</f>
        <v/>
      </c>
      <c r="U1891">
        <f>IF([@motiv_anomalie]="","OK","DE INVESTIGAT")</f>
        <v/>
      </c>
      <c r="V1891">
        <f>TEXTJOIN("; ",TRUE,[@flag_oras],[@flag_tva],[@flag_scadenta],[@flag_zi])</f>
        <v/>
      </c>
    </row>
    <row r="1892">
      <c r="A1892" t="inlineStr">
        <is>
          <t>F-2025-01891</t>
        </is>
      </c>
      <c r="B1892" s="12" t="n">
        <v>46233</v>
      </c>
      <c r="C1892" t="inlineStr">
        <is>
          <t>SC INTEGROMED SA</t>
        </is>
      </c>
      <c r="D1892" t="inlineStr">
        <is>
          <t>Cluj</t>
        </is>
      </c>
      <c r="E1892" t="inlineStr">
        <is>
          <t>PRD-012</t>
        </is>
      </c>
      <c r="F1892" t="inlineStr">
        <is>
          <t>Abonament suita cloud</t>
        </is>
      </c>
      <c r="G1892" t="inlineStr">
        <is>
          <t>Licențe software</t>
        </is>
      </c>
      <c r="H1892" t="n">
        <v>1</v>
      </c>
      <c r="I1892" t="n">
        <v>179.05</v>
      </c>
      <c r="J1892" t="n">
        <v>179.05</v>
      </c>
      <c r="K1892" s="13" t="n">
        <v>0.19</v>
      </c>
      <c r="L1892" t="n">
        <v>34.02</v>
      </c>
      <c r="M1892" t="n">
        <v>213.07</v>
      </c>
      <c r="N1892" t="inlineStr">
        <is>
          <t>RON</t>
        </is>
      </c>
      <c r="O1892" t="inlineStr">
        <is>
          <t>Cluj-Napoca</t>
        </is>
      </c>
      <c r="P1892" s="12" t="n">
        <v>46248</v>
      </c>
      <c r="Q1892">
        <f>IF(COUNTIF(tbl_Localitati[oras_oficial],[@oras])=0,"ORAS NEALINIAT",IF(XLOOKUP([@oras],tbl_Localitati[oras_oficial],tbl_Localitati[judet],"?")&lt;&gt;[@judet],"JUDET NECORESPUNZATOR",""))</f>
        <v/>
      </c>
      <c r="R1892">
        <f>IF(XLOOKUP([@categorie],tbl_RegulriTVA[categorie],tbl_RegulriTVA[cota_legala],-1)&lt;&gt;[@cota_tva],"TVA GRESIT","")</f>
        <v/>
      </c>
      <c r="S1892">
        <f>IF([@data_scadentei]&lt;[@data_factura],"SCADENTA INAINTEA FACTURII","")</f>
        <v/>
      </c>
      <c r="T1892">
        <f>IF(NETWORKDAYS.INTL([@data_factura],[@data_factura],1,tbl_SarbatoriLegale[data])=0,"ZI NELUCRATOARE","")</f>
        <v/>
      </c>
      <c r="U1892">
        <f>IF([@motiv_anomalie]="","OK","DE INVESTIGAT")</f>
        <v/>
      </c>
      <c r="V1892">
        <f>TEXTJOIN("; ",TRUE,[@flag_oras],[@flag_tva],[@flag_scadenta],[@flag_zi])</f>
        <v/>
      </c>
    </row>
    <row r="1893">
      <c r="A1893" t="inlineStr">
        <is>
          <t>F-2025-01892</t>
        </is>
      </c>
      <c r="B1893" s="12" t="n">
        <v>46141</v>
      </c>
      <c r="C1893" t="inlineStr">
        <is>
          <t>SC METALPLAST INVEST SA</t>
        </is>
      </c>
      <c r="D1893" t="inlineStr">
        <is>
          <t>Cluj</t>
        </is>
      </c>
      <c r="E1893" t="inlineStr">
        <is>
          <t>PRD-004</t>
        </is>
      </c>
      <c r="F1893" t="inlineStr">
        <is>
          <t>Laptop business 15"</t>
        </is>
      </c>
      <c r="G1893" t="inlineStr">
        <is>
          <t>Hardware IT</t>
        </is>
      </c>
      <c r="H1893" t="n">
        <v>3</v>
      </c>
      <c r="I1893" t="n">
        <v>915.3200000000001</v>
      </c>
      <c r="J1893" t="n">
        <v>2745.96</v>
      </c>
      <c r="K1893" s="13" t="n">
        <v>0.19</v>
      </c>
      <c r="L1893" t="n">
        <v>521.73</v>
      </c>
      <c r="M1893" t="n">
        <v>3267.69</v>
      </c>
      <c r="N1893" t="inlineStr">
        <is>
          <t>RON</t>
        </is>
      </c>
      <c r="O1893" t="inlineStr">
        <is>
          <t>Turda</t>
        </is>
      </c>
      <c r="P1893" s="12" t="n">
        <v>46171</v>
      </c>
      <c r="Q1893">
        <f>IF(COUNTIF(tbl_Localitati[oras_oficial],[@oras])=0,"ORAS NEALINIAT",IF(XLOOKUP([@oras],tbl_Localitati[oras_oficial],tbl_Localitati[judet],"?")&lt;&gt;[@judet],"JUDET NECORESPUNZATOR",""))</f>
        <v/>
      </c>
      <c r="R1893">
        <f>IF(XLOOKUP([@categorie],tbl_RegulriTVA[categorie],tbl_RegulriTVA[cota_legala],-1)&lt;&gt;[@cota_tva],"TVA GRESIT","")</f>
        <v/>
      </c>
      <c r="S1893">
        <f>IF([@data_scadentei]&lt;[@data_factura],"SCADENTA INAINTEA FACTURII","")</f>
        <v/>
      </c>
      <c r="T1893">
        <f>IF(NETWORKDAYS.INTL([@data_factura],[@data_factura],1,tbl_SarbatoriLegale[data])=0,"ZI NELUCRATOARE","")</f>
        <v/>
      </c>
      <c r="U1893">
        <f>IF([@motiv_anomalie]="","OK","DE INVESTIGAT")</f>
        <v/>
      </c>
      <c r="V1893">
        <f>TEXTJOIN("; ",TRUE,[@flag_oras],[@flag_tva],[@flag_scadenta],[@flag_zi])</f>
        <v/>
      </c>
    </row>
    <row r="1894">
      <c r="A1894" t="inlineStr">
        <is>
          <t>F-2025-01893</t>
        </is>
      </c>
      <c r="B1894" s="12" t="n">
        <v>46066</v>
      </c>
      <c r="C1894" t="inlineStr">
        <is>
          <t>SC AROMET TRADING SRL</t>
        </is>
      </c>
      <c r="D1894" t="inlineStr">
        <is>
          <t>Alba</t>
        </is>
      </c>
      <c r="E1894" t="inlineStr">
        <is>
          <t>PRD-011</t>
        </is>
      </c>
      <c r="F1894" t="inlineStr">
        <is>
          <t>Training utilizatori</t>
        </is>
      </c>
      <c r="G1894" t="inlineStr">
        <is>
          <t>Servicii consultanță</t>
        </is>
      </c>
      <c r="H1894" t="n">
        <v>5</v>
      </c>
      <c r="I1894" t="n">
        <v>45.83</v>
      </c>
      <c r="J1894" t="n">
        <v>229.15</v>
      </c>
      <c r="K1894" s="13" t="n">
        <v>0.19</v>
      </c>
      <c r="L1894" t="n">
        <v>43.54</v>
      </c>
      <c r="M1894" t="n">
        <v>272.69</v>
      </c>
      <c r="N1894" t="inlineStr">
        <is>
          <t>RON</t>
        </is>
      </c>
      <c r="O1894" t="inlineStr">
        <is>
          <t>Alba Iulia</t>
        </is>
      </c>
      <c r="P1894" s="12" t="n">
        <v>46126</v>
      </c>
      <c r="Q1894">
        <f>IF(COUNTIF(tbl_Localitati[oras_oficial],[@oras])=0,"ORAS NEALINIAT",IF(XLOOKUP([@oras],tbl_Localitati[oras_oficial],tbl_Localitati[judet],"?")&lt;&gt;[@judet],"JUDET NECORESPUNZATOR",""))</f>
        <v/>
      </c>
      <c r="R1894">
        <f>IF(XLOOKUP([@categorie],tbl_RegulriTVA[categorie],tbl_RegulriTVA[cota_legala],-1)&lt;&gt;[@cota_tva],"TVA GRESIT","")</f>
        <v/>
      </c>
      <c r="S1894">
        <f>IF([@data_scadentei]&lt;[@data_factura],"SCADENTA INAINTEA FACTURII","")</f>
        <v/>
      </c>
      <c r="T1894">
        <f>IF(NETWORKDAYS.INTL([@data_factura],[@data_factura],1,tbl_SarbatoriLegale[data])=0,"ZI NELUCRATOARE","")</f>
        <v/>
      </c>
      <c r="U1894">
        <f>IF([@motiv_anomalie]="","OK","DE INVESTIGAT")</f>
        <v/>
      </c>
      <c r="V1894">
        <f>TEXTJOIN("; ",TRUE,[@flag_oras],[@flag_tva],[@flag_scadenta],[@flag_zi])</f>
        <v/>
      </c>
    </row>
    <row r="1895">
      <c r="A1895" t="inlineStr">
        <is>
          <t>F-2025-01894</t>
        </is>
      </c>
      <c r="B1895" s="12" t="n">
        <v>46211</v>
      </c>
      <c r="C1895" t="inlineStr">
        <is>
          <t>SC NORDIS DISTRIBUTIE SRL</t>
        </is>
      </c>
      <c r="D1895" t="inlineStr">
        <is>
          <t>Constanța</t>
        </is>
      </c>
      <c r="E1895" t="inlineStr">
        <is>
          <t>PRD-009</t>
        </is>
      </c>
      <c r="F1895" t="inlineStr">
        <is>
          <t>Licenta Office 365 anuala</t>
        </is>
      </c>
      <c r="G1895" t="inlineStr">
        <is>
          <t>Licențe software</t>
        </is>
      </c>
      <c r="H1895" t="n">
        <v>20</v>
      </c>
      <c r="I1895" t="n">
        <v>29.01</v>
      </c>
      <c r="J1895" t="n">
        <v>580.2</v>
      </c>
      <c r="K1895" s="13" t="n">
        <v>0.19</v>
      </c>
      <c r="L1895" t="n">
        <v>110.24</v>
      </c>
      <c r="M1895" t="n">
        <v>690.4400000000001</v>
      </c>
      <c r="N1895" t="inlineStr">
        <is>
          <t>RON</t>
        </is>
      </c>
      <c r="O1895" t="inlineStr">
        <is>
          <t>Mangalia</t>
        </is>
      </c>
      <c r="P1895" s="12" t="n">
        <v>46271</v>
      </c>
      <c r="Q1895">
        <f>IF(COUNTIF(tbl_Localitati[oras_oficial],[@oras])=0,"ORAS NEALINIAT",IF(XLOOKUP([@oras],tbl_Localitati[oras_oficial],tbl_Localitati[judet],"?")&lt;&gt;[@judet],"JUDET NECORESPUNZATOR",""))</f>
        <v/>
      </c>
      <c r="R1895">
        <f>IF(XLOOKUP([@categorie],tbl_RegulriTVA[categorie],tbl_RegulriTVA[cota_legala],-1)&lt;&gt;[@cota_tva],"TVA GRESIT","")</f>
        <v/>
      </c>
      <c r="S1895">
        <f>IF([@data_scadentei]&lt;[@data_factura],"SCADENTA INAINTEA FACTURII","")</f>
        <v/>
      </c>
      <c r="T1895">
        <f>IF(NETWORKDAYS.INTL([@data_factura],[@data_factura],1,tbl_SarbatoriLegale[data])=0,"ZI NELUCRATOARE","")</f>
        <v/>
      </c>
      <c r="U1895">
        <f>IF([@motiv_anomalie]="","OK","DE INVESTIGAT")</f>
        <v/>
      </c>
      <c r="V1895">
        <f>TEXTJOIN("; ",TRUE,[@flag_oras],[@flag_tva],[@flag_scadenta],[@flag_zi])</f>
        <v/>
      </c>
    </row>
    <row r="1896">
      <c r="A1896" t="inlineStr">
        <is>
          <t>F-2025-01895</t>
        </is>
      </c>
      <c r="B1896" s="12" t="n">
        <v>46106</v>
      </c>
      <c r="C1896" t="inlineStr">
        <is>
          <t>SC INTEGROMED SA</t>
        </is>
      </c>
      <c r="D1896" t="inlineStr">
        <is>
          <t>Cluj</t>
        </is>
      </c>
      <c r="E1896" t="inlineStr">
        <is>
          <t>PRD-002</t>
        </is>
      </c>
      <c r="F1896" t="inlineStr">
        <is>
          <t>Switch gigabit 24p</t>
        </is>
      </c>
      <c r="G1896" t="inlineStr">
        <is>
          <t>Hardware IT</t>
        </is>
      </c>
      <c r="H1896" t="n">
        <v>1</v>
      </c>
      <c r="I1896" t="n">
        <v>1114.04</v>
      </c>
      <c r="J1896" t="n">
        <v>1114.04</v>
      </c>
      <c r="K1896" s="13" t="n">
        <v>0.19</v>
      </c>
      <c r="L1896" t="n">
        <v>211.67</v>
      </c>
      <c r="M1896" t="n">
        <v>1325.71</v>
      </c>
      <c r="N1896" t="inlineStr">
        <is>
          <t>RON</t>
        </is>
      </c>
      <c r="O1896" t="inlineStr">
        <is>
          <t>Cluj-Napoca</t>
        </is>
      </c>
      <c r="P1896" s="12" t="n">
        <v>46136</v>
      </c>
      <c r="Q1896">
        <f>IF(COUNTIF(tbl_Localitati[oras_oficial],[@oras])=0,"ORAS NEALINIAT",IF(XLOOKUP([@oras],tbl_Localitati[oras_oficial],tbl_Localitati[judet],"?")&lt;&gt;[@judet],"JUDET NECORESPUNZATOR",""))</f>
        <v/>
      </c>
      <c r="R1896">
        <f>IF(XLOOKUP([@categorie],tbl_RegulriTVA[categorie],tbl_RegulriTVA[cota_legala],-1)&lt;&gt;[@cota_tva],"TVA GRESIT","")</f>
        <v/>
      </c>
      <c r="S1896">
        <f>IF([@data_scadentei]&lt;[@data_factura],"SCADENTA INAINTEA FACTURII","")</f>
        <v/>
      </c>
      <c r="T1896">
        <f>IF(NETWORKDAYS.INTL([@data_factura],[@data_factura],1,tbl_SarbatoriLegale[data])=0,"ZI NELUCRATOARE","")</f>
        <v/>
      </c>
      <c r="U1896">
        <f>IF([@motiv_anomalie]="","OK","DE INVESTIGAT")</f>
        <v/>
      </c>
      <c r="V1896">
        <f>TEXTJOIN("; ",TRUE,[@flag_oras],[@flag_tva],[@flag_scadenta],[@flag_zi])</f>
        <v/>
      </c>
    </row>
    <row r="1897">
      <c r="A1897" t="inlineStr">
        <is>
          <t>F-2025-01896</t>
        </is>
      </c>
      <c r="B1897" s="12" t="n">
        <v>46261</v>
      </c>
      <c r="C1897" t="inlineStr">
        <is>
          <t>SC RAPID LOGISTIC SA</t>
        </is>
      </c>
      <c r="D1897" t="inlineStr">
        <is>
          <t>Prahova</t>
        </is>
      </c>
      <c r="E1897" t="inlineStr">
        <is>
          <t>PRD-011</t>
        </is>
      </c>
      <c r="F1897" t="inlineStr">
        <is>
          <t>Carte tehnica IT</t>
        </is>
      </c>
      <c r="G1897" t="inlineStr">
        <is>
          <t>Cărți și manuale</t>
        </is>
      </c>
      <c r="H1897" t="n">
        <v>10</v>
      </c>
      <c r="I1897" t="n">
        <v>43.05</v>
      </c>
      <c r="J1897" t="n">
        <v>430.5</v>
      </c>
      <c r="K1897" s="13" t="n">
        <v>0.05</v>
      </c>
      <c r="L1897" t="n">
        <v>21.53</v>
      </c>
      <c r="M1897" t="n">
        <v>452.03</v>
      </c>
      <c r="N1897" t="inlineStr">
        <is>
          <t>RON</t>
        </is>
      </c>
      <c r="O1897" t="inlineStr">
        <is>
          <t>Ploiești</t>
        </is>
      </c>
      <c r="P1897" s="12" t="n">
        <v>46276</v>
      </c>
      <c r="Q1897">
        <f>IF(COUNTIF(tbl_Localitati[oras_oficial],[@oras])=0,"ORAS NEALINIAT",IF(XLOOKUP([@oras],tbl_Localitati[oras_oficial],tbl_Localitati[judet],"?")&lt;&gt;[@judet],"JUDET NECORESPUNZATOR",""))</f>
        <v/>
      </c>
      <c r="R1897">
        <f>IF(XLOOKUP([@categorie],tbl_RegulriTVA[categorie],tbl_RegulriTVA[cota_legala],-1)&lt;&gt;[@cota_tva],"TVA GRESIT","")</f>
        <v/>
      </c>
      <c r="S1897">
        <f>IF([@data_scadentei]&lt;[@data_factura],"SCADENTA INAINTEA FACTURII","")</f>
        <v/>
      </c>
      <c r="T1897">
        <f>IF(NETWORKDAYS.INTL([@data_factura],[@data_factura],1,tbl_SarbatoriLegale[data])=0,"ZI NELUCRATOARE","")</f>
        <v/>
      </c>
      <c r="U1897">
        <f>IF([@motiv_anomalie]="","OK","DE INVESTIGAT")</f>
        <v/>
      </c>
      <c r="V1897">
        <f>TEXTJOIN("; ",TRUE,[@flag_oras],[@flag_tva],[@flag_scadenta],[@flag_zi])</f>
        <v/>
      </c>
    </row>
    <row r="1898">
      <c r="A1898" t="inlineStr">
        <is>
          <t>F-2025-01897</t>
        </is>
      </c>
      <c r="B1898" s="12" t="n">
        <v>46083</v>
      </c>
      <c r="C1898" t="inlineStr">
        <is>
          <t>SC ELECTROBUILD SRL</t>
        </is>
      </c>
      <c r="D1898" t="inlineStr">
        <is>
          <t>Bacău</t>
        </is>
      </c>
      <c r="E1898" t="inlineStr">
        <is>
          <t>PRD-004</t>
        </is>
      </c>
      <c r="F1898" t="inlineStr">
        <is>
          <t>Pachet protocol sedinte</t>
        </is>
      </c>
      <c r="G1898" t="inlineStr">
        <is>
          <t>Alimente</t>
        </is>
      </c>
      <c r="H1898" t="n">
        <v>3</v>
      </c>
      <c r="I1898" t="n">
        <v>940.39</v>
      </c>
      <c r="J1898" t="n">
        <v>2821.17</v>
      </c>
      <c r="K1898" s="13" t="n">
        <v>0.09</v>
      </c>
      <c r="L1898" t="n">
        <v>253.91</v>
      </c>
      <c r="M1898" t="n">
        <v>3075.08</v>
      </c>
      <c r="N1898" t="inlineStr">
        <is>
          <t>RON</t>
        </is>
      </c>
      <c r="O1898" t="inlineStr">
        <is>
          <t>Bacău</t>
        </is>
      </c>
      <c r="P1898" s="12" t="n">
        <v>46113</v>
      </c>
      <c r="Q1898">
        <f>IF(COUNTIF(tbl_Localitati[oras_oficial],[@oras])=0,"ORAS NEALINIAT",IF(XLOOKUP([@oras],tbl_Localitati[oras_oficial],tbl_Localitati[judet],"?")&lt;&gt;[@judet],"JUDET NECORESPUNZATOR",""))</f>
        <v/>
      </c>
      <c r="R1898">
        <f>IF(XLOOKUP([@categorie],tbl_RegulriTVA[categorie],tbl_RegulriTVA[cota_legala],-1)&lt;&gt;[@cota_tva],"TVA GRESIT","")</f>
        <v/>
      </c>
      <c r="S1898">
        <f>IF([@data_scadentei]&lt;[@data_factura],"SCADENTA INAINTEA FACTURII","")</f>
        <v/>
      </c>
      <c r="T1898">
        <f>IF(NETWORKDAYS.INTL([@data_factura],[@data_factura],1,tbl_SarbatoriLegale[data])=0,"ZI NELUCRATOARE","")</f>
        <v/>
      </c>
      <c r="U1898">
        <f>IF([@motiv_anomalie]="","OK","DE INVESTIGAT")</f>
        <v/>
      </c>
      <c r="V1898">
        <f>TEXTJOIN("; ",TRUE,[@flag_oras],[@flag_tva],[@flag_scadenta],[@flag_zi])</f>
        <v/>
      </c>
    </row>
    <row r="1899">
      <c r="A1899" t="inlineStr">
        <is>
          <t>F-2025-01898</t>
        </is>
      </c>
      <c r="B1899" s="12" t="n">
        <v>46254</v>
      </c>
      <c r="C1899" t="inlineStr">
        <is>
          <t>SC INTEGROMED SA</t>
        </is>
      </c>
      <c r="D1899" t="inlineStr">
        <is>
          <t>Cluj</t>
        </is>
      </c>
      <c r="E1899" t="inlineStr">
        <is>
          <t>PRD-001</t>
        </is>
      </c>
      <c r="F1899" t="inlineStr">
        <is>
          <t>Telefon IP birou</t>
        </is>
      </c>
      <c r="G1899" t="inlineStr">
        <is>
          <t>Echipamente birou</t>
        </is>
      </c>
      <c r="H1899" t="n">
        <v>1</v>
      </c>
      <c r="I1899" t="n">
        <v>2318.06</v>
      </c>
      <c r="J1899" t="n">
        <v>2318.06</v>
      </c>
      <c r="K1899" s="13" t="n">
        <v>0.05</v>
      </c>
      <c r="L1899" t="n">
        <v>115.9</v>
      </c>
      <c r="M1899" t="n">
        <v>2433.96</v>
      </c>
      <c r="N1899" t="inlineStr">
        <is>
          <t>RON</t>
        </is>
      </c>
      <c r="O1899" t="inlineStr">
        <is>
          <t>Cluj-Napoca</t>
        </is>
      </c>
      <c r="P1899" s="12" t="n">
        <v>46299</v>
      </c>
      <c r="Q1899">
        <f>IF(COUNTIF(tbl_Localitati[oras_oficial],[@oras])=0,"ORAS NEALINIAT",IF(XLOOKUP([@oras],tbl_Localitati[oras_oficial],tbl_Localitati[judet],"?")&lt;&gt;[@judet],"JUDET NECORESPUNZATOR",""))</f>
        <v/>
      </c>
      <c r="R1899">
        <f>IF(XLOOKUP([@categorie],tbl_RegulriTVA[categorie],tbl_RegulriTVA[cota_legala],-1)&lt;&gt;[@cota_tva],"TVA GRESIT","")</f>
        <v/>
      </c>
      <c r="S1899">
        <f>IF([@data_scadentei]&lt;[@data_factura],"SCADENTA INAINTEA FACTURII","")</f>
        <v/>
      </c>
      <c r="T1899">
        <f>IF(NETWORKDAYS.INTL([@data_factura],[@data_factura],1,tbl_SarbatoriLegale[data])=0,"ZI NELUCRATOARE","")</f>
        <v/>
      </c>
      <c r="U1899">
        <f>IF([@motiv_anomalie]="","OK","DE INVESTIGAT")</f>
        <v/>
      </c>
      <c r="V1899">
        <f>TEXTJOIN("; ",TRUE,[@flag_oras],[@flag_tva],[@flag_scadenta],[@flag_zi])</f>
        <v/>
      </c>
    </row>
    <row r="1900">
      <c r="A1900" t="inlineStr">
        <is>
          <t>F-2025-01899</t>
        </is>
      </c>
      <c r="B1900" s="12" t="n">
        <v>46101</v>
      </c>
      <c r="C1900" t="inlineStr">
        <is>
          <t>SC RAPID LOGISTIC SA</t>
        </is>
      </c>
      <c r="D1900" t="inlineStr">
        <is>
          <t>Prahova</t>
        </is>
      </c>
      <c r="E1900" t="inlineStr">
        <is>
          <t>PRD-009</t>
        </is>
      </c>
      <c r="F1900" t="inlineStr">
        <is>
          <t>Monitor 27" 4K</t>
        </is>
      </c>
      <c r="G1900" t="inlineStr">
        <is>
          <t>Hardware IT</t>
        </is>
      </c>
      <c r="H1900" t="n">
        <v>10</v>
      </c>
      <c r="I1900" t="n">
        <v>28.53</v>
      </c>
      <c r="J1900" t="n">
        <v>285.3</v>
      </c>
      <c r="K1900" s="13" t="n">
        <v>0.19</v>
      </c>
      <c r="L1900" t="n">
        <v>54.21</v>
      </c>
      <c r="M1900" t="n">
        <v>339.51</v>
      </c>
      <c r="N1900" t="inlineStr">
        <is>
          <t>RON</t>
        </is>
      </c>
      <c r="O1900" t="inlineStr">
        <is>
          <t>Ploiești</t>
        </is>
      </c>
      <c r="P1900" s="12" t="n">
        <v>46161</v>
      </c>
      <c r="Q1900">
        <f>IF(COUNTIF(tbl_Localitati[oras_oficial],[@oras])=0,"ORAS NEALINIAT",IF(XLOOKUP([@oras],tbl_Localitati[oras_oficial],tbl_Localitati[judet],"?")&lt;&gt;[@judet],"JUDET NECORESPUNZATOR",""))</f>
        <v/>
      </c>
      <c r="R1900">
        <f>IF(XLOOKUP([@categorie],tbl_RegulriTVA[categorie],tbl_RegulriTVA[cota_legala],-1)&lt;&gt;[@cota_tva],"TVA GRESIT","")</f>
        <v/>
      </c>
      <c r="S1900">
        <f>IF([@data_scadentei]&lt;[@data_factura],"SCADENTA INAINTEA FACTURII","")</f>
        <v/>
      </c>
      <c r="T1900">
        <f>IF(NETWORKDAYS.INTL([@data_factura],[@data_factura],1,tbl_SarbatoriLegale[data])=0,"ZI NELUCRATOARE","")</f>
        <v/>
      </c>
      <c r="U1900">
        <f>IF([@motiv_anomalie]="","OK","DE INVESTIGAT")</f>
        <v/>
      </c>
      <c r="V1900">
        <f>TEXTJOIN("; ",TRUE,[@flag_oras],[@flag_tva],[@flag_scadenta],[@flag_zi])</f>
        <v/>
      </c>
    </row>
    <row r="1901">
      <c r="A1901" t="inlineStr">
        <is>
          <t>F-2025-01900</t>
        </is>
      </c>
      <c r="B1901" s="12" t="n">
        <v>46238</v>
      </c>
      <c r="C1901" t="inlineStr">
        <is>
          <t>SC INTEGROMED SA</t>
        </is>
      </c>
      <c r="D1901" t="inlineStr">
        <is>
          <t>Cluj</t>
        </is>
      </c>
      <c r="E1901" t="inlineStr">
        <is>
          <t>PRD-010</t>
        </is>
      </c>
      <c r="F1901" t="inlineStr">
        <is>
          <t>Licenta ERP contabilitate</t>
        </is>
      </c>
      <c r="G1901" t="inlineStr">
        <is>
          <t>Licențe software</t>
        </is>
      </c>
      <c r="H1901" t="n">
        <v>5</v>
      </c>
      <c r="I1901" t="n">
        <v>337.46</v>
      </c>
      <c r="J1901" t="n">
        <v>1687.3</v>
      </c>
      <c r="K1901" s="13" t="n">
        <v>0.19</v>
      </c>
      <c r="L1901" t="n">
        <v>320.59</v>
      </c>
      <c r="M1901" t="n">
        <v>2007.89</v>
      </c>
      <c r="N1901" t="inlineStr">
        <is>
          <t>RON</t>
        </is>
      </c>
      <c r="O1901" t="inlineStr">
        <is>
          <t>Cluj-Napoca</t>
        </is>
      </c>
      <c r="P1901" s="12" t="n">
        <v>46298</v>
      </c>
      <c r="Q1901">
        <f>IF(COUNTIF(tbl_Localitati[oras_oficial],[@oras])=0,"ORAS NEALINIAT",IF(XLOOKUP([@oras],tbl_Localitati[oras_oficial],tbl_Localitati[judet],"?")&lt;&gt;[@judet],"JUDET NECORESPUNZATOR",""))</f>
        <v/>
      </c>
      <c r="R1901">
        <f>IF(XLOOKUP([@categorie],tbl_RegulriTVA[categorie],tbl_RegulriTVA[cota_legala],-1)&lt;&gt;[@cota_tva],"TVA GRESIT","")</f>
        <v/>
      </c>
      <c r="S1901">
        <f>IF([@data_scadentei]&lt;[@data_factura],"SCADENTA INAINTEA FACTURII","")</f>
        <v/>
      </c>
      <c r="T1901">
        <f>IF(NETWORKDAYS.INTL([@data_factura],[@data_factura],1,tbl_SarbatoriLegale[data])=0,"ZI NELUCRATOARE","")</f>
        <v/>
      </c>
      <c r="U1901">
        <f>IF([@motiv_anomalie]="","OK","DE INVESTIGAT")</f>
        <v/>
      </c>
      <c r="V1901">
        <f>TEXTJOIN("; ",TRUE,[@flag_oras],[@flag_tva],[@flag_scadenta],[@flag_zi])</f>
        <v/>
      </c>
    </row>
    <row r="1902">
      <c r="A1902" t="inlineStr">
        <is>
          <t>F-2025-01901</t>
        </is>
      </c>
      <c r="B1902" s="12" t="n">
        <v>46290</v>
      </c>
      <c r="C1902" t="inlineStr">
        <is>
          <t>SC AROMET TRADING SRL</t>
        </is>
      </c>
      <c r="D1902" t="inlineStr">
        <is>
          <t>Alba</t>
        </is>
      </c>
      <c r="E1902" t="inlineStr">
        <is>
          <t>PRD-007</t>
        </is>
      </c>
      <c r="F1902" t="inlineStr">
        <is>
          <t>Multifunctionala laser</t>
        </is>
      </c>
      <c r="G1902" t="inlineStr">
        <is>
          <t>Echipamente birou</t>
        </is>
      </c>
      <c r="H1902" t="n">
        <v>1</v>
      </c>
      <c r="I1902" t="n">
        <v>188.41</v>
      </c>
      <c r="J1902" t="n">
        <v>188.41</v>
      </c>
      <c r="K1902" s="13" t="n">
        <v>0.19</v>
      </c>
      <c r="L1902" t="n">
        <v>35.8</v>
      </c>
      <c r="M1902" t="n">
        <v>224.21</v>
      </c>
      <c r="N1902" t="inlineStr">
        <is>
          <t>RON</t>
        </is>
      </c>
      <c r="O1902" t="inlineStr">
        <is>
          <t>Alba Iulia</t>
        </is>
      </c>
      <c r="P1902" s="12" t="n">
        <v>46320</v>
      </c>
      <c r="Q1902">
        <f>IF(COUNTIF(tbl_Localitati[oras_oficial],[@oras])=0,"ORAS NEALINIAT",IF(XLOOKUP([@oras],tbl_Localitati[oras_oficial],tbl_Localitati[judet],"?")&lt;&gt;[@judet],"JUDET NECORESPUNZATOR",""))</f>
        <v/>
      </c>
      <c r="R1902">
        <f>IF(XLOOKUP([@categorie],tbl_RegulriTVA[categorie],tbl_RegulriTVA[cota_legala],-1)&lt;&gt;[@cota_tva],"TVA GRESIT","")</f>
        <v/>
      </c>
      <c r="S1902">
        <f>IF([@data_scadentei]&lt;[@data_factura],"SCADENTA INAINTEA FACTURII","")</f>
        <v/>
      </c>
      <c r="T1902">
        <f>IF(NETWORKDAYS.INTL([@data_factura],[@data_factura],1,tbl_SarbatoriLegale[data])=0,"ZI NELUCRATOARE","")</f>
        <v/>
      </c>
      <c r="U1902">
        <f>IF([@motiv_anomalie]="","OK","DE INVESTIGAT")</f>
        <v/>
      </c>
      <c r="V1902">
        <f>TEXTJOIN("; ",TRUE,[@flag_oras],[@flag_tva],[@flag_scadenta],[@flag_zi])</f>
        <v/>
      </c>
    </row>
    <row r="1903">
      <c r="A1903" t="inlineStr">
        <is>
          <t>F-2025-01902</t>
        </is>
      </c>
      <c r="B1903" s="12" t="n">
        <v>46031</v>
      </c>
      <c r="C1903" t="inlineStr">
        <is>
          <t>SC RAPID LOGISTIC SA</t>
        </is>
      </c>
      <c r="D1903" t="inlineStr">
        <is>
          <t>Prahova</t>
        </is>
      </c>
      <c r="E1903" t="inlineStr">
        <is>
          <t>PRD-003</t>
        </is>
      </c>
      <c r="F1903" t="inlineStr">
        <is>
          <t>Training utilizatori</t>
        </is>
      </c>
      <c r="G1903" t="inlineStr">
        <is>
          <t>Servicii consultanță</t>
        </is>
      </c>
      <c r="H1903" t="n">
        <v>10</v>
      </c>
      <c r="I1903" t="n">
        <v>4131.76</v>
      </c>
      <c r="J1903" t="n">
        <v>41317.6</v>
      </c>
      <c r="K1903" s="13" t="n">
        <v>0.19</v>
      </c>
      <c r="L1903" t="n">
        <v>7850.34</v>
      </c>
      <c r="M1903" t="n">
        <v>49167.94</v>
      </c>
      <c r="N1903" t="inlineStr">
        <is>
          <t>USD</t>
        </is>
      </c>
      <c r="O1903" t="inlineStr">
        <is>
          <t>Ploiești</t>
        </is>
      </c>
      <c r="P1903" s="12" t="n">
        <v>46076</v>
      </c>
      <c r="Q1903">
        <f>IF(COUNTIF(tbl_Localitati[oras_oficial],[@oras])=0,"ORAS NEALINIAT",IF(XLOOKUP([@oras],tbl_Localitati[oras_oficial],tbl_Localitati[judet],"?")&lt;&gt;[@judet],"JUDET NECORESPUNZATOR",""))</f>
        <v/>
      </c>
      <c r="R1903">
        <f>IF(XLOOKUP([@categorie],tbl_RegulriTVA[categorie],tbl_RegulriTVA[cota_legala],-1)&lt;&gt;[@cota_tva],"TVA GRESIT","")</f>
        <v/>
      </c>
      <c r="S1903">
        <f>IF([@data_scadentei]&lt;[@data_factura],"SCADENTA INAINTEA FACTURII","")</f>
        <v/>
      </c>
      <c r="T1903">
        <f>IF(NETWORKDAYS.INTL([@data_factura],[@data_factura],1,tbl_SarbatoriLegale[data])=0,"ZI NELUCRATOARE","")</f>
        <v/>
      </c>
      <c r="U1903">
        <f>IF([@motiv_anomalie]="","OK","DE INVESTIGAT")</f>
        <v/>
      </c>
      <c r="V1903">
        <f>TEXTJOIN("; ",TRUE,[@flag_oras],[@flag_tva],[@flag_scadenta],[@flag_zi])</f>
        <v/>
      </c>
    </row>
    <row r="1904">
      <c r="A1904" t="inlineStr">
        <is>
          <t>F-2025-01903</t>
        </is>
      </c>
      <c r="B1904" s="12" t="n">
        <v>46339</v>
      </c>
      <c r="C1904" t="inlineStr">
        <is>
          <t>SC SOLARIS ENERGY SRL</t>
        </is>
      </c>
      <c r="D1904" t="inlineStr">
        <is>
          <t>Prahova</t>
        </is>
      </c>
      <c r="E1904" t="inlineStr">
        <is>
          <t>PRD-010</t>
        </is>
      </c>
      <c r="F1904" t="inlineStr">
        <is>
          <t>Laptop business 15"</t>
        </is>
      </c>
      <c r="G1904" t="inlineStr">
        <is>
          <t>Hardware IT</t>
        </is>
      </c>
      <c r="H1904" t="n">
        <v>5</v>
      </c>
      <c r="I1904" t="n">
        <v>332.97</v>
      </c>
      <c r="J1904" t="n">
        <v>1664.85</v>
      </c>
      <c r="K1904" s="13" t="n">
        <v>0.19</v>
      </c>
      <c r="L1904" t="n">
        <v>316.32</v>
      </c>
      <c r="M1904" t="n">
        <v>1981.17</v>
      </c>
      <c r="N1904" t="inlineStr">
        <is>
          <t>RON</t>
        </is>
      </c>
      <c r="O1904" t="inlineStr">
        <is>
          <t>Câmpina</t>
        </is>
      </c>
      <c r="P1904" s="12" t="n">
        <v>46369</v>
      </c>
      <c r="Q1904">
        <f>IF(COUNTIF(tbl_Localitati[oras_oficial],[@oras])=0,"ORAS NEALINIAT",IF(XLOOKUP([@oras],tbl_Localitati[oras_oficial],tbl_Localitati[judet],"?")&lt;&gt;[@judet],"JUDET NECORESPUNZATOR",""))</f>
        <v/>
      </c>
      <c r="R1904">
        <f>IF(XLOOKUP([@categorie],tbl_RegulriTVA[categorie],tbl_RegulriTVA[cota_legala],-1)&lt;&gt;[@cota_tva],"TVA GRESIT","")</f>
        <v/>
      </c>
      <c r="S1904">
        <f>IF([@data_scadentei]&lt;[@data_factura],"SCADENTA INAINTEA FACTURII","")</f>
        <v/>
      </c>
      <c r="T1904">
        <f>IF(NETWORKDAYS.INTL([@data_factura],[@data_factura],1,tbl_SarbatoriLegale[data])=0,"ZI NELUCRATOARE","")</f>
        <v/>
      </c>
      <c r="U1904">
        <f>IF([@motiv_anomalie]="","OK","DE INVESTIGAT")</f>
        <v/>
      </c>
      <c r="V1904">
        <f>TEXTJOIN("; ",TRUE,[@flag_oras],[@flag_tva],[@flag_scadenta],[@flag_zi])</f>
        <v/>
      </c>
    </row>
    <row r="1905">
      <c r="A1905" t="inlineStr">
        <is>
          <t>F-2025-01904</t>
        </is>
      </c>
      <c r="B1905" s="12" t="n">
        <v>46359</v>
      </c>
      <c r="C1905" t="inlineStr">
        <is>
          <t>SC VECTOR CONSULT SRL</t>
        </is>
      </c>
      <c r="D1905" t="inlineStr">
        <is>
          <t>Timiș</t>
        </is>
      </c>
      <c r="E1905" t="inlineStr">
        <is>
          <t>PRD-011</t>
        </is>
      </c>
      <c r="F1905" t="inlineStr">
        <is>
          <t>Licenta Office 365 anuala</t>
        </is>
      </c>
      <c r="G1905" t="inlineStr">
        <is>
          <t>Licențe software</t>
        </is>
      </c>
      <c r="H1905" t="n">
        <v>20</v>
      </c>
      <c r="I1905" t="n">
        <v>46.81</v>
      </c>
      <c r="J1905" t="n">
        <v>936.2</v>
      </c>
      <c r="K1905" s="13" t="n">
        <v>0.19</v>
      </c>
      <c r="L1905" t="n">
        <v>177.88</v>
      </c>
      <c r="M1905" t="n">
        <v>1114.08</v>
      </c>
      <c r="N1905" t="inlineStr">
        <is>
          <t>RON</t>
        </is>
      </c>
      <c r="O1905" t="inlineStr">
        <is>
          <t>Timișoara</t>
        </is>
      </c>
      <c r="P1905" s="12" t="n">
        <v>46404</v>
      </c>
      <c r="Q1905">
        <f>IF(COUNTIF(tbl_Localitati[oras_oficial],[@oras])=0,"ORAS NEALINIAT",IF(XLOOKUP([@oras],tbl_Localitati[oras_oficial],tbl_Localitati[judet],"?")&lt;&gt;[@judet],"JUDET NECORESPUNZATOR",""))</f>
        <v/>
      </c>
      <c r="R1905">
        <f>IF(XLOOKUP([@categorie],tbl_RegulriTVA[categorie],tbl_RegulriTVA[cota_legala],-1)&lt;&gt;[@cota_tva],"TVA GRESIT","")</f>
        <v/>
      </c>
      <c r="S1905">
        <f>IF([@data_scadentei]&lt;[@data_factura],"SCADENTA INAINTEA FACTURII","")</f>
        <v/>
      </c>
      <c r="T1905">
        <f>IF(NETWORKDAYS.INTL([@data_factura],[@data_factura],1,tbl_SarbatoriLegale[data])=0,"ZI NELUCRATOARE","")</f>
        <v/>
      </c>
      <c r="U1905">
        <f>IF([@motiv_anomalie]="","OK","DE INVESTIGAT")</f>
        <v/>
      </c>
      <c r="V1905">
        <f>TEXTJOIN("; ",TRUE,[@flag_oras],[@flag_tva],[@flag_scadenta],[@flag_zi])</f>
        <v/>
      </c>
    </row>
    <row r="1906">
      <c r="A1906" t="inlineStr">
        <is>
          <t>F-2025-01905</t>
        </is>
      </c>
      <c r="B1906" s="12" t="n">
        <v>46287</v>
      </c>
      <c r="C1906" t="inlineStr">
        <is>
          <t>SC OMEGA SOFT SRL</t>
        </is>
      </c>
      <c r="D1906" t="inlineStr">
        <is>
          <t>Dolj</t>
        </is>
      </c>
      <c r="E1906" t="inlineStr">
        <is>
          <t>PRD-001</t>
        </is>
      </c>
      <c r="F1906" t="inlineStr">
        <is>
          <t>Monitor 27" 4K</t>
        </is>
      </c>
      <c r="G1906" t="inlineStr">
        <is>
          <t>Hardware IT</t>
        </is>
      </c>
      <c r="H1906" t="n">
        <v>3</v>
      </c>
      <c r="I1906" t="n">
        <v>2419.58</v>
      </c>
      <c r="J1906" t="n">
        <v>7258.74</v>
      </c>
      <c r="K1906" s="13" t="n">
        <v>0.19</v>
      </c>
      <c r="L1906" t="n">
        <v>1379.16</v>
      </c>
      <c r="M1906" t="n">
        <v>8637.9</v>
      </c>
      <c r="N1906" t="inlineStr">
        <is>
          <t>RON</t>
        </is>
      </c>
      <c r="O1906" t="inlineStr">
        <is>
          <t>Craiova</t>
        </is>
      </c>
      <c r="P1906" s="12" t="n">
        <v>46332</v>
      </c>
      <c r="Q1906">
        <f>IF(COUNTIF(tbl_Localitati[oras_oficial],[@oras])=0,"ORAS NEALINIAT",IF(XLOOKUP([@oras],tbl_Localitati[oras_oficial],tbl_Localitati[judet],"?")&lt;&gt;[@judet],"JUDET NECORESPUNZATOR",""))</f>
        <v/>
      </c>
      <c r="R1906">
        <f>IF(XLOOKUP([@categorie],tbl_RegulriTVA[categorie],tbl_RegulriTVA[cota_legala],-1)&lt;&gt;[@cota_tva],"TVA GRESIT","")</f>
        <v/>
      </c>
      <c r="S1906">
        <f>IF([@data_scadentei]&lt;[@data_factura],"SCADENTA INAINTEA FACTURII","")</f>
        <v/>
      </c>
      <c r="T1906">
        <f>IF(NETWORKDAYS.INTL([@data_factura],[@data_factura],1,tbl_SarbatoriLegale[data])=0,"ZI NELUCRATOARE","")</f>
        <v/>
      </c>
      <c r="U1906">
        <f>IF([@motiv_anomalie]="","OK","DE INVESTIGAT")</f>
        <v/>
      </c>
      <c r="V1906">
        <f>TEXTJOIN("; ",TRUE,[@flag_oras],[@flag_tva],[@flag_scadenta],[@flag_zi])</f>
        <v/>
      </c>
    </row>
    <row r="1907">
      <c r="A1907" t="inlineStr">
        <is>
          <t>F-2025-01906</t>
        </is>
      </c>
      <c r="B1907" s="12" t="n">
        <v>46343</v>
      </c>
      <c r="C1907" t="inlineStr">
        <is>
          <t>SC FARMAVITAL DISTRIBUTIE SA</t>
        </is>
      </c>
      <c r="D1907" t="inlineStr">
        <is>
          <t>Bihor</t>
        </is>
      </c>
      <c r="E1907" t="inlineStr">
        <is>
          <t>PRD-008</t>
        </is>
      </c>
      <c r="F1907" t="inlineStr">
        <is>
          <t>Laptop business 15"</t>
        </is>
      </c>
      <c r="G1907" t="inlineStr">
        <is>
          <t>Hardware IT</t>
        </is>
      </c>
      <c r="H1907" t="n">
        <v>10</v>
      </c>
      <c r="I1907" t="n">
        <v>456.36</v>
      </c>
      <c r="J1907" t="n">
        <v>4563.6</v>
      </c>
      <c r="K1907" s="13" t="n">
        <v>0.19</v>
      </c>
      <c r="L1907" t="n">
        <v>867.08</v>
      </c>
      <c r="M1907" t="n">
        <v>5430.68</v>
      </c>
      <c r="N1907" t="inlineStr">
        <is>
          <t>RON</t>
        </is>
      </c>
      <c r="O1907" t="inlineStr">
        <is>
          <t>Oradea</t>
        </is>
      </c>
      <c r="P1907" s="12" t="n">
        <v>46373</v>
      </c>
      <c r="Q1907">
        <f>IF(COUNTIF(tbl_Localitati[oras_oficial],[@oras])=0,"ORAS NEALINIAT",IF(XLOOKUP([@oras],tbl_Localitati[oras_oficial],tbl_Localitati[judet],"?")&lt;&gt;[@judet],"JUDET NECORESPUNZATOR",""))</f>
        <v/>
      </c>
      <c r="R1907">
        <f>IF(XLOOKUP([@categorie],tbl_RegulriTVA[categorie],tbl_RegulriTVA[cota_legala],-1)&lt;&gt;[@cota_tva],"TVA GRESIT","")</f>
        <v/>
      </c>
      <c r="S1907">
        <f>IF([@data_scadentei]&lt;[@data_factura],"SCADENTA INAINTEA FACTURII","")</f>
        <v/>
      </c>
      <c r="T1907">
        <f>IF(NETWORKDAYS.INTL([@data_factura],[@data_factura],1,tbl_SarbatoriLegale[data])=0,"ZI NELUCRATOARE","")</f>
        <v/>
      </c>
      <c r="U1907">
        <f>IF([@motiv_anomalie]="","OK","DE INVESTIGAT")</f>
        <v/>
      </c>
      <c r="V1907">
        <f>TEXTJOIN("; ",TRUE,[@flag_oras],[@flag_tva],[@flag_scadenta],[@flag_zi])</f>
        <v/>
      </c>
    </row>
    <row r="1908">
      <c r="A1908" t="inlineStr">
        <is>
          <t>F-2025-01907</t>
        </is>
      </c>
      <c r="B1908" s="12" t="n">
        <v>46189</v>
      </c>
      <c r="C1908" t="inlineStr">
        <is>
          <t>SC PROVITA MEDICAL SRL</t>
        </is>
      </c>
      <c r="D1908" t="inlineStr">
        <is>
          <t>Mureș</t>
        </is>
      </c>
      <c r="E1908" t="inlineStr">
        <is>
          <t>PRD-004</t>
        </is>
      </c>
      <c r="F1908" t="inlineStr">
        <is>
          <t>Abonament suita cloud</t>
        </is>
      </c>
      <c r="G1908" t="inlineStr">
        <is>
          <t>Licențe software</t>
        </is>
      </c>
      <c r="H1908" t="n">
        <v>5</v>
      </c>
      <c r="I1908" t="n">
        <v>931.83</v>
      </c>
      <c r="J1908" t="n">
        <v>4659.15</v>
      </c>
      <c r="K1908" s="13" t="n">
        <v>0.19</v>
      </c>
      <c r="L1908" t="n">
        <v>885.24</v>
      </c>
      <c r="M1908" t="n">
        <v>5544.39</v>
      </c>
      <c r="N1908" t="inlineStr">
        <is>
          <t>RON</t>
        </is>
      </c>
      <c r="O1908" t="inlineStr">
        <is>
          <t>Târgu Mureș</t>
        </is>
      </c>
      <c r="P1908" s="12" t="n">
        <v>46249</v>
      </c>
      <c r="Q1908">
        <f>IF(COUNTIF(tbl_Localitati[oras_oficial],[@oras])=0,"ORAS NEALINIAT",IF(XLOOKUP([@oras],tbl_Localitati[oras_oficial],tbl_Localitati[judet],"?")&lt;&gt;[@judet],"JUDET NECORESPUNZATOR",""))</f>
        <v/>
      </c>
      <c r="R1908">
        <f>IF(XLOOKUP([@categorie],tbl_RegulriTVA[categorie],tbl_RegulriTVA[cota_legala],-1)&lt;&gt;[@cota_tva],"TVA GRESIT","")</f>
        <v/>
      </c>
      <c r="S1908">
        <f>IF([@data_scadentei]&lt;[@data_factura],"SCADENTA INAINTEA FACTURII","")</f>
        <v/>
      </c>
      <c r="T1908">
        <f>IF(NETWORKDAYS.INTL([@data_factura],[@data_factura],1,tbl_SarbatoriLegale[data])=0,"ZI NELUCRATOARE","")</f>
        <v/>
      </c>
      <c r="U1908">
        <f>IF([@motiv_anomalie]="","OK","DE INVESTIGAT")</f>
        <v/>
      </c>
      <c r="V1908">
        <f>TEXTJOIN("; ",TRUE,[@flag_oras],[@flag_tva],[@flag_scadenta],[@flag_zi])</f>
        <v/>
      </c>
    </row>
    <row r="1909">
      <c r="A1909" t="inlineStr">
        <is>
          <t>F-2025-01908</t>
        </is>
      </c>
      <c r="B1909" s="12" t="n">
        <v>46147</v>
      </c>
      <c r="C1909" t="inlineStr">
        <is>
          <t>SC INTEGROMED SA</t>
        </is>
      </c>
      <c r="D1909" t="inlineStr">
        <is>
          <t>Cluj</t>
        </is>
      </c>
      <c r="E1909" t="inlineStr">
        <is>
          <t>PRD-008</t>
        </is>
      </c>
      <c r="F1909" t="inlineStr">
        <is>
          <t>Ceai cutie 100buc</t>
        </is>
      </c>
      <c r="G1909" t="inlineStr">
        <is>
          <t>Alimente</t>
        </is>
      </c>
      <c r="H1909" t="n">
        <v>5</v>
      </c>
      <c r="I1909" t="n">
        <v>447.55</v>
      </c>
      <c r="J1909" t="n">
        <v>2237.75</v>
      </c>
      <c r="K1909" s="13" t="n">
        <v>0.09</v>
      </c>
      <c r="L1909" t="n">
        <v>201.4</v>
      </c>
      <c r="M1909" t="n">
        <v>2439.15</v>
      </c>
      <c r="N1909" t="inlineStr">
        <is>
          <t>RON</t>
        </is>
      </c>
      <c r="O1909" t="inlineStr">
        <is>
          <t>Cluj-Napoca</t>
        </is>
      </c>
      <c r="P1909" s="12" t="n">
        <v>46207</v>
      </c>
      <c r="Q1909">
        <f>IF(COUNTIF(tbl_Localitati[oras_oficial],[@oras])=0,"ORAS NEALINIAT",IF(XLOOKUP([@oras],tbl_Localitati[oras_oficial],tbl_Localitati[judet],"?")&lt;&gt;[@judet],"JUDET NECORESPUNZATOR",""))</f>
        <v/>
      </c>
      <c r="R1909">
        <f>IF(XLOOKUP([@categorie],tbl_RegulriTVA[categorie],tbl_RegulriTVA[cota_legala],-1)&lt;&gt;[@cota_tva],"TVA GRESIT","")</f>
        <v/>
      </c>
      <c r="S1909">
        <f>IF([@data_scadentei]&lt;[@data_factura],"SCADENTA INAINTEA FACTURII","")</f>
        <v/>
      </c>
      <c r="T1909">
        <f>IF(NETWORKDAYS.INTL([@data_factura],[@data_factura],1,tbl_SarbatoriLegale[data])=0,"ZI NELUCRATOARE","")</f>
        <v/>
      </c>
      <c r="U1909">
        <f>IF([@motiv_anomalie]="","OK","DE INVESTIGAT")</f>
        <v/>
      </c>
      <c r="V1909">
        <f>TEXTJOIN("; ",TRUE,[@flag_oras],[@flag_tva],[@flag_scadenta],[@flag_zi])</f>
        <v/>
      </c>
    </row>
    <row r="1910">
      <c r="A1910" t="inlineStr">
        <is>
          <t>F-2025-01909</t>
        </is>
      </c>
      <c r="B1910" s="12" t="n">
        <v>46169</v>
      </c>
      <c r="C1910" t="inlineStr">
        <is>
          <t>SC AROMET TRADING SRL</t>
        </is>
      </c>
      <c r="D1910" t="inlineStr">
        <is>
          <t>Alba</t>
        </is>
      </c>
      <c r="E1910" t="inlineStr">
        <is>
          <t>PRD-008</t>
        </is>
      </c>
      <c r="F1910" t="inlineStr">
        <is>
          <t>Tocator documente</t>
        </is>
      </c>
      <c r="G1910" t="inlineStr">
        <is>
          <t>Echipamente birou</t>
        </is>
      </c>
      <c r="H1910" t="n">
        <v>10</v>
      </c>
      <c r="I1910" t="n">
        <v>435.03</v>
      </c>
      <c r="J1910" t="n">
        <v>4350.3</v>
      </c>
      <c r="K1910" s="13" t="n">
        <v>0.19</v>
      </c>
      <c r="L1910" t="n">
        <v>826.5599999999999</v>
      </c>
      <c r="M1910" t="n">
        <v>5176.86</v>
      </c>
      <c r="N1910" t="inlineStr">
        <is>
          <t>RON</t>
        </is>
      </c>
      <c r="O1910" t="inlineStr">
        <is>
          <t>Alba Iulia</t>
        </is>
      </c>
      <c r="P1910" s="12" t="n">
        <v>46199</v>
      </c>
      <c r="Q1910">
        <f>IF(COUNTIF(tbl_Localitati[oras_oficial],[@oras])=0,"ORAS NEALINIAT",IF(XLOOKUP([@oras],tbl_Localitati[oras_oficial],tbl_Localitati[judet],"?")&lt;&gt;[@judet],"JUDET NECORESPUNZATOR",""))</f>
        <v/>
      </c>
      <c r="R1910">
        <f>IF(XLOOKUP([@categorie],tbl_RegulriTVA[categorie],tbl_RegulriTVA[cota_legala],-1)&lt;&gt;[@cota_tva],"TVA GRESIT","")</f>
        <v/>
      </c>
      <c r="S1910">
        <f>IF([@data_scadentei]&lt;[@data_factura],"SCADENTA INAINTEA FACTURII","")</f>
        <v/>
      </c>
      <c r="T1910">
        <f>IF(NETWORKDAYS.INTL([@data_factura],[@data_factura],1,tbl_SarbatoriLegale[data])=0,"ZI NELUCRATOARE","")</f>
        <v/>
      </c>
      <c r="U1910">
        <f>IF([@motiv_anomalie]="","OK","DE INVESTIGAT")</f>
        <v/>
      </c>
      <c r="V1910">
        <f>TEXTJOIN("; ",TRUE,[@flag_oras],[@flag_tva],[@flag_scadenta],[@flag_zi])</f>
        <v/>
      </c>
    </row>
    <row r="1911">
      <c r="A1911" t="inlineStr">
        <is>
          <t>F-2025-01910</t>
        </is>
      </c>
      <c r="B1911" s="12" t="n">
        <v>46091</v>
      </c>
      <c r="C1911" t="inlineStr">
        <is>
          <t>SC DACTECH SOLUTIONS SRL</t>
        </is>
      </c>
      <c r="D1911" t="inlineStr">
        <is>
          <t>Argeș</t>
        </is>
      </c>
      <c r="E1911" t="inlineStr">
        <is>
          <t>PRD-002</t>
        </is>
      </c>
      <c r="F1911" t="inlineStr">
        <is>
          <t>Apa plata bax</t>
        </is>
      </c>
      <c r="G1911" t="inlineStr">
        <is>
          <t>Alimente</t>
        </is>
      </c>
      <c r="H1911" t="n">
        <v>1</v>
      </c>
      <c r="I1911" t="n">
        <v>1116.75</v>
      </c>
      <c r="J1911" t="n">
        <v>1116.75</v>
      </c>
      <c r="K1911" s="13" t="n">
        <v>0.09</v>
      </c>
      <c r="L1911" t="n">
        <v>100.51</v>
      </c>
      <c r="M1911" t="n">
        <v>1217.26</v>
      </c>
      <c r="N1911" t="inlineStr">
        <is>
          <t>RON</t>
        </is>
      </c>
      <c r="O1911" t="inlineStr">
        <is>
          <t>Pitești</t>
        </is>
      </c>
      <c r="P1911" s="12" t="n">
        <v>46121</v>
      </c>
      <c r="Q1911">
        <f>IF(COUNTIF(tbl_Localitati[oras_oficial],[@oras])=0,"ORAS NEALINIAT",IF(XLOOKUP([@oras],tbl_Localitati[oras_oficial],tbl_Localitati[judet],"?")&lt;&gt;[@judet],"JUDET NECORESPUNZATOR",""))</f>
        <v/>
      </c>
      <c r="R1911">
        <f>IF(XLOOKUP([@categorie],tbl_RegulriTVA[categorie],tbl_RegulriTVA[cota_legala],-1)&lt;&gt;[@cota_tva],"TVA GRESIT","")</f>
        <v/>
      </c>
      <c r="S1911">
        <f>IF([@data_scadentei]&lt;[@data_factura],"SCADENTA INAINTEA FACTURII","")</f>
        <v/>
      </c>
      <c r="T1911">
        <f>IF(NETWORKDAYS.INTL([@data_factura],[@data_factura],1,tbl_SarbatoriLegale[data])=0,"ZI NELUCRATOARE","")</f>
        <v/>
      </c>
      <c r="U1911">
        <f>IF([@motiv_anomalie]="","OK","DE INVESTIGAT")</f>
        <v/>
      </c>
      <c r="V1911">
        <f>TEXTJOIN("; ",TRUE,[@flag_oras],[@flag_tva],[@flag_scadenta],[@flag_zi])</f>
        <v/>
      </c>
    </row>
    <row r="1912">
      <c r="A1912" t="inlineStr">
        <is>
          <t>F-2025-01911</t>
        </is>
      </c>
      <c r="B1912" s="12" t="n">
        <v>46233</v>
      </c>
      <c r="C1912" t="inlineStr">
        <is>
          <t>SC INTEGROMED SA</t>
        </is>
      </c>
      <c r="D1912" t="inlineStr">
        <is>
          <t>Cluj</t>
        </is>
      </c>
      <c r="E1912" t="inlineStr">
        <is>
          <t>PRD-001</t>
        </is>
      </c>
      <c r="F1912" t="inlineStr">
        <is>
          <t>Monitor 27" 4K</t>
        </is>
      </c>
      <c r="G1912" t="inlineStr">
        <is>
          <t>Hardware IT</t>
        </is>
      </c>
      <c r="H1912" t="n">
        <v>2</v>
      </c>
      <c r="I1912" t="n">
        <v>2416.04</v>
      </c>
      <c r="J1912" t="n">
        <v>4832.08</v>
      </c>
      <c r="K1912" s="13" t="n">
        <v>0.19</v>
      </c>
      <c r="L1912" t="n">
        <v>918.1</v>
      </c>
      <c r="M1912" t="n">
        <v>5750.18</v>
      </c>
      <c r="N1912" t="inlineStr">
        <is>
          <t>RON</t>
        </is>
      </c>
      <c r="O1912" t="inlineStr">
        <is>
          <t>Cluj-Napoca</t>
        </is>
      </c>
      <c r="P1912" s="12" t="n">
        <v>46263</v>
      </c>
      <c r="Q1912">
        <f>IF(COUNTIF(tbl_Localitati[oras_oficial],[@oras])=0,"ORAS NEALINIAT",IF(XLOOKUP([@oras],tbl_Localitati[oras_oficial],tbl_Localitati[judet],"?")&lt;&gt;[@judet],"JUDET NECORESPUNZATOR",""))</f>
        <v/>
      </c>
      <c r="R1912">
        <f>IF(XLOOKUP([@categorie],tbl_RegulriTVA[categorie],tbl_RegulriTVA[cota_legala],-1)&lt;&gt;[@cota_tva],"TVA GRESIT","")</f>
        <v/>
      </c>
      <c r="S1912">
        <f>IF([@data_scadentei]&lt;[@data_factura],"SCADENTA INAINTEA FACTURII","")</f>
        <v/>
      </c>
      <c r="T1912">
        <f>IF(NETWORKDAYS.INTL([@data_factura],[@data_factura],1,tbl_SarbatoriLegale[data])=0,"ZI NELUCRATOARE","")</f>
        <v/>
      </c>
      <c r="U1912">
        <f>IF([@motiv_anomalie]="","OK","DE INVESTIGAT")</f>
        <v/>
      </c>
      <c r="V1912">
        <f>TEXTJOIN("; ",TRUE,[@flag_oras],[@flag_tva],[@flag_scadenta],[@flag_zi])</f>
        <v/>
      </c>
    </row>
    <row r="1913">
      <c r="A1913" t="inlineStr">
        <is>
          <t>F-2025-01912</t>
        </is>
      </c>
      <c r="B1913" s="12" t="n">
        <v>46084</v>
      </c>
      <c r="C1913" t="inlineStr">
        <is>
          <t>SC AROMET TRADING SRL</t>
        </is>
      </c>
      <c r="D1913" t="inlineStr">
        <is>
          <t>Alba</t>
        </is>
      </c>
      <c r="E1913" t="inlineStr">
        <is>
          <t>PRD-009</t>
        </is>
      </c>
      <c r="F1913" t="inlineStr">
        <is>
          <t>Tocator documente</t>
        </is>
      </c>
      <c r="G1913" t="inlineStr">
        <is>
          <t>Echipamente birou</t>
        </is>
      </c>
      <c r="H1913" t="n">
        <v>10</v>
      </c>
      <c r="I1913" t="n">
        <v>28.35</v>
      </c>
      <c r="J1913" t="n">
        <v>283.5</v>
      </c>
      <c r="K1913" s="13" t="n">
        <v>0.19</v>
      </c>
      <c r="L1913" t="n">
        <v>53.87</v>
      </c>
      <c r="M1913" t="n">
        <v>337.37</v>
      </c>
      <c r="N1913" t="inlineStr">
        <is>
          <t>RON</t>
        </is>
      </c>
      <c r="O1913" t="inlineStr">
        <is>
          <t>Alba Iulia</t>
        </is>
      </c>
      <c r="P1913" s="12" t="n">
        <v>46114</v>
      </c>
      <c r="Q1913">
        <f>IF(COUNTIF(tbl_Localitati[oras_oficial],[@oras])=0,"ORAS NEALINIAT",IF(XLOOKUP([@oras],tbl_Localitati[oras_oficial],tbl_Localitati[judet],"?")&lt;&gt;[@judet],"JUDET NECORESPUNZATOR",""))</f>
        <v/>
      </c>
      <c r="R1913">
        <f>IF(XLOOKUP([@categorie],tbl_RegulriTVA[categorie],tbl_RegulriTVA[cota_legala],-1)&lt;&gt;[@cota_tva],"TVA GRESIT","")</f>
        <v/>
      </c>
      <c r="S1913">
        <f>IF([@data_scadentei]&lt;[@data_factura],"SCADENTA INAINTEA FACTURII","")</f>
        <v/>
      </c>
      <c r="T1913">
        <f>IF(NETWORKDAYS.INTL([@data_factura],[@data_factura],1,tbl_SarbatoriLegale[data])=0,"ZI NELUCRATOARE","")</f>
        <v/>
      </c>
      <c r="U1913">
        <f>IF([@motiv_anomalie]="","OK","DE INVESTIGAT")</f>
        <v/>
      </c>
      <c r="V1913">
        <f>TEXTJOIN("; ",TRUE,[@flag_oras],[@flag_tva],[@flag_scadenta],[@flag_zi])</f>
        <v/>
      </c>
    </row>
    <row r="1914">
      <c r="A1914" t="inlineStr">
        <is>
          <t>F-2025-01913</t>
        </is>
      </c>
      <c r="B1914" s="12" t="n">
        <v>46031</v>
      </c>
      <c r="C1914" t="inlineStr">
        <is>
          <t>SC AROMET TRADING SRL</t>
        </is>
      </c>
      <c r="D1914" t="inlineStr">
        <is>
          <t>Alba</t>
        </is>
      </c>
      <c r="E1914" t="inlineStr">
        <is>
          <t>PRD-004</t>
        </is>
      </c>
      <c r="F1914" t="inlineStr">
        <is>
          <t>Laptop business 15"</t>
        </is>
      </c>
      <c r="G1914" t="inlineStr">
        <is>
          <t>Hardware IT</t>
        </is>
      </c>
      <c r="H1914" t="n">
        <v>1</v>
      </c>
      <c r="I1914" t="n">
        <v>872.36</v>
      </c>
      <c r="J1914" t="n">
        <v>872.36</v>
      </c>
      <c r="K1914" s="13" t="n">
        <v>0.19</v>
      </c>
      <c r="L1914" t="n">
        <v>165.75</v>
      </c>
      <c r="M1914" t="n">
        <v>1038.11</v>
      </c>
      <c r="N1914" t="inlineStr">
        <is>
          <t>RON</t>
        </is>
      </c>
      <c r="O1914" t="inlineStr">
        <is>
          <t>Alba Iulia</t>
        </is>
      </c>
      <c r="P1914" s="12" t="n">
        <v>46046</v>
      </c>
      <c r="Q1914">
        <f>IF(COUNTIF(tbl_Localitati[oras_oficial],[@oras])=0,"ORAS NEALINIAT",IF(XLOOKUP([@oras],tbl_Localitati[oras_oficial],tbl_Localitati[judet],"?")&lt;&gt;[@judet],"JUDET NECORESPUNZATOR",""))</f>
        <v/>
      </c>
      <c r="R1914">
        <f>IF(XLOOKUP([@categorie],tbl_RegulriTVA[categorie],tbl_RegulriTVA[cota_legala],-1)&lt;&gt;[@cota_tva],"TVA GRESIT","")</f>
        <v/>
      </c>
      <c r="S1914">
        <f>IF([@data_scadentei]&lt;[@data_factura],"SCADENTA INAINTEA FACTURII","")</f>
        <v/>
      </c>
      <c r="T1914">
        <f>IF(NETWORKDAYS.INTL([@data_factura],[@data_factura],1,tbl_SarbatoriLegale[data])=0,"ZI NELUCRATOARE","")</f>
        <v/>
      </c>
      <c r="U1914">
        <f>IF([@motiv_anomalie]="","OK","DE INVESTIGAT")</f>
        <v/>
      </c>
      <c r="V1914">
        <f>TEXTJOIN("; ",TRUE,[@flag_oras],[@flag_tva],[@flag_scadenta],[@flag_zi])</f>
        <v/>
      </c>
    </row>
    <row r="1915">
      <c r="A1915" t="inlineStr">
        <is>
          <t>F-2025-01914</t>
        </is>
      </c>
      <c r="B1915" s="12" t="n">
        <v>46293</v>
      </c>
      <c r="C1915" t="inlineStr">
        <is>
          <t>SC OMEGA SOFT SRL</t>
        </is>
      </c>
      <c r="D1915" t="inlineStr">
        <is>
          <t>Dolj</t>
        </is>
      </c>
      <c r="E1915" t="inlineStr">
        <is>
          <t>PRD-004</t>
        </is>
      </c>
      <c r="F1915" t="inlineStr">
        <is>
          <t>Server rack 1U</t>
        </is>
      </c>
      <c r="G1915" t="inlineStr">
        <is>
          <t>Hardware IT</t>
        </is>
      </c>
      <c r="H1915" t="n">
        <v>1</v>
      </c>
      <c r="I1915" t="n">
        <v>866.4400000000001</v>
      </c>
      <c r="J1915" t="n">
        <v>866.4400000000001</v>
      </c>
      <c r="K1915" s="13" t="n">
        <v>0.19</v>
      </c>
      <c r="L1915" t="n">
        <v>164.62</v>
      </c>
      <c r="M1915" t="n">
        <v>1031.06</v>
      </c>
      <c r="N1915" t="inlineStr">
        <is>
          <t>RON</t>
        </is>
      </c>
      <c r="O1915" t="inlineStr">
        <is>
          <t>Craiova</t>
        </is>
      </c>
      <c r="P1915" s="12" t="n">
        <v>46323</v>
      </c>
      <c r="Q1915">
        <f>IF(COUNTIF(tbl_Localitati[oras_oficial],[@oras])=0,"ORAS NEALINIAT",IF(XLOOKUP([@oras],tbl_Localitati[oras_oficial],tbl_Localitati[judet],"?")&lt;&gt;[@judet],"JUDET NECORESPUNZATOR",""))</f>
        <v/>
      </c>
      <c r="R1915">
        <f>IF(XLOOKUP([@categorie],tbl_RegulriTVA[categorie],tbl_RegulriTVA[cota_legala],-1)&lt;&gt;[@cota_tva],"TVA GRESIT","")</f>
        <v/>
      </c>
      <c r="S1915">
        <f>IF([@data_scadentei]&lt;[@data_factura],"SCADENTA INAINTEA FACTURII","")</f>
        <v/>
      </c>
      <c r="T1915">
        <f>IF(NETWORKDAYS.INTL([@data_factura],[@data_factura],1,tbl_SarbatoriLegale[data])=0,"ZI NELUCRATOARE","")</f>
        <v/>
      </c>
      <c r="U1915">
        <f>IF([@motiv_anomalie]="","OK","DE INVESTIGAT")</f>
        <v/>
      </c>
      <c r="V1915">
        <f>TEXTJOIN("; ",TRUE,[@flag_oras],[@flag_tva],[@flag_scadenta],[@flag_zi])</f>
        <v/>
      </c>
    </row>
    <row r="1916">
      <c r="A1916" t="inlineStr">
        <is>
          <t>F-2025-01915</t>
        </is>
      </c>
      <c r="B1916" s="12" t="n">
        <v>46058</v>
      </c>
      <c r="C1916" t="inlineStr">
        <is>
          <t>SC OMEGA SOFT SRL</t>
        </is>
      </c>
      <c r="D1916" t="inlineStr">
        <is>
          <t>Dolj</t>
        </is>
      </c>
      <c r="E1916" t="inlineStr">
        <is>
          <t>PRD-006</t>
        </is>
      </c>
      <c r="F1916" t="inlineStr">
        <is>
          <t>Server rack 1U</t>
        </is>
      </c>
      <c r="G1916" t="inlineStr">
        <is>
          <t>Hardware IT</t>
        </is>
      </c>
      <c r="H1916" t="n">
        <v>25</v>
      </c>
      <c r="I1916" t="n">
        <v>760.9400000000001</v>
      </c>
      <c r="J1916" t="n">
        <v>19023.5</v>
      </c>
      <c r="K1916" s="13" t="n">
        <v>0.19</v>
      </c>
      <c r="L1916" t="n">
        <v>3614.47</v>
      </c>
      <c r="M1916" t="n">
        <v>22637.97</v>
      </c>
      <c r="N1916" t="inlineStr">
        <is>
          <t>RON</t>
        </is>
      </c>
      <c r="O1916" t="inlineStr">
        <is>
          <t>Craiova</t>
        </is>
      </c>
      <c r="P1916" s="12" t="n">
        <v>46088</v>
      </c>
      <c r="Q1916">
        <f>IF(COUNTIF(tbl_Localitati[oras_oficial],[@oras])=0,"ORAS NEALINIAT",IF(XLOOKUP([@oras],tbl_Localitati[oras_oficial],tbl_Localitati[judet],"?")&lt;&gt;[@judet],"JUDET NECORESPUNZATOR",""))</f>
        <v/>
      </c>
      <c r="R1916">
        <f>IF(XLOOKUP([@categorie],tbl_RegulriTVA[categorie],tbl_RegulriTVA[cota_legala],-1)&lt;&gt;[@cota_tva],"TVA GRESIT","")</f>
        <v/>
      </c>
      <c r="S1916">
        <f>IF([@data_scadentei]&lt;[@data_factura],"SCADENTA INAINTEA FACTURII","")</f>
        <v/>
      </c>
      <c r="T1916">
        <f>IF(NETWORKDAYS.INTL([@data_factura],[@data_factura],1,tbl_SarbatoriLegale[data])=0,"ZI NELUCRATOARE","")</f>
        <v/>
      </c>
      <c r="U1916">
        <f>IF([@motiv_anomalie]="","OK","DE INVESTIGAT")</f>
        <v/>
      </c>
      <c r="V1916">
        <f>TEXTJOIN("; ",TRUE,[@flag_oras],[@flag_tva],[@flag_scadenta],[@flag_zi])</f>
        <v/>
      </c>
    </row>
    <row r="1917">
      <c r="A1917" t="inlineStr">
        <is>
          <t>F-2025-01916</t>
        </is>
      </c>
      <c r="B1917" s="12" t="n">
        <v>46353</v>
      </c>
      <c r="C1917" t="inlineStr">
        <is>
          <t>SC METALPLAST INVEST SA</t>
        </is>
      </c>
      <c r="D1917" t="inlineStr">
        <is>
          <t>Cluj</t>
        </is>
      </c>
      <c r="E1917" t="inlineStr">
        <is>
          <t>PRD-005</t>
        </is>
      </c>
      <c r="F1917" t="inlineStr">
        <is>
          <t>Telefon IP birou</t>
        </is>
      </c>
      <c r="G1917" t="inlineStr">
        <is>
          <t>Echipamente birou</t>
        </is>
      </c>
      <c r="H1917" t="n">
        <v>1</v>
      </c>
      <c r="I1917" t="n">
        <v>255.51</v>
      </c>
      <c r="J1917" t="n">
        <v>255.51</v>
      </c>
      <c r="K1917" s="13" t="n">
        <v>0.19</v>
      </c>
      <c r="L1917" t="n">
        <v>48.55</v>
      </c>
      <c r="M1917" t="n">
        <v>304.06</v>
      </c>
      <c r="N1917" t="inlineStr">
        <is>
          <t>RON</t>
        </is>
      </c>
      <c r="O1917" t="inlineStr">
        <is>
          <t>Turda</t>
        </is>
      </c>
      <c r="P1917" s="12" t="n">
        <v>46413</v>
      </c>
      <c r="Q1917">
        <f>IF(COUNTIF(tbl_Localitati[oras_oficial],[@oras])=0,"ORAS NEALINIAT",IF(XLOOKUP([@oras],tbl_Localitati[oras_oficial],tbl_Localitati[judet],"?")&lt;&gt;[@judet],"JUDET NECORESPUNZATOR",""))</f>
        <v/>
      </c>
      <c r="R1917">
        <f>IF(XLOOKUP([@categorie],tbl_RegulriTVA[categorie],tbl_RegulriTVA[cota_legala],-1)&lt;&gt;[@cota_tva],"TVA GRESIT","")</f>
        <v/>
      </c>
      <c r="S1917">
        <f>IF([@data_scadentei]&lt;[@data_factura],"SCADENTA INAINTEA FACTURII","")</f>
        <v/>
      </c>
      <c r="T1917">
        <f>IF(NETWORKDAYS.INTL([@data_factura],[@data_factura],1,tbl_SarbatoriLegale[data])=0,"ZI NELUCRATOARE","")</f>
        <v/>
      </c>
      <c r="U1917">
        <f>IF([@motiv_anomalie]="","OK","DE INVESTIGAT")</f>
        <v/>
      </c>
      <c r="V1917">
        <f>TEXTJOIN("; ",TRUE,[@flag_oras],[@flag_tva],[@flag_scadenta],[@flag_zi])</f>
        <v/>
      </c>
    </row>
    <row r="1918">
      <c r="A1918" t="inlineStr">
        <is>
          <t>F-2025-01917</t>
        </is>
      </c>
      <c r="B1918" s="12" t="n">
        <v>46093</v>
      </c>
      <c r="C1918" t="inlineStr">
        <is>
          <t>SC FARMAVITAL DISTRIBUTIE SA</t>
        </is>
      </c>
      <c r="D1918" t="inlineStr">
        <is>
          <t>Bihor</t>
        </is>
      </c>
      <c r="E1918" t="inlineStr">
        <is>
          <t>PRD-007</t>
        </is>
      </c>
      <c r="F1918" t="inlineStr">
        <is>
          <t>Ceai cutie 100buc</t>
        </is>
      </c>
      <c r="G1918" t="inlineStr">
        <is>
          <t>Alimente</t>
        </is>
      </c>
      <c r="H1918" t="n">
        <v>5</v>
      </c>
      <c r="I1918" t="n">
        <v>187.17</v>
      </c>
      <c r="J1918" t="n">
        <v>935.85</v>
      </c>
      <c r="K1918" s="13" t="n">
        <v>0.09</v>
      </c>
      <c r="L1918" t="n">
        <v>84.23</v>
      </c>
      <c r="M1918" t="n">
        <v>1020.08</v>
      </c>
      <c r="N1918" t="inlineStr">
        <is>
          <t>RON</t>
        </is>
      </c>
      <c r="O1918" t="inlineStr">
        <is>
          <t>Oradea</t>
        </is>
      </c>
      <c r="P1918" s="12" t="n">
        <v>46123</v>
      </c>
      <c r="Q1918">
        <f>IF(COUNTIF(tbl_Localitati[oras_oficial],[@oras])=0,"ORAS NEALINIAT",IF(XLOOKUP([@oras],tbl_Localitati[oras_oficial],tbl_Localitati[judet],"?")&lt;&gt;[@judet],"JUDET NECORESPUNZATOR",""))</f>
        <v/>
      </c>
      <c r="R1918">
        <f>IF(XLOOKUP([@categorie],tbl_RegulriTVA[categorie],tbl_RegulriTVA[cota_legala],-1)&lt;&gt;[@cota_tva],"TVA GRESIT","")</f>
        <v/>
      </c>
      <c r="S1918">
        <f>IF([@data_scadentei]&lt;[@data_factura],"SCADENTA INAINTEA FACTURII","")</f>
        <v/>
      </c>
      <c r="T1918">
        <f>IF(NETWORKDAYS.INTL([@data_factura],[@data_factura],1,tbl_SarbatoriLegale[data])=0,"ZI NELUCRATOARE","")</f>
        <v/>
      </c>
      <c r="U1918">
        <f>IF([@motiv_anomalie]="","OK","DE INVESTIGAT")</f>
        <v/>
      </c>
      <c r="V1918">
        <f>TEXTJOIN("; ",TRUE,[@flag_oras],[@flag_tva],[@flag_scadenta],[@flag_zi])</f>
        <v/>
      </c>
    </row>
    <row r="1919">
      <c r="A1919" t="inlineStr">
        <is>
          <t>F-2025-01918</t>
        </is>
      </c>
      <c r="B1919" s="12" t="n">
        <v>46328</v>
      </c>
      <c r="C1919" t="inlineStr">
        <is>
          <t>SC RAPID LOGISTIC SA</t>
        </is>
      </c>
      <c r="D1919" t="inlineStr">
        <is>
          <t>Prahova</t>
        </is>
      </c>
      <c r="E1919" t="inlineStr">
        <is>
          <t>PRD-005</t>
        </is>
      </c>
      <c r="F1919" t="inlineStr">
        <is>
          <t>Training utilizatori</t>
        </is>
      </c>
      <c r="G1919" t="inlineStr">
        <is>
          <t>Servicii consultanță</t>
        </is>
      </c>
      <c r="H1919" t="n">
        <v>1</v>
      </c>
      <c r="I1919" t="n">
        <v>238.56</v>
      </c>
      <c r="J1919" t="n">
        <v>238.56</v>
      </c>
      <c r="K1919" s="13" t="n">
        <v>0.19</v>
      </c>
      <c r="L1919" t="n">
        <v>45.33</v>
      </c>
      <c r="M1919" t="n">
        <v>283.89</v>
      </c>
      <c r="N1919" t="inlineStr">
        <is>
          <t>RON</t>
        </is>
      </c>
      <c r="O1919" t="inlineStr">
        <is>
          <t>Ploiești</t>
        </is>
      </c>
      <c r="P1919" s="12" t="n">
        <v>46358</v>
      </c>
      <c r="Q1919">
        <f>IF(COUNTIF(tbl_Localitati[oras_oficial],[@oras])=0,"ORAS NEALINIAT",IF(XLOOKUP([@oras],tbl_Localitati[oras_oficial],tbl_Localitati[judet],"?")&lt;&gt;[@judet],"JUDET NECORESPUNZATOR",""))</f>
        <v/>
      </c>
      <c r="R1919">
        <f>IF(XLOOKUP([@categorie],tbl_RegulriTVA[categorie],tbl_RegulriTVA[cota_legala],-1)&lt;&gt;[@cota_tva],"TVA GRESIT","")</f>
        <v/>
      </c>
      <c r="S1919">
        <f>IF([@data_scadentei]&lt;[@data_factura],"SCADENTA INAINTEA FACTURII","")</f>
        <v/>
      </c>
      <c r="T1919">
        <f>IF(NETWORKDAYS.INTL([@data_factura],[@data_factura],1,tbl_SarbatoriLegale[data])=0,"ZI NELUCRATOARE","")</f>
        <v/>
      </c>
      <c r="U1919">
        <f>IF([@motiv_anomalie]="","OK","DE INVESTIGAT")</f>
        <v/>
      </c>
      <c r="V1919">
        <f>TEXTJOIN("; ",TRUE,[@flag_oras],[@flag_tva],[@flag_scadenta],[@flag_zi])</f>
        <v/>
      </c>
    </row>
    <row r="1920">
      <c r="A1920" t="inlineStr">
        <is>
          <t>F-2025-01919</t>
        </is>
      </c>
      <c r="B1920" s="12" t="n">
        <v>46108</v>
      </c>
      <c r="C1920" t="inlineStr">
        <is>
          <t>SC INTEGROMED SA</t>
        </is>
      </c>
      <c r="D1920" t="inlineStr">
        <is>
          <t>Cluj</t>
        </is>
      </c>
      <c r="E1920" t="inlineStr">
        <is>
          <t>PRD-005</t>
        </is>
      </c>
      <c r="F1920" t="inlineStr">
        <is>
          <t>Abonament suita cloud</t>
        </is>
      </c>
      <c r="G1920" t="inlineStr">
        <is>
          <t>Licențe software</t>
        </is>
      </c>
      <c r="H1920" t="n">
        <v>3</v>
      </c>
      <c r="I1920" t="n">
        <v>249.81</v>
      </c>
      <c r="J1920" t="n">
        <v>749.4299999999999</v>
      </c>
      <c r="K1920" s="13" t="n">
        <v>0.19</v>
      </c>
      <c r="L1920" t="n">
        <v>142.39</v>
      </c>
      <c r="M1920" t="n">
        <v>891.8200000000001</v>
      </c>
      <c r="N1920" t="inlineStr">
        <is>
          <t>RON</t>
        </is>
      </c>
      <c r="O1920" t="inlineStr">
        <is>
          <t>Cluj-Napoca</t>
        </is>
      </c>
      <c r="P1920" s="12" t="n">
        <v>46138</v>
      </c>
      <c r="Q1920">
        <f>IF(COUNTIF(tbl_Localitati[oras_oficial],[@oras])=0,"ORAS NEALINIAT",IF(XLOOKUP([@oras],tbl_Localitati[oras_oficial],tbl_Localitati[judet],"?")&lt;&gt;[@judet],"JUDET NECORESPUNZATOR",""))</f>
        <v/>
      </c>
      <c r="R1920">
        <f>IF(XLOOKUP([@categorie],tbl_RegulriTVA[categorie],tbl_RegulriTVA[cota_legala],-1)&lt;&gt;[@cota_tva],"TVA GRESIT","")</f>
        <v/>
      </c>
      <c r="S1920">
        <f>IF([@data_scadentei]&lt;[@data_factura],"SCADENTA INAINTEA FACTURII","")</f>
        <v/>
      </c>
      <c r="T1920">
        <f>IF(NETWORKDAYS.INTL([@data_factura],[@data_factura],1,tbl_SarbatoriLegale[data])=0,"ZI NELUCRATOARE","")</f>
        <v/>
      </c>
      <c r="U1920">
        <f>IF([@motiv_anomalie]="","OK","DE INVESTIGAT")</f>
        <v/>
      </c>
      <c r="V1920">
        <f>TEXTJOIN("; ",TRUE,[@flag_oras],[@flag_tva],[@flag_scadenta],[@flag_zi])</f>
        <v/>
      </c>
    </row>
    <row r="1921">
      <c r="A1921" t="inlineStr">
        <is>
          <t>F-2025-01920</t>
        </is>
      </c>
      <c r="B1921" s="12" t="n">
        <v>46030</v>
      </c>
      <c r="C1921" t="inlineStr">
        <is>
          <t>SC METALPLAST INVEST SA</t>
        </is>
      </c>
      <c r="D1921" t="inlineStr">
        <is>
          <t>Cluj</t>
        </is>
      </c>
      <c r="E1921" t="inlineStr">
        <is>
          <t>PRD-002</t>
        </is>
      </c>
      <c r="F1921" t="inlineStr">
        <is>
          <t>Training utilizatori</t>
        </is>
      </c>
      <c r="G1921" t="inlineStr">
        <is>
          <t>Servicii consultanță</t>
        </is>
      </c>
      <c r="H1921" t="n">
        <v>1</v>
      </c>
      <c r="I1921" t="n">
        <v>1111.84</v>
      </c>
      <c r="J1921" t="n">
        <v>1111.84</v>
      </c>
      <c r="K1921" s="13" t="n">
        <v>0.19</v>
      </c>
      <c r="L1921" t="n">
        <v>211.25</v>
      </c>
      <c r="M1921" t="n">
        <v>1323.09</v>
      </c>
      <c r="N1921" t="inlineStr">
        <is>
          <t>RON</t>
        </is>
      </c>
      <c r="O1921" t="inlineStr">
        <is>
          <t>Turda</t>
        </is>
      </c>
      <c r="P1921" s="12" t="n">
        <v>46075</v>
      </c>
      <c r="Q1921">
        <f>IF(COUNTIF(tbl_Localitati[oras_oficial],[@oras])=0,"ORAS NEALINIAT",IF(XLOOKUP([@oras],tbl_Localitati[oras_oficial],tbl_Localitati[judet],"?")&lt;&gt;[@judet],"JUDET NECORESPUNZATOR",""))</f>
        <v/>
      </c>
      <c r="R1921">
        <f>IF(XLOOKUP([@categorie],tbl_RegulriTVA[categorie],tbl_RegulriTVA[cota_legala],-1)&lt;&gt;[@cota_tva],"TVA GRESIT","")</f>
        <v/>
      </c>
      <c r="S1921">
        <f>IF([@data_scadentei]&lt;[@data_factura],"SCADENTA INAINTEA FACTURII","")</f>
        <v/>
      </c>
      <c r="T1921">
        <f>IF(NETWORKDAYS.INTL([@data_factura],[@data_factura],1,tbl_SarbatoriLegale[data])=0,"ZI NELUCRATOARE","")</f>
        <v/>
      </c>
      <c r="U1921">
        <f>IF([@motiv_anomalie]="","OK","DE INVESTIGAT")</f>
        <v/>
      </c>
      <c r="V1921">
        <f>TEXTJOIN("; ",TRUE,[@flag_oras],[@flag_tva],[@flag_scadenta],[@flag_zi])</f>
        <v/>
      </c>
    </row>
    <row r="1922">
      <c r="A1922" t="inlineStr">
        <is>
          <t>F-2025-01921</t>
        </is>
      </c>
      <c r="B1922" s="12" t="n">
        <v>46113</v>
      </c>
      <c r="C1922" t="inlineStr">
        <is>
          <t>SC DACTECH SOLUTIONS SRL</t>
        </is>
      </c>
      <c r="D1922" t="inlineStr">
        <is>
          <t>Argeș</t>
        </is>
      </c>
      <c r="E1922" t="inlineStr">
        <is>
          <t>PRD-007</t>
        </is>
      </c>
      <c r="F1922" t="inlineStr">
        <is>
          <t>Masti protectie cutie</t>
        </is>
      </c>
      <c r="G1922" t="inlineStr">
        <is>
          <t>Produse farmaceutice</t>
        </is>
      </c>
      <c r="H1922" t="n">
        <v>5</v>
      </c>
      <c r="I1922" t="n">
        <v>184.47</v>
      </c>
      <c r="J1922" t="n">
        <v>922.35</v>
      </c>
      <c r="K1922" s="13" t="n">
        <v>0.09</v>
      </c>
      <c r="L1922" t="n">
        <v>83.01000000000001</v>
      </c>
      <c r="M1922" t="n">
        <v>1005.36</v>
      </c>
      <c r="N1922" t="inlineStr">
        <is>
          <t>RON</t>
        </is>
      </c>
      <c r="O1922" t="inlineStr">
        <is>
          <t>Pitești</t>
        </is>
      </c>
      <c r="P1922" s="12" t="n">
        <v>46173</v>
      </c>
      <c r="Q1922">
        <f>IF(COUNTIF(tbl_Localitati[oras_oficial],[@oras])=0,"ORAS NEALINIAT",IF(XLOOKUP([@oras],tbl_Localitati[oras_oficial],tbl_Localitati[judet],"?")&lt;&gt;[@judet],"JUDET NECORESPUNZATOR",""))</f>
        <v/>
      </c>
      <c r="R1922">
        <f>IF(XLOOKUP([@categorie],tbl_RegulriTVA[categorie],tbl_RegulriTVA[cota_legala],-1)&lt;&gt;[@cota_tva],"TVA GRESIT","")</f>
        <v/>
      </c>
      <c r="S1922">
        <f>IF([@data_scadentei]&lt;[@data_factura],"SCADENTA INAINTEA FACTURII","")</f>
        <v/>
      </c>
      <c r="T1922">
        <f>IF(NETWORKDAYS.INTL([@data_factura],[@data_factura],1,tbl_SarbatoriLegale[data])=0,"ZI NELUCRATOARE","")</f>
        <v/>
      </c>
      <c r="U1922">
        <f>IF([@motiv_anomalie]="","OK","DE INVESTIGAT")</f>
        <v/>
      </c>
      <c r="V1922">
        <f>TEXTJOIN("; ",TRUE,[@flag_oras],[@flag_tva],[@flag_scadenta],[@flag_zi])</f>
        <v/>
      </c>
    </row>
    <row r="1923">
      <c r="A1923" t="inlineStr">
        <is>
          <t>F-2025-01922</t>
        </is>
      </c>
      <c r="B1923" s="12" t="n">
        <v>46370</v>
      </c>
      <c r="C1923" t="inlineStr">
        <is>
          <t>SC INTEGROMED SA</t>
        </is>
      </c>
      <c r="D1923" t="inlineStr">
        <is>
          <t>Cluj</t>
        </is>
      </c>
      <c r="E1923" t="inlineStr">
        <is>
          <t>PRD-006</t>
        </is>
      </c>
      <c r="F1923" t="inlineStr">
        <is>
          <t>Videoproiector sala</t>
        </is>
      </c>
      <c r="G1923" t="inlineStr">
        <is>
          <t>Echipamente birou</t>
        </is>
      </c>
      <c r="H1923" t="n">
        <v>5</v>
      </c>
      <c r="I1923" t="n">
        <v>727.3</v>
      </c>
      <c r="J1923" t="n">
        <v>3636.5</v>
      </c>
      <c r="K1923" s="13" t="n">
        <v>0.19</v>
      </c>
      <c r="L1923" t="n">
        <v>690.9400000000001</v>
      </c>
      <c r="M1923" t="n">
        <v>4327.44</v>
      </c>
      <c r="N1923" t="inlineStr">
        <is>
          <t>RON</t>
        </is>
      </c>
      <c r="O1923" t="inlineStr">
        <is>
          <t>Cluj-Napoca</t>
        </is>
      </c>
      <c r="P1923" s="12" t="n">
        <v>46415</v>
      </c>
      <c r="Q1923">
        <f>IF(COUNTIF(tbl_Localitati[oras_oficial],[@oras])=0,"ORAS NEALINIAT",IF(XLOOKUP([@oras],tbl_Localitati[oras_oficial],tbl_Localitati[judet],"?")&lt;&gt;[@judet],"JUDET NECORESPUNZATOR",""))</f>
        <v/>
      </c>
      <c r="R1923">
        <f>IF(XLOOKUP([@categorie],tbl_RegulriTVA[categorie],tbl_RegulriTVA[cota_legala],-1)&lt;&gt;[@cota_tva],"TVA GRESIT","")</f>
        <v/>
      </c>
      <c r="S1923">
        <f>IF([@data_scadentei]&lt;[@data_factura],"SCADENTA INAINTEA FACTURII","")</f>
        <v/>
      </c>
      <c r="T1923">
        <f>IF(NETWORKDAYS.INTL([@data_factura],[@data_factura],1,tbl_SarbatoriLegale[data])=0,"ZI NELUCRATOARE","")</f>
        <v/>
      </c>
      <c r="U1923">
        <f>IF([@motiv_anomalie]="","OK","DE INVESTIGAT")</f>
        <v/>
      </c>
      <c r="V1923">
        <f>TEXTJOIN("; ",TRUE,[@flag_oras],[@flag_tva],[@flag_scadenta],[@flag_zi])</f>
        <v/>
      </c>
    </row>
    <row r="1924">
      <c r="A1924" t="inlineStr">
        <is>
          <t>F-2025-01923</t>
        </is>
      </c>
      <c r="B1924" s="12" t="n">
        <v>46042</v>
      </c>
      <c r="C1924" t="inlineStr">
        <is>
          <t>SC AROMET TRADING SRL</t>
        </is>
      </c>
      <c r="D1924" t="inlineStr">
        <is>
          <t>Alba</t>
        </is>
      </c>
      <c r="E1924" t="inlineStr">
        <is>
          <t>PRD-010</t>
        </is>
      </c>
      <c r="F1924" t="inlineStr">
        <is>
          <t>Server rack 1U</t>
        </is>
      </c>
      <c r="G1924" t="inlineStr">
        <is>
          <t>Hardware IT</t>
        </is>
      </c>
      <c r="H1924" t="n">
        <v>50</v>
      </c>
      <c r="I1924" t="n">
        <v>342.22</v>
      </c>
      <c r="J1924" t="n">
        <v>17111</v>
      </c>
      <c r="K1924" s="13" t="n">
        <v>0.19</v>
      </c>
      <c r="L1924" t="n">
        <v>3251.09</v>
      </c>
      <c r="M1924" t="n">
        <v>20362.09</v>
      </c>
      <c r="N1924" t="inlineStr">
        <is>
          <t>RON</t>
        </is>
      </c>
      <c r="O1924" t="inlineStr">
        <is>
          <t>Alba Iulia</t>
        </is>
      </c>
      <c r="P1924" s="12" t="n">
        <v>46087</v>
      </c>
      <c r="Q1924">
        <f>IF(COUNTIF(tbl_Localitati[oras_oficial],[@oras])=0,"ORAS NEALINIAT",IF(XLOOKUP([@oras],tbl_Localitati[oras_oficial],tbl_Localitati[judet],"?")&lt;&gt;[@judet],"JUDET NECORESPUNZATOR",""))</f>
        <v/>
      </c>
      <c r="R1924">
        <f>IF(XLOOKUP([@categorie],tbl_RegulriTVA[categorie],tbl_RegulriTVA[cota_legala],-1)&lt;&gt;[@cota_tva],"TVA GRESIT","")</f>
        <v/>
      </c>
      <c r="S1924">
        <f>IF([@data_scadentei]&lt;[@data_factura],"SCADENTA INAINTEA FACTURII","")</f>
        <v/>
      </c>
      <c r="T1924">
        <f>IF(NETWORKDAYS.INTL([@data_factura],[@data_factura],1,tbl_SarbatoriLegale[data])=0,"ZI NELUCRATOARE","")</f>
        <v/>
      </c>
      <c r="U1924">
        <f>IF([@motiv_anomalie]="","OK","DE INVESTIGAT")</f>
        <v/>
      </c>
      <c r="V1924">
        <f>TEXTJOIN("; ",TRUE,[@flag_oras],[@flag_tva],[@flag_scadenta],[@flag_zi])</f>
        <v/>
      </c>
    </row>
    <row r="1925">
      <c r="A1925" t="inlineStr">
        <is>
          <t>F-2025-01924</t>
        </is>
      </c>
      <c r="B1925" s="12" t="n">
        <v>46164</v>
      </c>
      <c r="C1925" t="inlineStr">
        <is>
          <t>SC NORDIS DISTRIBUTIE SRL</t>
        </is>
      </c>
      <c r="D1925" t="inlineStr">
        <is>
          <t>Constanța</t>
        </is>
      </c>
      <c r="E1925" t="inlineStr">
        <is>
          <t>PRD-009</t>
        </is>
      </c>
      <c r="F1925" t="inlineStr">
        <is>
          <t>Termometru digital</t>
        </is>
      </c>
      <c r="G1925" t="inlineStr">
        <is>
          <t>Produse farmaceutice</t>
        </is>
      </c>
      <c r="H1925" t="n">
        <v>5</v>
      </c>
      <c r="I1925" t="n">
        <v>27.33</v>
      </c>
      <c r="J1925" t="n">
        <v>136.65</v>
      </c>
      <c r="K1925" s="13" t="n">
        <v>0.09</v>
      </c>
      <c r="L1925" t="n">
        <v>12.3</v>
      </c>
      <c r="M1925" t="n">
        <v>148.95</v>
      </c>
      <c r="N1925" t="inlineStr">
        <is>
          <t>RON</t>
        </is>
      </c>
      <c r="O1925" t="inlineStr">
        <is>
          <t>Mangalia</t>
        </is>
      </c>
      <c r="P1925" s="12" t="n">
        <v>46179</v>
      </c>
      <c r="Q1925">
        <f>IF(COUNTIF(tbl_Localitati[oras_oficial],[@oras])=0,"ORAS NEALINIAT",IF(XLOOKUP([@oras],tbl_Localitati[oras_oficial],tbl_Localitati[judet],"?")&lt;&gt;[@judet],"JUDET NECORESPUNZATOR",""))</f>
        <v/>
      </c>
      <c r="R1925">
        <f>IF(XLOOKUP([@categorie],tbl_RegulriTVA[categorie],tbl_RegulriTVA[cota_legala],-1)&lt;&gt;[@cota_tva],"TVA GRESIT","")</f>
        <v/>
      </c>
      <c r="S1925">
        <f>IF([@data_scadentei]&lt;[@data_factura],"SCADENTA INAINTEA FACTURII","")</f>
        <v/>
      </c>
      <c r="T1925">
        <f>IF(NETWORKDAYS.INTL([@data_factura],[@data_factura],1,tbl_SarbatoriLegale[data])=0,"ZI NELUCRATOARE","")</f>
        <v/>
      </c>
      <c r="U1925">
        <f>IF([@motiv_anomalie]="","OK","DE INVESTIGAT")</f>
        <v/>
      </c>
      <c r="V1925">
        <f>TEXTJOIN("; ",TRUE,[@flag_oras],[@flag_tva],[@flag_scadenta],[@flag_zi])</f>
        <v/>
      </c>
    </row>
    <row r="1926">
      <c r="A1926" t="inlineStr">
        <is>
          <t>F-2025-01925</t>
        </is>
      </c>
      <c r="B1926" s="12" t="n">
        <v>46057</v>
      </c>
      <c r="C1926" t="inlineStr">
        <is>
          <t>SC METALPLAST INVEST SA</t>
        </is>
      </c>
      <c r="D1926" t="inlineStr">
        <is>
          <t>Cluj</t>
        </is>
      </c>
      <c r="E1926" t="inlineStr">
        <is>
          <t>PRD-007</t>
        </is>
      </c>
      <c r="F1926" t="inlineStr">
        <is>
          <t>Masti protectie cutie</t>
        </is>
      </c>
      <c r="G1926" t="inlineStr">
        <is>
          <t>Produse farmaceutice</t>
        </is>
      </c>
      <c r="H1926" t="n">
        <v>10</v>
      </c>
      <c r="I1926" t="n">
        <v>172.94</v>
      </c>
      <c r="J1926" t="n">
        <v>1729.4</v>
      </c>
      <c r="K1926" s="13" t="n">
        <v>0.09</v>
      </c>
      <c r="L1926" t="n">
        <v>155.65</v>
      </c>
      <c r="M1926" t="n">
        <v>1885.05</v>
      </c>
      <c r="N1926" t="inlineStr">
        <is>
          <t>RON</t>
        </is>
      </c>
      <c r="O1926" t="inlineStr">
        <is>
          <t>Turda</t>
        </is>
      </c>
      <c r="P1926" s="12" t="n">
        <v>46087</v>
      </c>
      <c r="Q1926">
        <f>IF(COUNTIF(tbl_Localitati[oras_oficial],[@oras])=0,"ORAS NEALINIAT",IF(XLOOKUP([@oras],tbl_Localitati[oras_oficial],tbl_Localitati[judet],"?")&lt;&gt;[@judet],"JUDET NECORESPUNZATOR",""))</f>
        <v/>
      </c>
      <c r="R1926">
        <f>IF(XLOOKUP([@categorie],tbl_RegulriTVA[categorie],tbl_RegulriTVA[cota_legala],-1)&lt;&gt;[@cota_tva],"TVA GRESIT","")</f>
        <v/>
      </c>
      <c r="S1926">
        <f>IF([@data_scadentei]&lt;[@data_factura],"SCADENTA INAINTEA FACTURII","")</f>
        <v/>
      </c>
      <c r="T1926">
        <f>IF(NETWORKDAYS.INTL([@data_factura],[@data_factura],1,tbl_SarbatoriLegale[data])=0,"ZI NELUCRATOARE","")</f>
        <v/>
      </c>
      <c r="U1926">
        <f>IF([@motiv_anomalie]="","OK","DE INVESTIGAT")</f>
        <v/>
      </c>
      <c r="V1926">
        <f>TEXTJOIN("; ",TRUE,[@flag_oras],[@flag_tva],[@flag_scadenta],[@flag_zi])</f>
        <v/>
      </c>
    </row>
    <row r="1927">
      <c r="A1927" t="inlineStr">
        <is>
          <t>F-2025-01926</t>
        </is>
      </c>
      <c r="B1927" s="12" t="n">
        <v>46219</v>
      </c>
      <c r="C1927" t="inlineStr">
        <is>
          <t>SC RAPID LOGISTIC SA</t>
        </is>
      </c>
      <c r="D1927" t="inlineStr">
        <is>
          <t>Prahova</t>
        </is>
      </c>
      <c r="E1927" t="inlineStr">
        <is>
          <t>PRD-005</t>
        </is>
      </c>
      <c r="F1927" t="inlineStr">
        <is>
          <t>Multifunctionala laser</t>
        </is>
      </c>
      <c r="G1927" t="inlineStr">
        <is>
          <t>Echipamente birou</t>
        </is>
      </c>
      <c r="H1927" t="n">
        <v>1</v>
      </c>
      <c r="I1927" t="n">
        <v>256.35</v>
      </c>
      <c r="J1927" t="n">
        <v>256.35</v>
      </c>
      <c r="K1927" s="13" t="n">
        <v>0.19</v>
      </c>
      <c r="L1927" t="n">
        <v>48.71</v>
      </c>
      <c r="M1927" t="n">
        <v>305.06</v>
      </c>
      <c r="N1927" t="inlineStr">
        <is>
          <t>RON</t>
        </is>
      </c>
      <c r="O1927" t="inlineStr">
        <is>
          <t>Ploiești</t>
        </is>
      </c>
      <c r="P1927" s="12" t="n">
        <v>46234</v>
      </c>
      <c r="Q1927">
        <f>IF(COUNTIF(tbl_Localitati[oras_oficial],[@oras])=0,"ORAS NEALINIAT",IF(XLOOKUP([@oras],tbl_Localitati[oras_oficial],tbl_Localitati[judet],"?")&lt;&gt;[@judet],"JUDET NECORESPUNZATOR",""))</f>
        <v/>
      </c>
      <c r="R1927">
        <f>IF(XLOOKUP([@categorie],tbl_RegulriTVA[categorie],tbl_RegulriTVA[cota_legala],-1)&lt;&gt;[@cota_tva],"TVA GRESIT","")</f>
        <v/>
      </c>
      <c r="S1927">
        <f>IF([@data_scadentei]&lt;[@data_factura],"SCADENTA INAINTEA FACTURII","")</f>
        <v/>
      </c>
      <c r="T1927">
        <f>IF(NETWORKDAYS.INTL([@data_factura],[@data_factura],1,tbl_SarbatoriLegale[data])=0,"ZI NELUCRATOARE","")</f>
        <v/>
      </c>
      <c r="U1927">
        <f>IF([@motiv_anomalie]="","OK","DE INVESTIGAT")</f>
        <v/>
      </c>
      <c r="V1927">
        <f>TEXTJOIN("; ",TRUE,[@flag_oras],[@flag_tva],[@flag_scadenta],[@flag_zi])</f>
        <v/>
      </c>
    </row>
    <row r="1928">
      <c r="A1928" t="inlineStr">
        <is>
          <t>F-2025-01927</t>
        </is>
      </c>
      <c r="B1928" s="12" t="n">
        <v>46203</v>
      </c>
      <c r="C1928" t="inlineStr">
        <is>
          <t>SC RAPID LOGISTIC SA</t>
        </is>
      </c>
      <c r="D1928" t="inlineStr">
        <is>
          <t>Prahova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Licențe software</t>
        </is>
      </c>
      <c r="H1928" t="n">
        <v>1</v>
      </c>
      <c r="I1928" t="n">
        <v>740.3099999999999</v>
      </c>
      <c r="J1928" t="n">
        <v>740.3099999999999</v>
      </c>
      <c r="K1928" s="13" t="n">
        <v>0.19</v>
      </c>
      <c r="L1928" t="n">
        <v>140.66</v>
      </c>
      <c r="M1928" t="n">
        <v>880.97</v>
      </c>
      <c r="N1928" t="inlineStr">
        <is>
          <t>RON</t>
        </is>
      </c>
      <c r="O1928" t="inlineStr">
        <is>
          <t>Ploiești</t>
        </is>
      </c>
      <c r="P1928" s="12" t="n">
        <v>46263</v>
      </c>
      <c r="Q1928">
        <f>IF(COUNTIF(tbl_Localitati[oras_oficial],[@oras])=0,"ORAS NEALINIAT",IF(XLOOKUP([@oras],tbl_Localitati[oras_oficial],tbl_Localitati[judet],"?")&lt;&gt;[@judet],"JUDET NECORESPUNZATOR",""))</f>
        <v/>
      </c>
      <c r="R1928">
        <f>IF(XLOOKUP([@categorie],tbl_RegulriTVA[categorie],tbl_RegulriTVA[cota_legala],-1)&lt;&gt;[@cota_tva],"TVA GRESIT","")</f>
        <v/>
      </c>
      <c r="S1928">
        <f>IF([@data_scadentei]&lt;[@data_factura],"SCADENTA INAINTEA FACTURII","")</f>
        <v/>
      </c>
      <c r="T1928">
        <f>IF(NETWORKDAYS.INTL([@data_factura],[@data_factura],1,tbl_SarbatoriLegale[data])=0,"ZI NELUCRATOARE","")</f>
        <v/>
      </c>
      <c r="U1928">
        <f>IF([@motiv_anomalie]="","OK","DE INVESTIGAT")</f>
        <v/>
      </c>
      <c r="V1928">
        <f>TEXTJOIN("; ",TRUE,[@flag_oras],[@flag_tva],[@flag_scadenta],[@flag_zi])</f>
        <v/>
      </c>
    </row>
    <row r="1929">
      <c r="A1929" t="inlineStr">
        <is>
          <t>F-2025-01928</t>
        </is>
      </c>
      <c r="B1929" s="12" t="n">
        <v>46261</v>
      </c>
      <c r="C1929" t="inlineStr">
        <is>
          <t>SC NORDIS DISTRIBUTIE SRL</t>
        </is>
      </c>
      <c r="D1929" t="inlineStr">
        <is>
          <t>Constanța</t>
        </is>
      </c>
      <c r="E1929" t="inlineStr">
        <is>
          <t>PRD-005</t>
        </is>
      </c>
      <c r="F1929" t="inlineStr">
        <is>
          <t>Masti protectie cutie</t>
        </is>
      </c>
      <c r="G1929" t="inlineStr">
        <is>
          <t>Produse farmaceutice</t>
        </is>
      </c>
      <c r="H1929" t="n">
        <v>10</v>
      </c>
      <c r="I1929" t="n">
        <v>249.09</v>
      </c>
      <c r="J1929" t="n">
        <v>2490.9</v>
      </c>
      <c r="K1929" s="13" t="n">
        <v>0.09</v>
      </c>
      <c r="L1929" t="n">
        <v>224.18</v>
      </c>
      <c r="M1929" t="n">
        <v>2715.08</v>
      </c>
      <c r="N1929" t="inlineStr">
        <is>
          <t>RON</t>
        </is>
      </c>
      <c r="O1929" t="inlineStr">
        <is>
          <t>Mangalia</t>
        </is>
      </c>
      <c r="P1929" s="12" t="n">
        <v>46306</v>
      </c>
      <c r="Q1929">
        <f>IF(COUNTIF(tbl_Localitati[oras_oficial],[@oras])=0,"ORAS NEALINIAT",IF(XLOOKUP([@oras],tbl_Localitati[oras_oficial],tbl_Localitati[judet],"?")&lt;&gt;[@judet],"JUDET NECORESPUNZATOR",""))</f>
        <v/>
      </c>
      <c r="R1929">
        <f>IF(XLOOKUP([@categorie],tbl_RegulriTVA[categorie],tbl_RegulriTVA[cota_legala],-1)&lt;&gt;[@cota_tva],"TVA GRESIT","")</f>
        <v/>
      </c>
      <c r="S1929">
        <f>IF([@data_scadentei]&lt;[@data_factura],"SCADENTA INAINTEA FACTURII","")</f>
        <v/>
      </c>
      <c r="T1929">
        <f>IF(NETWORKDAYS.INTL([@data_factura],[@data_factura],1,tbl_SarbatoriLegale[data])=0,"ZI NELUCRATOARE","")</f>
        <v/>
      </c>
      <c r="U1929">
        <f>IF([@motiv_anomalie]="","OK","DE INVESTIGAT")</f>
        <v/>
      </c>
      <c r="V1929">
        <f>TEXTJOIN("; ",TRUE,[@flag_oras],[@flag_tva],[@flag_scadenta],[@flag_zi])</f>
        <v/>
      </c>
    </row>
    <row r="1930">
      <c r="A1930" t="inlineStr">
        <is>
          <t>F-2025-01929</t>
        </is>
      </c>
      <c r="B1930" s="12" t="n">
        <v>46048</v>
      </c>
      <c r="C1930" t="inlineStr">
        <is>
          <t>SC OMEGA SOFT SRL</t>
        </is>
      </c>
      <c r="D1930" t="inlineStr">
        <is>
          <t>Dolj</t>
        </is>
      </c>
      <c r="E1930" t="inlineStr">
        <is>
          <t>PRD-007</t>
        </is>
      </c>
      <c r="F1930" t="inlineStr">
        <is>
          <t>Cafea boabe 1kg</t>
        </is>
      </c>
      <c r="G1930" t="inlineStr">
        <is>
          <t>Alimente</t>
        </is>
      </c>
      <c r="H1930" t="n">
        <v>5</v>
      </c>
      <c r="I1930" t="n">
        <v>177.14</v>
      </c>
      <c r="J1930" t="n">
        <v>885.7</v>
      </c>
      <c r="K1930" s="13" t="n">
        <v>0.09</v>
      </c>
      <c r="L1930" t="n">
        <v>79.70999999999999</v>
      </c>
      <c r="M1930" t="n">
        <v>965.41</v>
      </c>
      <c r="N1930" t="inlineStr">
        <is>
          <t>RON</t>
        </is>
      </c>
      <c r="O1930" t="inlineStr">
        <is>
          <t>Craiova</t>
        </is>
      </c>
      <c r="P1930" s="12" t="n">
        <v>46078</v>
      </c>
      <c r="Q1930">
        <f>IF(COUNTIF(tbl_Localitati[oras_oficial],[@oras])=0,"ORAS NEALINIAT",IF(XLOOKUP([@oras],tbl_Localitati[oras_oficial],tbl_Localitati[judet],"?")&lt;&gt;[@judet],"JUDET NECORESPUNZATOR",""))</f>
        <v/>
      </c>
      <c r="R1930">
        <f>IF(XLOOKUP([@categorie],tbl_RegulriTVA[categorie],tbl_RegulriTVA[cota_legala],-1)&lt;&gt;[@cota_tva],"TVA GRESIT","")</f>
        <v/>
      </c>
      <c r="S1930">
        <f>IF([@data_scadentei]&lt;[@data_factura],"SCADENTA INAINTEA FACTURII","")</f>
        <v/>
      </c>
      <c r="T1930">
        <f>IF(NETWORKDAYS.INTL([@data_factura],[@data_factura],1,tbl_SarbatoriLegale[data])=0,"ZI NELUCRATOARE","")</f>
        <v/>
      </c>
      <c r="U1930">
        <f>IF([@motiv_anomalie]="","OK","DE INVESTIGAT")</f>
        <v/>
      </c>
      <c r="V1930">
        <f>TEXTJOIN("; ",TRUE,[@flag_oras],[@flag_tva],[@flag_scadenta],[@flag_zi])</f>
        <v/>
      </c>
    </row>
    <row r="1931">
      <c r="A1931" t="inlineStr">
        <is>
          <t>F-2025-01930</t>
        </is>
      </c>
      <c r="B1931" s="12" t="n">
        <v>46197</v>
      </c>
      <c r="C1931" t="inlineStr">
        <is>
          <t>SC ZENITH AUTO SRL</t>
        </is>
      </c>
      <c r="D1931" t="inlineStr">
        <is>
          <t>București</t>
        </is>
      </c>
      <c r="E1931" t="inlineStr">
        <is>
          <t>PRD-008</t>
        </is>
      </c>
      <c r="F1931" t="inlineStr">
        <is>
          <t>Telefon IP birou</t>
        </is>
      </c>
      <c r="G1931" t="inlineStr">
        <is>
          <t>Echipamente birou</t>
        </is>
      </c>
      <c r="H1931" t="n">
        <v>1</v>
      </c>
      <c r="I1931" t="n">
        <v>438.58</v>
      </c>
      <c r="J1931" t="n">
        <v>438.58</v>
      </c>
      <c r="K1931" s="13" t="n">
        <v>0.19</v>
      </c>
      <c r="L1931" t="n">
        <v>83.33</v>
      </c>
      <c r="M1931" t="n">
        <v>521.91</v>
      </c>
      <c r="N1931" t="inlineStr">
        <is>
          <t>EUR</t>
        </is>
      </c>
      <c r="O1931" t="inlineStr">
        <is>
          <t>București</t>
        </is>
      </c>
      <c r="P1931" s="12" t="n">
        <v>46242</v>
      </c>
      <c r="Q1931">
        <f>IF(COUNTIF(tbl_Localitati[oras_oficial],[@oras])=0,"ORAS NEALINIAT",IF(XLOOKUP([@oras],tbl_Localitati[oras_oficial],tbl_Localitati[judet],"?")&lt;&gt;[@judet],"JUDET NECORESPUNZATOR",""))</f>
        <v/>
      </c>
      <c r="R1931">
        <f>IF(XLOOKUP([@categorie],tbl_RegulriTVA[categorie],tbl_RegulriTVA[cota_legala],-1)&lt;&gt;[@cota_tva],"TVA GRESIT","")</f>
        <v/>
      </c>
      <c r="S1931">
        <f>IF([@data_scadentei]&lt;[@data_factura],"SCADENTA INAINTEA FACTURII","")</f>
        <v/>
      </c>
      <c r="T1931">
        <f>IF(NETWORKDAYS.INTL([@data_factura],[@data_factura],1,tbl_SarbatoriLegale[data])=0,"ZI NELUCRATOARE","")</f>
        <v/>
      </c>
      <c r="U1931">
        <f>IF([@motiv_anomalie]="","OK","DE INVESTIGAT")</f>
        <v/>
      </c>
      <c r="V1931">
        <f>TEXTJOIN("; ",TRUE,[@flag_oras],[@flag_tva],[@flag_scadenta],[@flag_zi])</f>
        <v/>
      </c>
    </row>
    <row r="1932">
      <c r="A1932" t="inlineStr">
        <is>
          <t>F-2025-01931</t>
        </is>
      </c>
      <c r="B1932" s="12" t="n">
        <v>46296</v>
      </c>
      <c r="C1932" t="inlineStr">
        <is>
          <t>SC AROMET TRADING SRL</t>
        </is>
      </c>
      <c r="D1932" t="inlineStr">
        <is>
          <t>Alba</t>
        </is>
      </c>
      <c r="E1932" t="inlineStr">
        <is>
          <t>PRD-001</t>
        </is>
      </c>
      <c r="F1932" t="inlineStr">
        <is>
          <t>Training utilizatori</t>
        </is>
      </c>
      <c r="G1932" t="inlineStr">
        <is>
          <t>Servicii consultanță</t>
        </is>
      </c>
      <c r="H1932" t="n">
        <v>5</v>
      </c>
      <c r="I1932" t="n">
        <v>2393.48</v>
      </c>
      <c r="J1932" t="n">
        <v>11967.4</v>
      </c>
      <c r="K1932" s="13" t="n">
        <v>0.19</v>
      </c>
      <c r="L1932" t="n">
        <v>2273.81</v>
      </c>
      <c r="M1932" t="n">
        <v>14241.21</v>
      </c>
      <c r="N1932" t="inlineStr">
        <is>
          <t>RON</t>
        </is>
      </c>
      <c r="O1932" t="inlineStr">
        <is>
          <t>Alba Iulia</t>
        </is>
      </c>
      <c r="P1932" s="12" t="n">
        <v>46326</v>
      </c>
      <c r="Q1932">
        <f>IF(COUNTIF(tbl_Localitati[oras_oficial],[@oras])=0,"ORAS NEALINIAT",IF(XLOOKUP([@oras],tbl_Localitati[oras_oficial],tbl_Localitati[judet],"?")&lt;&gt;[@judet],"JUDET NECORESPUNZATOR",""))</f>
        <v/>
      </c>
      <c r="R1932">
        <f>IF(XLOOKUP([@categorie],tbl_RegulriTVA[categorie],tbl_RegulriTVA[cota_legala],-1)&lt;&gt;[@cota_tva],"TVA GRESIT","")</f>
        <v/>
      </c>
      <c r="S1932">
        <f>IF([@data_scadentei]&lt;[@data_factura],"SCADENTA INAINTEA FACTURII","")</f>
        <v/>
      </c>
      <c r="T1932">
        <f>IF(NETWORKDAYS.INTL([@data_factura],[@data_factura],1,tbl_SarbatoriLegale[data])=0,"ZI NELUCRATOARE","")</f>
        <v/>
      </c>
      <c r="U1932">
        <f>IF([@motiv_anomalie]="","OK","DE INVESTIGAT")</f>
        <v/>
      </c>
      <c r="V1932">
        <f>TEXTJOIN("; ",TRUE,[@flag_oras],[@flag_tva],[@flag_scadenta],[@flag_zi])</f>
        <v/>
      </c>
    </row>
    <row r="1933">
      <c r="A1933" t="inlineStr">
        <is>
          <t>F-2025-01932</t>
        </is>
      </c>
      <c r="B1933" s="12" t="n">
        <v>46380</v>
      </c>
      <c r="C1933" t="inlineStr">
        <is>
          <t>SC VECTOR CONSULT SRL</t>
        </is>
      </c>
      <c r="D1933" t="inlineStr">
        <is>
          <t>Timiș</t>
        </is>
      </c>
      <c r="E1933" t="inlineStr">
        <is>
          <t>PRD-001</t>
        </is>
      </c>
      <c r="F1933" t="inlineStr">
        <is>
          <t>Licenta ERP contabilitate</t>
        </is>
      </c>
      <c r="G1933" t="inlineStr">
        <is>
          <t>Licențe software</t>
        </is>
      </c>
      <c r="H1933" t="n">
        <v>3</v>
      </c>
      <c r="I1933" t="n">
        <v>2356.47</v>
      </c>
      <c r="J1933" t="n">
        <v>7069.41</v>
      </c>
      <c r="K1933" s="13" t="n">
        <v>0.19</v>
      </c>
      <c r="L1933" t="n">
        <v>1343.19</v>
      </c>
      <c r="M1933" t="n">
        <v>8412.6</v>
      </c>
      <c r="N1933" t="inlineStr">
        <is>
          <t>RON</t>
        </is>
      </c>
      <c r="O1933" t="inlineStr">
        <is>
          <t>Timișoara</t>
        </is>
      </c>
      <c r="P1933" s="12" t="n">
        <v>46410</v>
      </c>
      <c r="Q1933">
        <f>IF(COUNTIF(tbl_Localitati[oras_oficial],[@oras])=0,"ORAS NEALINIAT",IF(XLOOKUP([@oras],tbl_Localitati[oras_oficial],tbl_Localitati[judet],"?")&lt;&gt;[@judet],"JUDET NECORESPUNZATOR",""))</f>
        <v/>
      </c>
      <c r="R1933">
        <f>IF(XLOOKUP([@categorie],tbl_RegulriTVA[categorie],tbl_RegulriTVA[cota_legala],-1)&lt;&gt;[@cota_tva],"TVA GRESIT","")</f>
        <v/>
      </c>
      <c r="S1933">
        <f>IF([@data_scadentei]&lt;[@data_factura],"SCADENTA INAINTEA FACTURII","")</f>
        <v/>
      </c>
      <c r="T1933">
        <f>IF(NETWORKDAYS.INTL([@data_factura],[@data_factura],1,tbl_SarbatoriLegale[data])=0,"ZI NELUCRATOARE","")</f>
        <v/>
      </c>
      <c r="U1933">
        <f>IF([@motiv_anomalie]="","OK","DE INVESTIGAT")</f>
        <v/>
      </c>
      <c r="V1933">
        <f>TEXTJOIN("; ",TRUE,[@flag_oras],[@flag_tva],[@flag_scadenta],[@flag_zi])</f>
        <v/>
      </c>
    </row>
    <row r="1934">
      <c r="A1934" t="inlineStr">
        <is>
          <t>F-2025-01933</t>
        </is>
      </c>
      <c r="B1934" s="12" t="n">
        <v>46042</v>
      </c>
      <c r="C1934" t="inlineStr">
        <is>
          <t>SC INTEGROMED SA</t>
        </is>
      </c>
      <c r="D1934" t="inlineStr">
        <is>
          <t>Cluj</t>
        </is>
      </c>
      <c r="E1934" t="inlineStr">
        <is>
          <t>PRD-009</t>
        </is>
      </c>
      <c r="F1934" t="inlineStr">
        <is>
          <t>Switch gigabit 24p</t>
        </is>
      </c>
      <c r="G1934" t="inlineStr">
        <is>
          <t>Hardware IT</t>
        </is>
      </c>
      <c r="H1934" t="n">
        <v>10</v>
      </c>
      <c r="I1934" t="n">
        <v>27.44</v>
      </c>
      <c r="J1934" t="n">
        <v>274.4</v>
      </c>
      <c r="K1934" s="13" t="n">
        <v>0.19</v>
      </c>
      <c r="L1934" t="n">
        <v>52.14</v>
      </c>
      <c r="M1934" t="n">
        <v>326.54</v>
      </c>
      <c r="N1934" t="inlineStr">
        <is>
          <t>RON</t>
        </is>
      </c>
      <c r="O1934" t="inlineStr">
        <is>
          <t>Cluj-Napoca</t>
        </is>
      </c>
      <c r="P1934" s="12" t="n">
        <v>46102</v>
      </c>
      <c r="Q1934">
        <f>IF(COUNTIF(tbl_Localitati[oras_oficial],[@oras])=0,"ORAS NEALINIAT",IF(XLOOKUP([@oras],tbl_Localitati[oras_oficial],tbl_Localitati[judet],"?")&lt;&gt;[@judet],"JUDET NECORESPUNZATOR",""))</f>
        <v/>
      </c>
      <c r="R1934">
        <f>IF(XLOOKUP([@categorie],tbl_RegulriTVA[categorie],tbl_RegulriTVA[cota_legala],-1)&lt;&gt;[@cota_tva],"TVA GRESIT","")</f>
        <v/>
      </c>
      <c r="S1934">
        <f>IF([@data_scadentei]&lt;[@data_factura],"SCADENTA INAINTEA FACTURII","")</f>
        <v/>
      </c>
      <c r="T1934">
        <f>IF(NETWORKDAYS.INTL([@data_factura],[@data_factura],1,tbl_SarbatoriLegale[data])=0,"ZI NELUCRATOARE","")</f>
        <v/>
      </c>
      <c r="U1934">
        <f>IF([@motiv_anomalie]="","OK","DE INVESTIGAT")</f>
        <v/>
      </c>
      <c r="V1934">
        <f>TEXTJOIN("; ",TRUE,[@flag_oras],[@flag_tva],[@flag_scadenta],[@flag_zi])</f>
        <v/>
      </c>
    </row>
    <row r="1935">
      <c r="A1935" t="inlineStr">
        <is>
          <t>F-2025-01934</t>
        </is>
      </c>
      <c r="B1935" s="12" t="n">
        <v>46140</v>
      </c>
      <c r="C1935" t="inlineStr">
        <is>
          <t>SC OMEGA SOFT SRL</t>
        </is>
      </c>
      <c r="D1935" t="inlineStr">
        <is>
          <t>Dolj</t>
        </is>
      </c>
      <c r="E1935" t="inlineStr">
        <is>
          <t>PRD-010</t>
        </is>
      </c>
      <c r="F1935" t="inlineStr">
        <is>
          <t>Ghid legislatie GDPR</t>
        </is>
      </c>
      <c r="G1935" t="inlineStr">
        <is>
          <t>Cărți și manuale</t>
        </is>
      </c>
      <c r="H1935" t="n">
        <v>100</v>
      </c>
      <c r="I1935" t="n">
        <v>341.81</v>
      </c>
      <c r="J1935" t="n">
        <v>34181</v>
      </c>
      <c r="K1935" s="13" t="n">
        <v>0.05</v>
      </c>
      <c r="L1935" t="n">
        <v>1709.05</v>
      </c>
      <c r="M1935" t="n">
        <v>35890.05</v>
      </c>
      <c r="N1935" t="inlineStr">
        <is>
          <t>RON</t>
        </is>
      </c>
      <c r="O1935" t="inlineStr">
        <is>
          <t>Craiova</t>
        </is>
      </c>
      <c r="P1935" s="12" t="n">
        <v>46200</v>
      </c>
      <c r="Q1935">
        <f>IF(COUNTIF(tbl_Localitati[oras_oficial],[@oras])=0,"ORAS NEALINIAT",IF(XLOOKUP([@oras],tbl_Localitati[oras_oficial],tbl_Localitati[judet],"?")&lt;&gt;[@judet],"JUDET NECORESPUNZATOR",""))</f>
        <v/>
      </c>
      <c r="R1935">
        <f>IF(XLOOKUP([@categorie],tbl_RegulriTVA[categorie],tbl_RegulriTVA[cota_legala],-1)&lt;&gt;[@cota_tva],"TVA GRESIT","")</f>
        <v/>
      </c>
      <c r="S1935">
        <f>IF([@data_scadentei]&lt;[@data_factura],"SCADENTA INAINTEA FACTURII","")</f>
        <v/>
      </c>
      <c r="T1935">
        <f>IF(NETWORKDAYS.INTL([@data_factura],[@data_factura],1,tbl_SarbatoriLegale[data])=0,"ZI NELUCRATOARE","")</f>
        <v/>
      </c>
      <c r="U1935">
        <f>IF([@motiv_anomalie]="","OK","DE INVESTIGAT")</f>
        <v/>
      </c>
      <c r="V1935">
        <f>TEXTJOIN("; ",TRUE,[@flag_oras],[@flag_tva],[@flag_scadenta],[@flag_zi])</f>
        <v/>
      </c>
    </row>
    <row r="1936">
      <c r="A1936" t="inlineStr">
        <is>
          <t>F-2025-01935</t>
        </is>
      </c>
      <c r="B1936" s="12" t="n">
        <v>46260</v>
      </c>
      <c r="C1936" t="inlineStr">
        <is>
          <t>SC DACTECH SOLUTIONS SRL</t>
        </is>
      </c>
      <c r="D1936" t="inlineStr">
        <is>
          <t>Argeș</t>
        </is>
      </c>
      <c r="E1936" t="inlineStr">
        <is>
          <t>PRD-005</t>
        </is>
      </c>
      <c r="F1936" t="inlineStr">
        <is>
          <t>Switch gigabit 24p</t>
        </is>
      </c>
      <c r="G1936" t="inlineStr">
        <is>
          <t>Hardware IT</t>
        </is>
      </c>
      <c r="H1936" t="n">
        <v>1</v>
      </c>
      <c r="I1936" t="n">
        <v>260.42</v>
      </c>
      <c r="J1936" t="n">
        <v>260.42</v>
      </c>
      <c r="K1936" s="13" t="n">
        <v>0.19</v>
      </c>
      <c r="L1936" t="n">
        <v>49.48</v>
      </c>
      <c r="M1936" t="n">
        <v>309.9</v>
      </c>
      <c r="N1936" t="inlineStr">
        <is>
          <t>RON</t>
        </is>
      </c>
      <c r="O1936" t="inlineStr">
        <is>
          <t>Pitești</t>
        </is>
      </c>
      <c r="P1936" s="12" t="n">
        <v>46290</v>
      </c>
      <c r="Q1936">
        <f>IF(COUNTIF(tbl_Localitati[oras_oficial],[@oras])=0,"ORAS NEALINIAT",IF(XLOOKUP([@oras],tbl_Localitati[oras_oficial],tbl_Localitati[judet],"?")&lt;&gt;[@judet],"JUDET NECORESPUNZATOR",""))</f>
        <v/>
      </c>
      <c r="R1936">
        <f>IF(XLOOKUP([@categorie],tbl_RegulriTVA[categorie],tbl_RegulriTVA[cota_legala],-1)&lt;&gt;[@cota_tva],"TVA GRESIT","")</f>
        <v/>
      </c>
      <c r="S1936">
        <f>IF([@data_scadentei]&lt;[@data_factura],"SCADENTA INAINTEA FACTURII","")</f>
        <v/>
      </c>
      <c r="T1936">
        <f>IF(NETWORKDAYS.INTL([@data_factura],[@data_factura],1,tbl_SarbatoriLegale[data])=0,"ZI NELUCRATOARE","")</f>
        <v/>
      </c>
      <c r="U1936">
        <f>IF([@motiv_anomalie]="","OK","DE INVESTIGAT")</f>
        <v/>
      </c>
      <c r="V1936">
        <f>TEXTJOIN("; ",TRUE,[@flag_oras],[@flag_tva],[@flag_scadenta],[@flag_zi])</f>
        <v/>
      </c>
    </row>
    <row r="1937">
      <c r="A1937" t="inlineStr">
        <is>
          <t>F-2025-01936</t>
        </is>
      </c>
      <c r="B1937" s="12" t="n">
        <v>46239</v>
      </c>
      <c r="C1937" t="inlineStr">
        <is>
          <t>SC AROMET TRADING SRL</t>
        </is>
      </c>
      <c r="D1937" t="inlineStr">
        <is>
          <t>Alba</t>
        </is>
      </c>
      <c r="E1937" t="inlineStr">
        <is>
          <t>PRD-001</t>
        </is>
      </c>
      <c r="F1937" t="inlineStr">
        <is>
          <t>Monitor 27" 4K</t>
        </is>
      </c>
      <c r="G1937" t="inlineStr">
        <is>
          <t>Hardware IT</t>
        </is>
      </c>
      <c r="H1937" t="n">
        <v>2</v>
      </c>
      <c r="I1937" t="n">
        <v>2426.32</v>
      </c>
      <c r="J1937" t="n">
        <v>4852.64</v>
      </c>
      <c r="K1937" s="13" t="n">
        <v>0.19</v>
      </c>
      <c r="L1937" t="n">
        <v>922</v>
      </c>
      <c r="M1937" t="n">
        <v>5774.64</v>
      </c>
      <c r="N1937" t="inlineStr">
        <is>
          <t>USD</t>
        </is>
      </c>
      <c r="O1937" t="inlineStr">
        <is>
          <t>Alba Iulia</t>
        </is>
      </c>
      <c r="P1937" s="12" t="n">
        <v>46254</v>
      </c>
      <c r="Q1937">
        <f>IF(COUNTIF(tbl_Localitati[oras_oficial],[@oras])=0,"ORAS NEALINIAT",IF(XLOOKUP([@oras],tbl_Localitati[oras_oficial],tbl_Localitati[judet],"?")&lt;&gt;[@judet],"JUDET NECORESPUNZATOR",""))</f>
        <v/>
      </c>
      <c r="R1937">
        <f>IF(XLOOKUP([@categorie],tbl_RegulriTVA[categorie],tbl_RegulriTVA[cota_legala],-1)&lt;&gt;[@cota_tva],"TVA GRESIT","")</f>
        <v/>
      </c>
      <c r="S1937">
        <f>IF([@data_scadentei]&lt;[@data_factura],"SCADENTA INAINTEA FACTURII","")</f>
        <v/>
      </c>
      <c r="T1937">
        <f>IF(NETWORKDAYS.INTL([@data_factura],[@data_factura],1,tbl_SarbatoriLegale[data])=0,"ZI NELUCRATOARE","")</f>
        <v/>
      </c>
      <c r="U1937">
        <f>IF([@motiv_anomalie]="","OK","DE INVESTIGAT")</f>
        <v/>
      </c>
      <c r="V1937">
        <f>TEXTJOIN("; ",TRUE,[@flag_oras],[@flag_tva],[@flag_scadenta],[@flag_zi])</f>
        <v/>
      </c>
    </row>
    <row r="1938">
      <c r="A1938" t="inlineStr">
        <is>
          <t>F-2025-01937</t>
        </is>
      </c>
      <c r="B1938" s="12" t="n">
        <v>46258</v>
      </c>
      <c r="C1938" t="inlineStr">
        <is>
          <t>SC AROMET TRADING SRL</t>
        </is>
      </c>
      <c r="D1938" t="inlineStr">
        <is>
          <t>Alba</t>
        </is>
      </c>
      <c r="E1938" t="inlineStr">
        <is>
          <t>PRD-006</t>
        </is>
      </c>
      <c r="F1938" t="inlineStr">
        <is>
          <t>Masti protectie cutie</t>
        </is>
      </c>
      <c r="G1938" t="inlineStr">
        <is>
          <t>Produse farmaceutice</t>
        </is>
      </c>
      <c r="H1938" t="n">
        <v>1</v>
      </c>
      <c r="I1938" t="n">
        <v>768.01</v>
      </c>
      <c r="J1938" t="n">
        <v>768.01</v>
      </c>
      <c r="K1938" s="13" t="n">
        <v>0.09</v>
      </c>
      <c r="L1938" t="n">
        <v>69.12</v>
      </c>
      <c r="M1938" t="n">
        <v>837.13</v>
      </c>
      <c r="N1938" t="inlineStr">
        <is>
          <t>RON</t>
        </is>
      </c>
      <c r="O1938" t="inlineStr">
        <is>
          <t>Alba Iulia</t>
        </is>
      </c>
      <c r="P1938" s="12" t="n">
        <v>46273</v>
      </c>
      <c r="Q1938">
        <f>IF(COUNTIF(tbl_Localitati[oras_oficial],[@oras])=0,"ORAS NEALINIAT",IF(XLOOKUP([@oras],tbl_Localitati[oras_oficial],tbl_Localitati[judet],"?")&lt;&gt;[@judet],"JUDET NECORESPUNZATOR",""))</f>
        <v/>
      </c>
      <c r="R1938">
        <f>IF(XLOOKUP([@categorie],tbl_RegulriTVA[categorie],tbl_RegulriTVA[cota_legala],-1)&lt;&gt;[@cota_tva],"TVA GRESIT","")</f>
        <v/>
      </c>
      <c r="S1938">
        <f>IF([@data_scadentei]&lt;[@data_factura],"SCADENTA INAINTEA FACTURII","")</f>
        <v/>
      </c>
      <c r="T1938">
        <f>IF(NETWORKDAYS.INTL([@data_factura],[@data_factura],1,tbl_SarbatoriLegale[data])=0,"ZI NELUCRATOARE","")</f>
        <v/>
      </c>
      <c r="U1938">
        <f>IF([@motiv_anomalie]="","OK","DE INVESTIGAT")</f>
        <v/>
      </c>
      <c r="V1938">
        <f>TEXTJOIN("; ",TRUE,[@flag_oras],[@flag_tva],[@flag_scadenta],[@flag_zi])</f>
        <v/>
      </c>
    </row>
    <row r="1939">
      <c r="A1939" t="inlineStr">
        <is>
          <t>F-2025-01938</t>
        </is>
      </c>
      <c r="B1939" s="12" t="n">
        <v>46058</v>
      </c>
      <c r="C1939" t="inlineStr">
        <is>
          <t>SC ZENITH AUTO SRL</t>
        </is>
      </c>
      <c r="D1939" t="inlineStr">
        <is>
          <t>București</t>
        </is>
      </c>
      <c r="E1939" t="inlineStr">
        <is>
          <t>PRD-007</t>
        </is>
      </c>
      <c r="F1939" t="inlineStr">
        <is>
          <t>Multifunctionala laser</t>
        </is>
      </c>
      <c r="G1939" t="inlineStr">
        <is>
          <t>Echipamente birou</t>
        </is>
      </c>
      <c r="H1939" t="n">
        <v>25</v>
      </c>
      <c r="I1939" t="n">
        <v>188.78</v>
      </c>
      <c r="J1939" t="n">
        <v>4719.5</v>
      </c>
      <c r="K1939" s="13" t="n">
        <v>0.19</v>
      </c>
      <c r="L1939" t="n">
        <v>896.71</v>
      </c>
      <c r="M1939" t="n">
        <v>5616.21</v>
      </c>
      <c r="N1939" t="inlineStr">
        <is>
          <t>RON</t>
        </is>
      </c>
      <c r="O1939" t="inlineStr">
        <is>
          <t>București</t>
        </is>
      </c>
      <c r="P1939" s="12" t="n">
        <v>46088</v>
      </c>
      <c r="Q1939">
        <f>IF(COUNTIF(tbl_Localitati[oras_oficial],[@oras])=0,"ORAS NEALINIAT",IF(XLOOKUP([@oras],tbl_Localitati[oras_oficial],tbl_Localitati[judet],"?")&lt;&gt;[@judet],"JUDET NECORESPUNZATOR",""))</f>
        <v/>
      </c>
      <c r="R1939">
        <f>IF(XLOOKUP([@categorie],tbl_RegulriTVA[categorie],tbl_RegulriTVA[cota_legala],-1)&lt;&gt;[@cota_tva],"TVA GRESIT","")</f>
        <v/>
      </c>
      <c r="S1939">
        <f>IF([@data_scadentei]&lt;[@data_factura],"SCADENTA INAINTEA FACTURII","")</f>
        <v/>
      </c>
      <c r="T1939">
        <f>IF(NETWORKDAYS.INTL([@data_factura],[@data_factura],1,tbl_SarbatoriLegale[data])=0,"ZI NELUCRATOARE","")</f>
        <v/>
      </c>
      <c r="U1939">
        <f>IF([@motiv_anomalie]="","OK","DE INVESTIGAT")</f>
        <v/>
      </c>
      <c r="V1939">
        <f>TEXTJOIN("; ",TRUE,[@flag_oras],[@flag_tva],[@flag_scadenta],[@flag_zi])</f>
        <v/>
      </c>
    </row>
    <row r="1940">
      <c r="A1940" t="inlineStr">
        <is>
          <t>F-2025-01939</t>
        </is>
      </c>
      <c r="B1940" s="12" t="n">
        <v>46119</v>
      </c>
      <c r="C1940" t="inlineStr">
        <is>
          <t>SC NORDIS DISTRIBUTIE SRL</t>
        </is>
      </c>
      <c r="D1940" t="inlineStr">
        <is>
          <t>Constanța</t>
        </is>
      </c>
      <c r="E1940" t="inlineStr">
        <is>
          <t>PRD-011</t>
        </is>
      </c>
      <c r="F1940" t="inlineStr">
        <is>
          <t>Licenta ERP contabilitate</t>
        </is>
      </c>
      <c r="G1940" t="inlineStr">
        <is>
          <t>Licențe software</t>
        </is>
      </c>
      <c r="H1940" t="n">
        <v>5</v>
      </c>
      <c r="I1940" t="n">
        <v>47.11</v>
      </c>
      <c r="J1940" t="n">
        <v>235.55</v>
      </c>
      <c r="K1940" s="13" t="n">
        <v>0.19</v>
      </c>
      <c r="L1940" t="n">
        <v>44.75</v>
      </c>
      <c r="M1940" t="n">
        <v>280.3</v>
      </c>
      <c r="N1940" t="inlineStr">
        <is>
          <t>EUR</t>
        </is>
      </c>
      <c r="O1940" t="inlineStr">
        <is>
          <t>Mangalia</t>
        </is>
      </c>
      <c r="P1940" s="12" t="n">
        <v>46149</v>
      </c>
      <c r="Q1940">
        <f>IF(COUNTIF(tbl_Localitati[oras_oficial],[@oras])=0,"ORAS NEALINIAT",IF(XLOOKUP([@oras],tbl_Localitati[oras_oficial],tbl_Localitati[judet],"?")&lt;&gt;[@judet],"JUDET NECORESPUNZATOR",""))</f>
        <v/>
      </c>
      <c r="R1940">
        <f>IF(XLOOKUP([@categorie],tbl_RegulriTVA[categorie],tbl_RegulriTVA[cota_legala],-1)&lt;&gt;[@cota_tva],"TVA GRESIT","")</f>
        <v/>
      </c>
      <c r="S1940">
        <f>IF([@data_scadentei]&lt;[@data_factura],"SCADENTA INAINTEA FACTURII","")</f>
        <v/>
      </c>
      <c r="T1940">
        <f>IF(NETWORKDAYS.INTL([@data_factura],[@data_factura],1,tbl_SarbatoriLegale[data])=0,"ZI NELUCRATOARE","")</f>
        <v/>
      </c>
      <c r="U1940">
        <f>IF([@motiv_anomalie]="","OK","DE INVESTIGAT")</f>
        <v/>
      </c>
      <c r="V1940">
        <f>TEXTJOIN("; ",TRUE,[@flag_oras],[@flag_tva],[@flag_scadenta],[@flag_zi])</f>
        <v/>
      </c>
    </row>
    <row r="1941">
      <c r="A1941" t="inlineStr">
        <is>
          <t>F-2025-01940</t>
        </is>
      </c>
      <c r="B1941" s="12" t="n">
        <v>46342</v>
      </c>
      <c r="C1941" t="inlineStr">
        <is>
          <t>SC AROMET TRADING SRL</t>
        </is>
      </c>
      <c r="D1941" t="inlineStr">
        <is>
          <t>Alba</t>
        </is>
      </c>
      <c r="E1941" t="inlineStr">
        <is>
          <t>PRD-009</t>
        </is>
      </c>
      <c r="F1941" t="inlineStr">
        <is>
          <t>Licenta Office 365 anuala</t>
        </is>
      </c>
      <c r="G1941" t="inlineStr">
        <is>
          <t>Licențe software</t>
        </is>
      </c>
      <c r="H1941" t="n">
        <v>10</v>
      </c>
      <c r="I1941" t="n">
        <v>26.79</v>
      </c>
      <c r="J1941" t="n">
        <v>267.9</v>
      </c>
      <c r="K1941" s="13" t="n">
        <v>0.19</v>
      </c>
      <c r="L1941" t="n">
        <v>50.9</v>
      </c>
      <c r="M1941" t="n">
        <v>318.8</v>
      </c>
      <c r="N1941" t="inlineStr">
        <is>
          <t>RON</t>
        </is>
      </c>
      <c r="O1941" t="inlineStr">
        <is>
          <t>Alba Iulia</t>
        </is>
      </c>
      <c r="P1941" s="12" t="n">
        <v>46372</v>
      </c>
      <c r="Q1941">
        <f>IF(COUNTIF(tbl_Localitati[oras_oficial],[@oras])=0,"ORAS NEALINIAT",IF(XLOOKUP([@oras],tbl_Localitati[oras_oficial],tbl_Localitati[judet],"?")&lt;&gt;[@judet],"JUDET NECORESPUNZATOR",""))</f>
        <v/>
      </c>
      <c r="R1941">
        <f>IF(XLOOKUP([@categorie],tbl_RegulriTVA[categorie],tbl_RegulriTVA[cota_legala],-1)&lt;&gt;[@cota_tva],"TVA GRESIT","")</f>
        <v/>
      </c>
      <c r="S1941">
        <f>IF([@data_scadentei]&lt;[@data_factura],"SCADENTA INAINTEA FACTURII","")</f>
        <v/>
      </c>
      <c r="T1941">
        <f>IF(NETWORKDAYS.INTL([@data_factura],[@data_factura],1,tbl_SarbatoriLegale[data])=0,"ZI NELUCRATOARE","")</f>
        <v/>
      </c>
      <c r="U1941">
        <f>IF([@motiv_anomalie]="","OK","DE INVESTIGAT")</f>
        <v/>
      </c>
      <c r="V1941">
        <f>TEXTJOIN("; ",TRUE,[@flag_oras],[@flag_tva],[@flag_scadenta],[@flag_zi])</f>
        <v/>
      </c>
    </row>
    <row r="1942">
      <c r="A1942" t="inlineStr">
        <is>
          <t>F-2025-01941</t>
        </is>
      </c>
      <c r="B1942" s="12" t="n">
        <v>46069</v>
      </c>
      <c r="C1942" t="inlineStr">
        <is>
          <t>SC DACTECH SOLUTIONS SRL</t>
        </is>
      </c>
      <c r="D1942" t="inlineStr">
        <is>
          <t>Argeș</t>
        </is>
      </c>
      <c r="E1942" t="inlineStr">
        <is>
          <t>PRD-006</t>
        </is>
      </c>
      <c r="F1942" t="inlineStr">
        <is>
          <t>Dezinfectant maini 5L</t>
        </is>
      </c>
      <c r="G1942" t="inlineStr">
        <is>
          <t>Produse farmaceutice</t>
        </is>
      </c>
      <c r="H1942" t="n">
        <v>25</v>
      </c>
      <c r="I1942" t="n">
        <v>749.22</v>
      </c>
      <c r="J1942" t="n">
        <v>18730.5</v>
      </c>
      <c r="K1942" s="13" t="n">
        <v>0.09</v>
      </c>
      <c r="L1942" t="n">
        <v>1685.74</v>
      </c>
      <c r="M1942" t="n">
        <v>20416.24</v>
      </c>
      <c r="N1942" t="inlineStr">
        <is>
          <t>RON</t>
        </is>
      </c>
      <c r="O1942" t="inlineStr">
        <is>
          <t>Pitești</t>
        </is>
      </c>
      <c r="P1942" s="12" t="n">
        <v>46114</v>
      </c>
      <c r="Q1942">
        <f>IF(COUNTIF(tbl_Localitati[oras_oficial],[@oras])=0,"ORAS NEALINIAT",IF(XLOOKUP([@oras],tbl_Localitati[oras_oficial],tbl_Localitati[judet],"?")&lt;&gt;[@judet],"JUDET NECORESPUNZATOR",""))</f>
        <v/>
      </c>
      <c r="R1942">
        <f>IF(XLOOKUP([@categorie],tbl_RegulriTVA[categorie],tbl_RegulriTVA[cota_legala],-1)&lt;&gt;[@cota_tva],"TVA GRESIT","")</f>
        <v/>
      </c>
      <c r="S1942">
        <f>IF([@data_scadentei]&lt;[@data_factura],"SCADENTA INAINTEA FACTURII","")</f>
        <v/>
      </c>
      <c r="T1942">
        <f>IF(NETWORKDAYS.INTL([@data_factura],[@data_factura],1,tbl_SarbatoriLegale[data])=0,"ZI NELUCRATOARE","")</f>
        <v/>
      </c>
      <c r="U1942">
        <f>IF([@motiv_anomalie]="","OK","DE INVESTIGAT")</f>
        <v/>
      </c>
      <c r="V1942">
        <f>TEXTJOIN("; ",TRUE,[@flag_oras],[@flag_tva],[@flag_scadenta],[@flag_zi])</f>
        <v/>
      </c>
    </row>
    <row r="1943">
      <c r="A1943" t="inlineStr">
        <is>
          <t>F-2025-01942</t>
        </is>
      </c>
      <c r="B1943" s="12" t="n">
        <v>46300</v>
      </c>
      <c r="C1943" t="inlineStr">
        <is>
          <t>SC AROMET TRADING SRL</t>
        </is>
      </c>
      <c r="D1943" t="inlineStr">
        <is>
          <t>Alba</t>
        </is>
      </c>
      <c r="E1943" t="inlineStr">
        <is>
          <t>PRD-001</t>
        </is>
      </c>
      <c r="F1943" t="inlineStr">
        <is>
          <t>Training utilizatori</t>
        </is>
      </c>
      <c r="G1943" t="inlineStr">
        <is>
          <t>Servicii consultanță</t>
        </is>
      </c>
      <c r="H1943" t="n">
        <v>5</v>
      </c>
      <c r="I1943" t="n">
        <v>2486.49</v>
      </c>
      <c r="J1943" t="n">
        <v>12432.45</v>
      </c>
      <c r="K1943" s="13" t="n">
        <v>0.19</v>
      </c>
      <c r="L1943" t="n">
        <v>2362.17</v>
      </c>
      <c r="M1943" t="n">
        <v>14794.62</v>
      </c>
      <c r="N1943" t="inlineStr">
        <is>
          <t>RON</t>
        </is>
      </c>
      <c r="O1943" t="inlineStr">
        <is>
          <t>Alba Iulia</t>
        </is>
      </c>
      <c r="P1943" s="12" t="n">
        <v>46330</v>
      </c>
      <c r="Q1943">
        <f>IF(COUNTIF(tbl_Localitati[oras_oficial],[@oras])=0,"ORAS NEALINIAT",IF(XLOOKUP([@oras],tbl_Localitati[oras_oficial],tbl_Localitati[judet],"?")&lt;&gt;[@judet],"JUDET NECORESPUNZATOR",""))</f>
        <v/>
      </c>
      <c r="R1943">
        <f>IF(XLOOKUP([@categorie],tbl_RegulriTVA[categorie],tbl_RegulriTVA[cota_legala],-1)&lt;&gt;[@cota_tva],"TVA GRESIT","")</f>
        <v/>
      </c>
      <c r="S1943">
        <f>IF([@data_scadentei]&lt;[@data_factura],"SCADENTA INAINTEA FACTURII","")</f>
        <v/>
      </c>
      <c r="T1943">
        <f>IF(NETWORKDAYS.INTL([@data_factura],[@data_factura],1,tbl_SarbatoriLegale[data])=0,"ZI NELUCRATOARE","")</f>
        <v/>
      </c>
      <c r="U1943">
        <f>IF([@motiv_anomalie]="","OK","DE INVESTIGAT")</f>
        <v/>
      </c>
      <c r="V1943">
        <f>TEXTJOIN("; ",TRUE,[@flag_oras],[@flag_tva],[@flag_scadenta],[@flag_zi])</f>
        <v/>
      </c>
    </row>
    <row r="1944">
      <c r="A1944" t="inlineStr">
        <is>
          <t>F-2025-01943</t>
        </is>
      </c>
      <c r="B1944" s="12" t="n">
        <v>46323</v>
      </c>
      <c r="C1944" t="inlineStr">
        <is>
          <t>SC DACTECH SOLUTIONS SRL</t>
        </is>
      </c>
      <c r="D1944" t="inlineStr">
        <is>
          <t>Argeș</t>
        </is>
      </c>
      <c r="E1944" t="inlineStr">
        <is>
          <t>PRD-004</t>
        </is>
      </c>
      <c r="F1944" t="inlineStr">
        <is>
          <t>Licenta ERP contabilitate</t>
        </is>
      </c>
      <c r="G1944" t="inlineStr">
        <is>
          <t>Licențe software</t>
        </is>
      </c>
      <c r="H1944" t="n">
        <v>5</v>
      </c>
      <c r="I1944" t="n">
        <v>937.14</v>
      </c>
      <c r="J1944" t="n">
        <v>4685.7</v>
      </c>
      <c r="K1944" s="13" t="n">
        <v>0.05</v>
      </c>
      <c r="L1944" t="n">
        <v>234.28</v>
      </c>
      <c r="M1944" t="n">
        <v>4919.98</v>
      </c>
      <c r="N1944" t="inlineStr">
        <is>
          <t>RON</t>
        </is>
      </c>
      <c r="O1944" t="inlineStr">
        <is>
          <t>Pitești</t>
        </is>
      </c>
      <c r="P1944" s="12" t="n">
        <v>46353</v>
      </c>
      <c r="Q1944">
        <f>IF(COUNTIF(tbl_Localitati[oras_oficial],[@oras])=0,"ORAS NEALINIAT",IF(XLOOKUP([@oras],tbl_Localitati[oras_oficial],tbl_Localitati[judet],"?")&lt;&gt;[@judet],"JUDET NECORESPUNZATOR",""))</f>
        <v/>
      </c>
      <c r="R1944">
        <f>IF(XLOOKUP([@categorie],tbl_RegulriTVA[categorie],tbl_RegulriTVA[cota_legala],-1)&lt;&gt;[@cota_tva],"TVA GRESIT","")</f>
        <v/>
      </c>
      <c r="S1944">
        <f>IF([@data_scadentei]&lt;[@data_factura],"SCADENTA INAINTEA FACTURII","")</f>
        <v/>
      </c>
      <c r="T1944">
        <f>IF(NETWORKDAYS.INTL([@data_factura],[@data_factura],1,tbl_SarbatoriLegale[data])=0,"ZI NELUCRATOARE","")</f>
        <v/>
      </c>
      <c r="U1944">
        <f>IF([@motiv_anomalie]="","OK","DE INVESTIGAT")</f>
        <v/>
      </c>
      <c r="V1944">
        <f>TEXTJOIN("; ",TRUE,[@flag_oras],[@flag_tva],[@flag_scadenta],[@flag_zi])</f>
        <v/>
      </c>
    </row>
    <row r="1945">
      <c r="A1945" t="inlineStr">
        <is>
          <t>F-2025-01944</t>
        </is>
      </c>
      <c r="B1945" s="12" t="n">
        <v>46113</v>
      </c>
      <c r="C1945" t="inlineStr">
        <is>
          <t>SC PROVITA MEDICAL SRL</t>
        </is>
      </c>
      <c r="D1945" t="inlineStr">
        <is>
          <t>Mureș</t>
        </is>
      </c>
      <c r="E1945" t="inlineStr">
        <is>
          <t>PRD-001</t>
        </is>
      </c>
      <c r="F1945" t="inlineStr">
        <is>
          <t>Dezinfectant maini 5L</t>
        </is>
      </c>
      <c r="G1945" t="inlineStr">
        <is>
          <t>Produse farmaceutice</t>
        </is>
      </c>
      <c r="H1945" t="n">
        <v>5</v>
      </c>
      <c r="I1945" t="n">
        <v>2329.45</v>
      </c>
      <c r="J1945" t="n">
        <v>11647.25</v>
      </c>
      <c r="K1945" s="13" t="n">
        <v>0.09</v>
      </c>
      <c r="L1945" t="n">
        <v>1048.25</v>
      </c>
      <c r="M1945" t="n">
        <v>12695.5</v>
      </c>
      <c r="N1945" t="inlineStr">
        <is>
          <t>RON</t>
        </is>
      </c>
      <c r="O1945" t="inlineStr">
        <is>
          <t>Târgu Mureș</t>
        </is>
      </c>
      <c r="P1945" s="12" t="n">
        <v>46143</v>
      </c>
      <c r="Q1945">
        <f>IF(COUNTIF(tbl_Localitati[oras_oficial],[@oras])=0,"ORAS NEALINIAT",IF(XLOOKUP([@oras],tbl_Localitati[oras_oficial],tbl_Localitati[judet],"?")&lt;&gt;[@judet],"JUDET NECORESPUNZATOR",""))</f>
        <v/>
      </c>
      <c r="R1945">
        <f>IF(XLOOKUP([@categorie],tbl_RegulriTVA[categorie],tbl_RegulriTVA[cota_legala],-1)&lt;&gt;[@cota_tva],"TVA GRESIT","")</f>
        <v/>
      </c>
      <c r="S1945">
        <f>IF([@data_scadentei]&lt;[@data_factura],"SCADENTA INAINTEA FACTURII","")</f>
        <v/>
      </c>
      <c r="T1945">
        <f>IF(NETWORKDAYS.INTL([@data_factura],[@data_factura],1,tbl_SarbatoriLegale[data])=0,"ZI NELUCRATOARE","")</f>
        <v/>
      </c>
      <c r="U1945">
        <f>IF([@motiv_anomalie]="","OK","DE INVESTIGAT")</f>
        <v/>
      </c>
      <c r="V1945">
        <f>TEXTJOIN("; ",TRUE,[@flag_oras],[@flag_tva],[@flag_scadenta],[@flag_zi])</f>
        <v/>
      </c>
    </row>
    <row r="1946">
      <c r="A1946" t="inlineStr">
        <is>
          <t>F-2025-01945</t>
        </is>
      </c>
      <c r="B1946" s="12" t="n">
        <v>46343</v>
      </c>
      <c r="C1946" t="inlineStr">
        <is>
          <t>SC PROVITA MEDICAL SRL</t>
        </is>
      </c>
      <c r="D1946" t="inlineStr">
        <is>
          <t>Mureș</t>
        </is>
      </c>
      <c r="E1946" t="inlineStr">
        <is>
          <t>PRD-009</t>
        </is>
      </c>
      <c r="F1946" t="inlineStr">
        <is>
          <t>Suport tehnic anual</t>
        </is>
      </c>
      <c r="G1946" t="inlineStr">
        <is>
          <t>Servicii consultanță</t>
        </is>
      </c>
      <c r="H1946" t="n">
        <v>50</v>
      </c>
      <c r="I1946" t="n">
        <v>28.24</v>
      </c>
      <c r="J1946" t="n">
        <v>1412</v>
      </c>
      <c r="K1946" s="13" t="n">
        <v>0.19</v>
      </c>
      <c r="L1946" t="n">
        <v>268.28</v>
      </c>
      <c r="M1946" t="n">
        <v>1680.28</v>
      </c>
      <c r="N1946" t="inlineStr">
        <is>
          <t>RON</t>
        </is>
      </c>
      <c r="O1946" t="inlineStr">
        <is>
          <t>Târgu Mureș</t>
        </is>
      </c>
      <c r="P1946" s="12" t="n">
        <v>46358</v>
      </c>
      <c r="Q1946">
        <f>IF(COUNTIF(tbl_Localitati[oras_oficial],[@oras])=0,"ORAS NEALINIAT",IF(XLOOKUP([@oras],tbl_Localitati[oras_oficial],tbl_Localitati[judet],"?")&lt;&gt;[@judet],"JUDET NECORESPUNZATOR",""))</f>
        <v/>
      </c>
      <c r="R1946">
        <f>IF(XLOOKUP([@categorie],tbl_RegulriTVA[categorie],tbl_RegulriTVA[cota_legala],-1)&lt;&gt;[@cota_tva],"TVA GRESIT","")</f>
        <v/>
      </c>
      <c r="S1946">
        <f>IF([@data_scadentei]&lt;[@data_factura],"SCADENTA INAINTEA FACTURII","")</f>
        <v/>
      </c>
      <c r="T1946">
        <f>IF(NETWORKDAYS.INTL([@data_factura],[@data_factura],1,tbl_SarbatoriLegale[data])=0,"ZI NELUCRATOARE","")</f>
        <v/>
      </c>
      <c r="U1946">
        <f>IF([@motiv_anomalie]="","OK","DE INVESTIGAT")</f>
        <v/>
      </c>
      <c r="V1946">
        <f>TEXTJOIN("; ",TRUE,[@flag_oras],[@flag_tva],[@flag_scadenta],[@flag_zi])</f>
        <v/>
      </c>
    </row>
    <row r="1947">
      <c r="A1947" t="inlineStr">
        <is>
          <t>F-2025-01946</t>
        </is>
      </c>
      <c r="B1947" s="12" t="n">
        <v>46385</v>
      </c>
      <c r="C1947" t="inlineStr">
        <is>
          <t>SC AROMET TRADING SRL</t>
        </is>
      </c>
      <c r="D1947" t="inlineStr">
        <is>
          <t>Alba</t>
        </is>
      </c>
      <c r="E1947" t="inlineStr">
        <is>
          <t>PRD-006</t>
        </is>
      </c>
      <c r="F1947" t="inlineStr">
        <is>
          <t>Switch gigabit 24p</t>
        </is>
      </c>
      <c r="G1947" t="inlineStr">
        <is>
          <t>Hardware IT</t>
        </is>
      </c>
      <c r="H1947" t="n">
        <v>50</v>
      </c>
      <c r="I1947" t="n">
        <v>783.05</v>
      </c>
      <c r="J1947" t="n">
        <v>39152.5</v>
      </c>
      <c r="K1947" s="13" t="n">
        <v>0.19</v>
      </c>
      <c r="L1947" t="n">
        <v>7438.98</v>
      </c>
      <c r="M1947" t="n">
        <v>46591.48</v>
      </c>
      <c r="N1947" t="inlineStr">
        <is>
          <t>RON</t>
        </is>
      </c>
      <c r="O1947" t="inlineStr">
        <is>
          <t>Alba Iulia</t>
        </is>
      </c>
      <c r="P1947" s="12" t="n">
        <v>46415</v>
      </c>
      <c r="Q1947">
        <f>IF(COUNTIF(tbl_Localitati[oras_oficial],[@oras])=0,"ORAS NEALINIAT",IF(XLOOKUP([@oras],tbl_Localitati[oras_oficial],tbl_Localitati[judet],"?")&lt;&gt;[@judet],"JUDET NECORESPUNZATOR",""))</f>
        <v/>
      </c>
      <c r="R1947">
        <f>IF(XLOOKUP([@categorie],tbl_RegulriTVA[categorie],tbl_RegulriTVA[cota_legala],-1)&lt;&gt;[@cota_tva],"TVA GRESIT","")</f>
        <v/>
      </c>
      <c r="S1947">
        <f>IF([@data_scadentei]&lt;[@data_factura],"SCADENTA INAINTEA FACTURII","")</f>
        <v/>
      </c>
      <c r="T1947">
        <f>IF(NETWORKDAYS.INTL([@data_factura],[@data_factura],1,tbl_SarbatoriLegale[data])=0,"ZI NELUCRATOARE","")</f>
        <v/>
      </c>
      <c r="U1947">
        <f>IF([@motiv_anomalie]="","OK","DE INVESTIGAT")</f>
        <v/>
      </c>
      <c r="V1947">
        <f>TEXTJOIN("; ",TRUE,[@flag_oras],[@flag_tva],[@flag_scadenta],[@flag_zi])</f>
        <v/>
      </c>
    </row>
    <row r="1948">
      <c r="A1948" t="inlineStr">
        <is>
          <t>F-2025-01947</t>
        </is>
      </c>
      <c r="B1948" s="12" t="n">
        <v>46335</v>
      </c>
      <c r="C1948" t="inlineStr">
        <is>
          <t>SC RAPID LOGISTIC SA</t>
        </is>
      </c>
      <c r="D1948" t="inlineStr">
        <is>
          <t>Prahova</t>
        </is>
      </c>
      <c r="E1948" t="inlineStr">
        <is>
          <t>PRD-009</t>
        </is>
      </c>
      <c r="F1948" t="inlineStr">
        <is>
          <t>Server rack 1U</t>
        </is>
      </c>
      <c r="G1948" t="inlineStr">
        <is>
          <t>Hardware IT</t>
        </is>
      </c>
      <c r="H1948" t="n">
        <v>10</v>
      </c>
      <c r="I1948" t="n">
        <v>26.71</v>
      </c>
      <c r="J1948" t="n">
        <v>267.1</v>
      </c>
      <c r="K1948" s="13" t="n">
        <v>0.19</v>
      </c>
      <c r="L1948" t="n">
        <v>50.75</v>
      </c>
      <c r="M1948" t="n">
        <v>317.85</v>
      </c>
      <c r="N1948" t="inlineStr">
        <is>
          <t>RON</t>
        </is>
      </c>
      <c r="O1948" t="inlineStr">
        <is>
          <t>Ploiești</t>
        </is>
      </c>
      <c r="P1948" s="12" t="n">
        <v>46365</v>
      </c>
      <c r="Q1948">
        <f>IF(COUNTIF(tbl_Localitati[oras_oficial],[@oras])=0,"ORAS NEALINIAT",IF(XLOOKUP([@oras],tbl_Localitati[oras_oficial],tbl_Localitati[judet],"?")&lt;&gt;[@judet],"JUDET NECORESPUNZATOR",""))</f>
        <v/>
      </c>
      <c r="R1948">
        <f>IF(XLOOKUP([@categorie],tbl_RegulriTVA[categorie],tbl_RegulriTVA[cota_legala],-1)&lt;&gt;[@cota_tva],"TVA GRESIT","")</f>
        <v/>
      </c>
      <c r="S1948">
        <f>IF([@data_scadentei]&lt;[@data_factura],"SCADENTA INAINTEA FACTURII","")</f>
        <v/>
      </c>
      <c r="T1948">
        <f>IF(NETWORKDAYS.INTL([@data_factura],[@data_factura],1,tbl_SarbatoriLegale[data])=0,"ZI NELUCRATOARE","")</f>
        <v/>
      </c>
      <c r="U1948">
        <f>IF([@motiv_anomalie]="","OK","DE INVESTIGAT")</f>
        <v/>
      </c>
      <c r="V1948">
        <f>TEXTJOIN("; ",TRUE,[@flag_oras],[@flag_tva],[@flag_scadenta],[@flag_zi])</f>
        <v/>
      </c>
    </row>
    <row r="1949">
      <c r="A1949" t="inlineStr">
        <is>
          <t>F-2025-01948</t>
        </is>
      </c>
      <c r="B1949" s="12" t="n">
        <v>46170</v>
      </c>
      <c r="C1949" t="inlineStr">
        <is>
          <t>SC AROMET TRADING SRL</t>
        </is>
      </c>
      <c r="D1949" t="inlineStr">
        <is>
          <t>Alba</t>
        </is>
      </c>
      <c r="E1949" t="inlineStr">
        <is>
          <t>PRD-007</t>
        </is>
      </c>
      <c r="F1949" t="inlineStr">
        <is>
          <t>Set carti formare</t>
        </is>
      </c>
      <c r="G1949" t="inlineStr">
        <is>
          <t>Cărți și manuale</t>
        </is>
      </c>
      <c r="H1949" t="n">
        <v>50</v>
      </c>
      <c r="I1949" t="n">
        <v>188.44</v>
      </c>
      <c r="J1949" t="n">
        <v>9422</v>
      </c>
      <c r="K1949" s="13" t="n">
        <v>0.05</v>
      </c>
      <c r="L1949" t="n">
        <v>471.1</v>
      </c>
      <c r="M1949" t="n">
        <v>9893.1</v>
      </c>
      <c r="N1949" t="inlineStr">
        <is>
          <t>RON</t>
        </is>
      </c>
      <c r="O1949" t="inlineStr">
        <is>
          <t>Alba Iulia</t>
        </is>
      </c>
      <c r="P1949" s="12" t="n">
        <v>46200</v>
      </c>
      <c r="Q1949">
        <f>IF(COUNTIF(tbl_Localitati[oras_oficial],[@oras])=0,"ORAS NEALINIAT",IF(XLOOKUP([@oras],tbl_Localitati[oras_oficial],tbl_Localitati[judet],"?")&lt;&gt;[@judet],"JUDET NECORESPUNZATOR",""))</f>
        <v/>
      </c>
      <c r="R1949">
        <f>IF(XLOOKUP([@categorie],tbl_RegulriTVA[categorie],tbl_RegulriTVA[cota_legala],-1)&lt;&gt;[@cota_tva],"TVA GRESIT","")</f>
        <v/>
      </c>
      <c r="S1949">
        <f>IF([@data_scadentei]&lt;[@data_factura],"SCADENTA INAINTEA FACTURII","")</f>
        <v/>
      </c>
      <c r="T1949">
        <f>IF(NETWORKDAYS.INTL([@data_factura],[@data_factura],1,tbl_SarbatoriLegale[data])=0,"ZI NELUCRATOARE","")</f>
        <v/>
      </c>
      <c r="U1949">
        <f>IF([@motiv_anomalie]="","OK","DE INVESTIGAT")</f>
        <v/>
      </c>
      <c r="V1949">
        <f>TEXTJOIN("; ",TRUE,[@flag_oras],[@flag_tva],[@flag_scadenta],[@flag_zi])</f>
        <v/>
      </c>
    </row>
    <row r="1950">
      <c r="A1950" t="inlineStr">
        <is>
          <t>F-2025-01949</t>
        </is>
      </c>
      <c r="B1950" s="12" t="n">
        <v>46262</v>
      </c>
      <c r="C1950" t="inlineStr">
        <is>
          <t>SC DACTECH SOLUTIONS SRL</t>
        </is>
      </c>
      <c r="D1950" t="inlineStr">
        <is>
          <t>Argeș</t>
        </is>
      </c>
      <c r="E1950" t="inlineStr">
        <is>
          <t>PRD-012</t>
        </is>
      </c>
      <c r="F1950" t="inlineStr">
        <is>
          <t>Dezinfectant maini 5L</t>
        </is>
      </c>
      <c r="G1950" t="inlineStr">
        <is>
          <t>Produse farmaceutice</t>
        </is>
      </c>
      <c r="H1950" t="n">
        <v>8</v>
      </c>
      <c r="I1950" t="n">
        <v>175.47</v>
      </c>
      <c r="J1950" t="n">
        <v>1403.76</v>
      </c>
      <c r="K1950" s="13" t="n">
        <v>0.09</v>
      </c>
      <c r="L1950" t="n">
        <v>126.34</v>
      </c>
      <c r="M1950" t="n">
        <v>1530.1</v>
      </c>
      <c r="N1950" t="inlineStr">
        <is>
          <t>RON</t>
        </is>
      </c>
      <c r="O1950" t="inlineStr">
        <is>
          <t>Pitești</t>
        </is>
      </c>
      <c r="P1950" s="12" t="n">
        <v>46292</v>
      </c>
      <c r="Q1950">
        <f>IF(COUNTIF(tbl_Localitati[oras_oficial],[@oras])=0,"ORAS NEALINIAT",IF(XLOOKUP([@oras],tbl_Localitati[oras_oficial],tbl_Localitati[judet],"?")&lt;&gt;[@judet],"JUDET NECORESPUNZATOR",""))</f>
        <v/>
      </c>
      <c r="R1950">
        <f>IF(XLOOKUP([@categorie],tbl_RegulriTVA[categorie],tbl_RegulriTVA[cota_legala],-1)&lt;&gt;[@cota_tva],"TVA GRESIT","")</f>
        <v/>
      </c>
      <c r="S1950">
        <f>IF([@data_scadentei]&lt;[@data_factura],"SCADENTA INAINTEA FACTURII","")</f>
        <v/>
      </c>
      <c r="T1950">
        <f>IF(NETWORKDAYS.INTL([@data_factura],[@data_factura],1,tbl_SarbatoriLegale[data])=0,"ZI NELUCRATOARE","")</f>
        <v/>
      </c>
      <c r="U1950">
        <f>IF([@motiv_anomalie]="","OK","DE INVESTIGAT")</f>
        <v/>
      </c>
      <c r="V1950">
        <f>TEXTJOIN("; ",TRUE,[@flag_oras],[@flag_tva],[@flag_scadenta],[@flag_zi])</f>
        <v/>
      </c>
    </row>
    <row r="1951">
      <c r="A1951" t="inlineStr">
        <is>
          <t>F-2025-01950</t>
        </is>
      </c>
      <c r="B1951" s="12" t="n">
        <v>46296</v>
      </c>
      <c r="C1951" t="inlineStr">
        <is>
          <t>SC AROMET TRADING SRL</t>
        </is>
      </c>
      <c r="D1951" t="inlineStr">
        <is>
          <t>Alba</t>
        </is>
      </c>
      <c r="E1951" t="inlineStr">
        <is>
          <t>PRD-001</t>
        </is>
      </c>
      <c r="F1951" t="inlineStr">
        <is>
          <t>Consultanta implementare IT</t>
        </is>
      </c>
      <c r="G1951" t="inlineStr">
        <is>
          <t>Servicii consultanță</t>
        </is>
      </c>
      <c r="H1951" t="n">
        <v>1</v>
      </c>
      <c r="I1951" t="n">
        <v>2280</v>
      </c>
      <c r="J1951" t="n">
        <v>2280</v>
      </c>
      <c r="K1951" s="13" t="n">
        <v>0.19</v>
      </c>
      <c r="L1951" t="n">
        <v>433.2</v>
      </c>
      <c r="M1951" t="n">
        <v>2713.2</v>
      </c>
      <c r="N1951" t="inlineStr">
        <is>
          <t>RON</t>
        </is>
      </c>
      <c r="O1951" t="inlineStr">
        <is>
          <t>Alba Iulia</t>
        </is>
      </c>
      <c r="P1951" s="12" t="n">
        <v>46326</v>
      </c>
      <c r="Q1951">
        <f>IF(COUNTIF(tbl_Localitati[oras_oficial],[@oras])=0,"ORAS NEALINIAT",IF(XLOOKUP([@oras],tbl_Localitati[oras_oficial],tbl_Localitati[judet],"?")&lt;&gt;[@judet],"JUDET NECORESPUNZATOR",""))</f>
        <v/>
      </c>
      <c r="R1951">
        <f>IF(XLOOKUP([@categorie],tbl_RegulriTVA[categorie],tbl_RegulriTVA[cota_legala],-1)&lt;&gt;[@cota_tva],"TVA GRESIT","")</f>
        <v/>
      </c>
      <c r="S1951">
        <f>IF([@data_scadentei]&lt;[@data_factura],"SCADENTA INAINTEA FACTURII","")</f>
        <v/>
      </c>
      <c r="T1951">
        <f>IF(NETWORKDAYS.INTL([@data_factura],[@data_factura],1,tbl_SarbatoriLegale[data])=0,"ZI NELUCRATOARE","")</f>
        <v/>
      </c>
      <c r="U1951">
        <f>IF([@motiv_anomalie]="","OK","DE INVESTIGAT")</f>
        <v/>
      </c>
      <c r="V1951">
        <f>TEXTJOIN("; ",TRUE,[@flag_oras],[@flag_tva],[@flag_scadenta],[@flag_zi])</f>
        <v/>
      </c>
    </row>
    <row r="1952">
      <c r="A1952" t="inlineStr">
        <is>
          <t>F-2025-01951</t>
        </is>
      </c>
      <c r="B1952" s="12" t="n">
        <v>46126</v>
      </c>
      <c r="C1952" t="inlineStr">
        <is>
          <t>SC RAPID LOGISTIC SA</t>
        </is>
      </c>
      <c r="D1952" t="inlineStr">
        <is>
          <t>Prahova</t>
        </is>
      </c>
      <c r="E1952" t="inlineStr">
        <is>
          <t>PRD-003</t>
        </is>
      </c>
      <c r="F1952" t="inlineStr">
        <is>
          <t>Cafea boabe 1kg</t>
        </is>
      </c>
      <c r="G1952" t="inlineStr">
        <is>
          <t>Alimente</t>
        </is>
      </c>
      <c r="H1952" t="n">
        <v>3</v>
      </c>
      <c r="I1952" t="n">
        <v>4164.67</v>
      </c>
      <c r="J1952" t="n">
        <v>12494.01</v>
      </c>
      <c r="K1952" s="13" t="n">
        <v>0.09</v>
      </c>
      <c r="L1952" t="n">
        <v>1124.46</v>
      </c>
      <c r="M1952" t="n">
        <v>13618.47</v>
      </c>
      <c r="N1952" t="inlineStr">
        <is>
          <t>RON</t>
        </is>
      </c>
      <c r="O1952" t="inlineStr">
        <is>
          <t>Ploiești</t>
        </is>
      </c>
      <c r="P1952" s="12" t="n">
        <v>46141</v>
      </c>
      <c r="Q1952">
        <f>IF(COUNTIF(tbl_Localitati[oras_oficial],[@oras])=0,"ORAS NEALINIAT",IF(XLOOKUP([@oras],tbl_Localitati[oras_oficial],tbl_Localitati[judet],"?")&lt;&gt;[@judet],"JUDET NECORESPUNZATOR",""))</f>
        <v/>
      </c>
      <c r="R1952">
        <f>IF(XLOOKUP([@categorie],tbl_RegulriTVA[categorie],tbl_RegulriTVA[cota_legala],-1)&lt;&gt;[@cota_tva],"TVA GRESIT","")</f>
        <v/>
      </c>
      <c r="S1952">
        <f>IF([@data_scadentei]&lt;[@data_factura],"SCADENTA INAINTEA FACTURII","")</f>
        <v/>
      </c>
      <c r="T1952">
        <f>IF(NETWORKDAYS.INTL([@data_factura],[@data_factura],1,tbl_SarbatoriLegale[data])=0,"ZI NELUCRATOARE","")</f>
        <v/>
      </c>
      <c r="U1952">
        <f>IF([@motiv_anomalie]="","OK","DE INVESTIGAT")</f>
        <v/>
      </c>
      <c r="V1952">
        <f>TEXTJOIN("; ",TRUE,[@flag_oras],[@flag_tva],[@flag_scadenta],[@flag_zi])</f>
        <v/>
      </c>
    </row>
    <row r="1953">
      <c r="A1953" t="inlineStr">
        <is>
          <t>F-2025-01952</t>
        </is>
      </c>
      <c r="B1953" s="12" t="n">
        <v>46199</v>
      </c>
      <c r="C1953" t="inlineStr">
        <is>
          <t>SC AROMET TRADING SRL</t>
        </is>
      </c>
      <c r="D1953" t="inlineStr">
        <is>
          <t>Alba</t>
        </is>
      </c>
      <c r="E1953" t="inlineStr">
        <is>
          <t>PRD-006</t>
        </is>
      </c>
      <c r="F1953" t="inlineStr">
        <is>
          <t>Server rack 1U</t>
        </is>
      </c>
      <c r="G1953" t="inlineStr">
        <is>
          <t>Hardware IT</t>
        </is>
      </c>
      <c r="H1953" t="n">
        <v>1</v>
      </c>
      <c r="I1953" t="n">
        <v>774.3</v>
      </c>
      <c r="J1953" t="n">
        <v>774.3</v>
      </c>
      <c r="K1953" s="13" t="n">
        <v>0.19</v>
      </c>
      <c r="L1953" t="n">
        <v>147.12</v>
      </c>
      <c r="M1953" t="n">
        <v>921.42</v>
      </c>
      <c r="N1953" t="inlineStr">
        <is>
          <t>RON</t>
        </is>
      </c>
      <c r="O1953" t="inlineStr">
        <is>
          <t>Alba Iulia</t>
        </is>
      </c>
      <c r="P1953" s="12" t="n">
        <v>46229</v>
      </c>
      <c r="Q1953">
        <f>IF(COUNTIF(tbl_Localitati[oras_oficial],[@oras])=0,"ORAS NEALINIAT",IF(XLOOKUP([@oras],tbl_Localitati[oras_oficial],tbl_Localitati[judet],"?")&lt;&gt;[@judet],"JUDET NECORESPUNZATOR",""))</f>
        <v/>
      </c>
      <c r="R1953">
        <f>IF(XLOOKUP([@categorie],tbl_RegulriTVA[categorie],tbl_RegulriTVA[cota_legala],-1)&lt;&gt;[@cota_tva],"TVA GRESIT","")</f>
        <v/>
      </c>
      <c r="S1953">
        <f>IF([@data_scadentei]&lt;[@data_factura],"SCADENTA INAINTEA FACTURII","")</f>
        <v/>
      </c>
      <c r="T1953">
        <f>IF(NETWORKDAYS.INTL([@data_factura],[@data_factura],1,tbl_SarbatoriLegale[data])=0,"ZI NELUCRATOARE","")</f>
        <v/>
      </c>
      <c r="U1953">
        <f>IF([@motiv_anomalie]="","OK","DE INVESTIGAT")</f>
        <v/>
      </c>
      <c r="V1953">
        <f>TEXTJOIN("; ",TRUE,[@flag_oras],[@flag_tva],[@flag_scadenta],[@flag_zi])</f>
        <v/>
      </c>
    </row>
    <row r="1954">
      <c r="A1954" t="inlineStr">
        <is>
          <t>F-2025-01953</t>
        </is>
      </c>
      <c r="B1954" s="12" t="n">
        <v>46204</v>
      </c>
      <c r="C1954" t="inlineStr">
        <is>
          <t>SC NORDIS DISTRIBUTIE SRL</t>
        </is>
      </c>
      <c r="D1954" t="inlineStr">
        <is>
          <t>Constanța</t>
        </is>
      </c>
      <c r="E1954" t="inlineStr">
        <is>
          <t>PRD-012</t>
        </is>
      </c>
      <c r="F1954" t="inlineStr">
        <is>
          <t>Licenta antivirus enterprise</t>
        </is>
      </c>
      <c r="G1954" t="inlineStr">
        <is>
          <t>Licențe software</t>
        </is>
      </c>
      <c r="H1954" t="n">
        <v>4</v>
      </c>
      <c r="I1954" t="n">
        <v>187.27</v>
      </c>
      <c r="J1954" t="n">
        <v>749.08</v>
      </c>
      <c r="K1954" s="13" t="n">
        <v>0.19</v>
      </c>
      <c r="L1954" t="n">
        <v>142.33</v>
      </c>
      <c r="M1954" t="n">
        <v>891.41</v>
      </c>
      <c r="N1954" t="inlineStr">
        <is>
          <t>RON</t>
        </is>
      </c>
      <c r="O1954" t="inlineStr">
        <is>
          <t>Mangalia</t>
        </is>
      </c>
      <c r="P1954" s="12" t="n">
        <v>46264</v>
      </c>
      <c r="Q1954">
        <f>IF(COUNTIF(tbl_Localitati[oras_oficial],[@oras])=0,"ORAS NEALINIAT",IF(XLOOKUP([@oras],tbl_Localitati[oras_oficial],tbl_Localitati[judet],"?")&lt;&gt;[@judet],"JUDET NECORESPUNZATOR",""))</f>
        <v/>
      </c>
      <c r="R1954">
        <f>IF(XLOOKUP([@categorie],tbl_RegulriTVA[categorie],tbl_RegulriTVA[cota_legala],-1)&lt;&gt;[@cota_tva],"TVA GRESIT","")</f>
        <v/>
      </c>
      <c r="S1954">
        <f>IF([@data_scadentei]&lt;[@data_factura],"SCADENTA INAINTEA FACTURII","")</f>
        <v/>
      </c>
      <c r="T1954">
        <f>IF(NETWORKDAYS.INTL([@data_factura],[@data_factura],1,tbl_SarbatoriLegale[data])=0,"ZI NELUCRATOARE","")</f>
        <v/>
      </c>
      <c r="U1954">
        <f>IF([@motiv_anomalie]="","OK","DE INVESTIGAT")</f>
        <v/>
      </c>
      <c r="V1954">
        <f>TEXTJOIN("; ",TRUE,[@flag_oras],[@flag_tva],[@flag_scadenta],[@flag_zi])</f>
        <v/>
      </c>
    </row>
    <row r="1955">
      <c r="A1955" t="inlineStr">
        <is>
          <t>F-2025-01954</t>
        </is>
      </c>
      <c r="B1955" s="12" t="n">
        <v>46279</v>
      </c>
      <c r="C1955" t="inlineStr">
        <is>
          <t>SC AROMET TRADING SRL</t>
        </is>
      </c>
      <c r="D1955" t="inlineStr">
        <is>
          <t>Alba</t>
        </is>
      </c>
      <c r="E1955" t="inlineStr">
        <is>
          <t>PRD-005</t>
        </is>
      </c>
      <c r="F1955" t="inlineStr">
        <is>
          <t>Telefon IP birou</t>
        </is>
      </c>
      <c r="G1955" t="inlineStr">
        <is>
          <t>Echipamente birou</t>
        </is>
      </c>
      <c r="H1955" t="n">
        <v>2</v>
      </c>
      <c r="I1955" t="n">
        <v>257.94</v>
      </c>
      <c r="J1955" t="n">
        <v>515.88</v>
      </c>
      <c r="K1955" s="13" t="n">
        <v>0.19</v>
      </c>
      <c r="L1955" t="n">
        <v>98.02</v>
      </c>
      <c r="M1955" t="n">
        <v>613.9</v>
      </c>
      <c r="N1955" t="inlineStr">
        <is>
          <t>RON</t>
        </is>
      </c>
      <c r="O1955" t="inlineStr">
        <is>
          <t>Alba Iulia</t>
        </is>
      </c>
      <c r="P1955" s="12" t="n">
        <v>46339</v>
      </c>
      <c r="Q1955">
        <f>IF(COUNTIF(tbl_Localitati[oras_oficial],[@oras])=0,"ORAS NEALINIAT",IF(XLOOKUP([@oras],tbl_Localitati[oras_oficial],tbl_Localitati[judet],"?")&lt;&gt;[@judet],"JUDET NECORESPUNZATOR",""))</f>
        <v/>
      </c>
      <c r="R1955">
        <f>IF(XLOOKUP([@categorie],tbl_RegulriTVA[categorie],tbl_RegulriTVA[cota_legala],-1)&lt;&gt;[@cota_tva],"TVA GRESIT","")</f>
        <v/>
      </c>
      <c r="S1955">
        <f>IF([@data_scadentei]&lt;[@data_factura],"SCADENTA INAINTEA FACTURII","")</f>
        <v/>
      </c>
      <c r="T1955">
        <f>IF(NETWORKDAYS.INTL([@data_factura],[@data_factura],1,tbl_SarbatoriLegale[data])=0,"ZI NELUCRATOARE","")</f>
        <v/>
      </c>
      <c r="U1955">
        <f>IF([@motiv_anomalie]="","OK","DE INVESTIGAT")</f>
        <v/>
      </c>
      <c r="V1955">
        <f>TEXTJOIN("; ",TRUE,[@flag_oras],[@flag_tva],[@flag_scadenta],[@flag_zi])</f>
        <v/>
      </c>
    </row>
    <row r="1956">
      <c r="A1956" t="inlineStr">
        <is>
          <t>F-2025-01955</t>
        </is>
      </c>
      <c r="B1956" s="12" t="n">
        <v>46126</v>
      </c>
      <c r="C1956" t="inlineStr">
        <is>
          <t>SC PROVITA MEDICAL SRL</t>
        </is>
      </c>
      <c r="D1956" t="inlineStr">
        <is>
          <t>Mureș</t>
        </is>
      </c>
      <c r="E1956" t="inlineStr">
        <is>
          <t>PRD-005</t>
        </is>
      </c>
      <c r="F1956" t="inlineStr">
        <is>
          <t>Telefon IP birou</t>
        </is>
      </c>
      <c r="G1956" t="inlineStr">
        <is>
          <t>Echipamente birou</t>
        </is>
      </c>
      <c r="H1956" t="n">
        <v>1</v>
      </c>
      <c r="I1956" t="n">
        <v>256.89</v>
      </c>
      <c r="J1956" t="n">
        <v>256.89</v>
      </c>
      <c r="K1956" s="13" t="n">
        <v>0.19</v>
      </c>
      <c r="L1956" t="n">
        <v>48.81</v>
      </c>
      <c r="M1956" t="n">
        <v>305.7</v>
      </c>
      <c r="N1956" t="inlineStr">
        <is>
          <t>RON</t>
        </is>
      </c>
      <c r="O1956" t="inlineStr">
        <is>
          <t>Târgu Mureș</t>
        </is>
      </c>
      <c r="P1956" s="12" t="n">
        <v>46156</v>
      </c>
      <c r="Q1956">
        <f>IF(COUNTIF(tbl_Localitati[oras_oficial],[@oras])=0,"ORAS NEALINIAT",IF(XLOOKUP([@oras],tbl_Localitati[oras_oficial],tbl_Localitati[judet],"?")&lt;&gt;[@judet],"JUDET NECORESPUNZATOR",""))</f>
        <v/>
      </c>
      <c r="R1956">
        <f>IF(XLOOKUP([@categorie],tbl_RegulriTVA[categorie],tbl_RegulriTVA[cota_legala],-1)&lt;&gt;[@cota_tva],"TVA GRESIT","")</f>
        <v/>
      </c>
      <c r="S1956">
        <f>IF([@data_scadentei]&lt;[@data_factura],"SCADENTA INAINTEA FACTURII","")</f>
        <v/>
      </c>
      <c r="T1956">
        <f>IF(NETWORKDAYS.INTL([@data_factura],[@data_factura],1,tbl_SarbatoriLegale[data])=0,"ZI NELUCRATOARE","")</f>
        <v/>
      </c>
      <c r="U1956">
        <f>IF([@motiv_anomalie]="","OK","DE INVESTIGAT")</f>
        <v/>
      </c>
      <c r="V1956">
        <f>TEXTJOIN("; ",TRUE,[@flag_oras],[@flag_tva],[@flag_scadenta],[@flag_zi])</f>
        <v/>
      </c>
    </row>
    <row r="1957">
      <c r="A1957" t="inlineStr">
        <is>
          <t>F-2025-01956</t>
        </is>
      </c>
      <c r="B1957" s="12" t="n">
        <v>46134</v>
      </c>
      <c r="C1957" t="inlineStr">
        <is>
          <t>SC INTEGROMED SA</t>
        </is>
      </c>
      <c r="D1957" t="inlineStr">
        <is>
          <t>Cluj</t>
        </is>
      </c>
      <c r="E1957" t="inlineStr">
        <is>
          <t>PRD-002</t>
        </is>
      </c>
      <c r="F1957" t="inlineStr">
        <is>
          <t>Server rack 1U</t>
        </is>
      </c>
      <c r="G1957" t="inlineStr">
        <is>
          <t>Hardware IT</t>
        </is>
      </c>
      <c r="H1957" t="n">
        <v>2</v>
      </c>
      <c r="I1957" t="n">
        <v>1128.66</v>
      </c>
      <c r="J1957" t="n">
        <v>2257.32</v>
      </c>
      <c r="K1957" s="13" t="n">
        <v>0.19</v>
      </c>
      <c r="L1957" t="n">
        <v>428.89</v>
      </c>
      <c r="M1957" t="n">
        <v>2686.21</v>
      </c>
      <c r="N1957" t="inlineStr">
        <is>
          <t>RON</t>
        </is>
      </c>
      <c r="O1957" t="inlineStr">
        <is>
          <t>Cluj-Napoca</t>
        </is>
      </c>
      <c r="P1957" s="12" t="n">
        <v>46164</v>
      </c>
      <c r="Q1957">
        <f>IF(COUNTIF(tbl_Localitati[oras_oficial],[@oras])=0,"ORAS NEALINIAT",IF(XLOOKUP([@oras],tbl_Localitati[oras_oficial],tbl_Localitati[judet],"?")&lt;&gt;[@judet],"JUDET NECORESPUNZATOR",""))</f>
        <v/>
      </c>
      <c r="R1957">
        <f>IF(XLOOKUP([@categorie],tbl_RegulriTVA[categorie],tbl_RegulriTVA[cota_legala],-1)&lt;&gt;[@cota_tva],"TVA GRESIT","")</f>
        <v/>
      </c>
      <c r="S1957">
        <f>IF([@data_scadentei]&lt;[@data_factura],"SCADENTA INAINTEA FACTURII","")</f>
        <v/>
      </c>
      <c r="T1957">
        <f>IF(NETWORKDAYS.INTL([@data_factura],[@data_factura],1,tbl_SarbatoriLegale[data])=0,"ZI NELUCRATOARE","")</f>
        <v/>
      </c>
      <c r="U1957">
        <f>IF([@motiv_anomalie]="","OK","DE INVESTIGAT")</f>
        <v/>
      </c>
      <c r="V1957">
        <f>TEXTJOIN("; ",TRUE,[@flag_oras],[@flag_tva],[@flag_scadenta],[@flag_zi])</f>
        <v/>
      </c>
    </row>
    <row r="1958">
      <c r="A1958" t="inlineStr">
        <is>
          <t>F-2025-01957</t>
        </is>
      </c>
      <c r="B1958" s="12" t="n">
        <v>46146</v>
      </c>
      <c r="C1958" t="inlineStr">
        <is>
          <t>SC SOLARIS ENERGY SRL</t>
        </is>
      </c>
      <c r="D1958" t="inlineStr">
        <is>
          <t>Prahova</t>
        </is>
      </c>
      <c r="E1958" t="inlineStr">
        <is>
          <t>PRD-008</t>
        </is>
      </c>
      <c r="F1958" t="inlineStr">
        <is>
          <t>Cafea boabe 1kg</t>
        </is>
      </c>
      <c r="G1958" t="inlineStr">
        <is>
          <t>Alimente</t>
        </is>
      </c>
      <c r="H1958" t="n">
        <v>5</v>
      </c>
      <c r="I1958" t="n">
        <v>431.53</v>
      </c>
      <c r="J1958" t="n">
        <v>2157.65</v>
      </c>
      <c r="K1958" s="13" t="n">
        <v>0.09</v>
      </c>
      <c r="L1958" t="n">
        <v>194.19</v>
      </c>
      <c r="M1958" t="n">
        <v>2351.84</v>
      </c>
      <c r="N1958" t="inlineStr">
        <is>
          <t>RON</t>
        </is>
      </c>
      <c r="O1958" t="inlineStr">
        <is>
          <t>Câmpina</t>
        </is>
      </c>
      <c r="P1958" s="12" t="n">
        <v>46191</v>
      </c>
      <c r="Q1958">
        <f>IF(COUNTIF(tbl_Localitati[oras_oficial],[@oras])=0,"ORAS NEALINIAT",IF(XLOOKUP([@oras],tbl_Localitati[oras_oficial],tbl_Localitati[judet],"?")&lt;&gt;[@judet],"JUDET NECORESPUNZATOR",""))</f>
        <v/>
      </c>
      <c r="R1958">
        <f>IF(XLOOKUP([@categorie],tbl_RegulriTVA[categorie],tbl_RegulriTVA[cota_legala],-1)&lt;&gt;[@cota_tva],"TVA GRESIT","")</f>
        <v/>
      </c>
      <c r="S1958">
        <f>IF([@data_scadentei]&lt;[@data_factura],"SCADENTA INAINTEA FACTURII","")</f>
        <v/>
      </c>
      <c r="T1958">
        <f>IF(NETWORKDAYS.INTL([@data_factura],[@data_factura],1,tbl_SarbatoriLegale[data])=0,"ZI NELUCRATOARE","")</f>
        <v/>
      </c>
      <c r="U1958">
        <f>IF([@motiv_anomalie]="","OK","DE INVESTIGAT")</f>
        <v/>
      </c>
      <c r="V1958">
        <f>TEXTJOIN("; ",TRUE,[@flag_oras],[@flag_tva],[@flag_scadenta],[@flag_zi])</f>
        <v/>
      </c>
    </row>
    <row r="1959">
      <c r="A1959" t="inlineStr">
        <is>
          <t>F-2025-01958</t>
        </is>
      </c>
      <c r="B1959" s="12" t="n">
        <v>46365</v>
      </c>
      <c r="C1959" t="inlineStr">
        <is>
          <t>SC ZENITH AUTO SRL</t>
        </is>
      </c>
      <c r="D1959" t="inlineStr">
        <is>
          <t>București</t>
        </is>
      </c>
      <c r="E1959" t="inlineStr">
        <is>
          <t>PRD-009</t>
        </is>
      </c>
      <c r="F1959" t="inlineStr">
        <is>
          <t>Monitor 27" 4K</t>
        </is>
      </c>
      <c r="G1959" t="inlineStr">
        <is>
          <t>Hardware IT</t>
        </is>
      </c>
      <c r="H1959" t="n">
        <v>5</v>
      </c>
      <c r="I1959" t="n">
        <v>27.19</v>
      </c>
      <c r="J1959" t="n">
        <v>135.95</v>
      </c>
      <c r="K1959" s="13" t="n">
        <v>0.19</v>
      </c>
      <c r="L1959" t="n">
        <v>25.83</v>
      </c>
      <c r="M1959" t="n">
        <v>161.78</v>
      </c>
      <c r="N1959" t="inlineStr">
        <is>
          <t>RON</t>
        </is>
      </c>
      <c r="O1959" t="inlineStr">
        <is>
          <t>București</t>
        </is>
      </c>
      <c r="P1959" s="12" t="n">
        <v>46410</v>
      </c>
      <c r="Q1959">
        <f>IF(COUNTIF(tbl_Localitati[oras_oficial],[@oras])=0,"ORAS NEALINIAT",IF(XLOOKUP([@oras],tbl_Localitati[oras_oficial],tbl_Localitati[judet],"?")&lt;&gt;[@judet],"JUDET NECORESPUNZATOR",""))</f>
        <v/>
      </c>
      <c r="R1959">
        <f>IF(XLOOKUP([@categorie],tbl_RegulriTVA[categorie],tbl_RegulriTVA[cota_legala],-1)&lt;&gt;[@cota_tva],"TVA GRESIT","")</f>
        <v/>
      </c>
      <c r="S1959">
        <f>IF([@data_scadentei]&lt;[@data_factura],"SCADENTA INAINTEA FACTURII","")</f>
        <v/>
      </c>
      <c r="T1959">
        <f>IF(NETWORKDAYS.INTL([@data_factura],[@data_factura],1,tbl_SarbatoriLegale[data])=0,"ZI NELUCRATOARE","")</f>
        <v/>
      </c>
      <c r="U1959">
        <f>IF([@motiv_anomalie]="","OK","DE INVESTIGAT")</f>
        <v/>
      </c>
      <c r="V1959">
        <f>TEXTJOIN("; ",TRUE,[@flag_oras],[@flag_tva],[@flag_scadenta],[@flag_zi])</f>
        <v/>
      </c>
    </row>
    <row r="1960">
      <c r="A1960" t="inlineStr">
        <is>
          <t>F-2025-01959</t>
        </is>
      </c>
      <c r="B1960" s="12" t="n">
        <v>46253</v>
      </c>
      <c r="C1960" t="inlineStr">
        <is>
          <t>SC RAPID LOGISTIC SA</t>
        </is>
      </c>
      <c r="D1960" t="inlineStr">
        <is>
          <t>Prahova</t>
        </is>
      </c>
      <c r="E1960" t="inlineStr">
        <is>
          <t>PRD-001</t>
        </is>
      </c>
      <c r="F1960" t="inlineStr">
        <is>
          <t>Videoproiector sala</t>
        </is>
      </c>
      <c r="G1960" t="inlineStr">
        <is>
          <t>Echipamente birou</t>
        </is>
      </c>
      <c r="H1960" t="n">
        <v>2</v>
      </c>
      <c r="I1960" t="n">
        <v>2482.42</v>
      </c>
      <c r="J1960" t="n">
        <v>4964.84</v>
      </c>
      <c r="K1960" s="13" t="n">
        <v>0.19</v>
      </c>
      <c r="L1960" t="n">
        <v>943.3200000000001</v>
      </c>
      <c r="M1960" t="n">
        <v>5908.16</v>
      </c>
      <c r="N1960" t="inlineStr">
        <is>
          <t>RON</t>
        </is>
      </c>
      <c r="O1960" t="inlineStr">
        <is>
          <t>Ploiești</t>
        </is>
      </c>
      <c r="P1960" s="12" t="n">
        <v>46313</v>
      </c>
      <c r="Q1960">
        <f>IF(COUNTIF(tbl_Localitati[oras_oficial],[@oras])=0,"ORAS NEALINIAT",IF(XLOOKUP([@oras],tbl_Localitati[oras_oficial],tbl_Localitati[judet],"?")&lt;&gt;[@judet],"JUDET NECORESPUNZATOR",""))</f>
        <v/>
      </c>
      <c r="R1960">
        <f>IF(XLOOKUP([@categorie],tbl_RegulriTVA[categorie],tbl_RegulriTVA[cota_legala],-1)&lt;&gt;[@cota_tva],"TVA GRESIT","")</f>
        <v/>
      </c>
      <c r="S1960">
        <f>IF([@data_scadentei]&lt;[@data_factura],"SCADENTA INAINTEA FACTURII","")</f>
        <v/>
      </c>
      <c r="T1960">
        <f>IF(NETWORKDAYS.INTL([@data_factura],[@data_factura],1,tbl_SarbatoriLegale[data])=0,"ZI NELUCRATOARE","")</f>
        <v/>
      </c>
      <c r="U1960">
        <f>IF([@motiv_anomalie]="","OK","DE INVESTIGAT")</f>
        <v/>
      </c>
      <c r="V1960">
        <f>TEXTJOIN("; ",TRUE,[@flag_oras],[@flag_tva],[@flag_scadenta],[@flag_zi])</f>
        <v/>
      </c>
    </row>
    <row r="1961">
      <c r="A1961" t="inlineStr">
        <is>
          <t>F-2025-01960</t>
        </is>
      </c>
      <c r="B1961" s="12" t="n">
        <v>46128</v>
      </c>
      <c r="C1961" t="inlineStr">
        <is>
          <t>SC SOLARIS ENERGY SRL</t>
        </is>
      </c>
      <c r="D1961" t="inlineStr">
        <is>
          <t>Prahova</t>
        </is>
      </c>
      <c r="E1961" t="inlineStr">
        <is>
          <t>PRD-005</t>
        </is>
      </c>
      <c r="F1961" t="inlineStr">
        <is>
          <t>Licenta Office 365 anuala</t>
        </is>
      </c>
      <c r="G1961" t="inlineStr">
        <is>
          <t>Licențe software</t>
        </is>
      </c>
      <c r="H1961" t="n">
        <v>2</v>
      </c>
      <c r="I1961" t="n">
        <v>259.06</v>
      </c>
      <c r="J1961" t="n">
        <v>518.12</v>
      </c>
      <c r="K1961" s="13" t="n">
        <v>0.19</v>
      </c>
      <c r="L1961" t="n">
        <v>98.44</v>
      </c>
      <c r="M1961" t="n">
        <v>616.5599999999999</v>
      </c>
      <c r="N1961" t="inlineStr">
        <is>
          <t>RON</t>
        </is>
      </c>
      <c r="O1961" t="inlineStr">
        <is>
          <t>Câmpina</t>
        </is>
      </c>
      <c r="P1961" s="12" t="n">
        <v>46158</v>
      </c>
      <c r="Q1961">
        <f>IF(COUNTIF(tbl_Localitati[oras_oficial],[@oras])=0,"ORAS NEALINIAT",IF(XLOOKUP([@oras],tbl_Localitati[oras_oficial],tbl_Localitati[judet],"?")&lt;&gt;[@judet],"JUDET NECORESPUNZATOR",""))</f>
        <v/>
      </c>
      <c r="R1961">
        <f>IF(XLOOKUP([@categorie],tbl_RegulriTVA[categorie],tbl_RegulriTVA[cota_legala],-1)&lt;&gt;[@cota_tva],"TVA GRESIT","")</f>
        <v/>
      </c>
      <c r="S1961">
        <f>IF([@data_scadentei]&lt;[@data_factura],"SCADENTA INAINTEA FACTURII","")</f>
        <v/>
      </c>
      <c r="T1961">
        <f>IF(NETWORKDAYS.INTL([@data_factura],[@data_factura],1,tbl_SarbatoriLegale[data])=0,"ZI NELUCRATOARE","")</f>
        <v/>
      </c>
      <c r="U1961">
        <f>IF([@motiv_anomalie]="","OK","DE INVESTIGAT")</f>
        <v/>
      </c>
      <c r="V1961">
        <f>TEXTJOIN("; ",TRUE,[@flag_oras],[@flag_tva],[@flag_scadenta],[@flag_zi])</f>
        <v/>
      </c>
    </row>
    <row r="1962">
      <c r="A1962" t="inlineStr">
        <is>
          <t>F-2025-01961</t>
        </is>
      </c>
      <c r="B1962" s="12" t="n">
        <v>46268</v>
      </c>
      <c r="C1962" t="inlineStr">
        <is>
          <t>SC NORDIS DISTRIBUTIE SRL</t>
        </is>
      </c>
      <c r="D1962" t="inlineStr">
        <is>
          <t>Constanța</t>
        </is>
      </c>
      <c r="E1962" t="inlineStr">
        <is>
          <t>PRD-001</t>
        </is>
      </c>
      <c r="F1962" t="inlineStr">
        <is>
          <t>Abonament suita cloud</t>
        </is>
      </c>
      <c r="G1962" t="inlineStr">
        <is>
          <t>Licențe software</t>
        </is>
      </c>
      <c r="H1962" t="n">
        <v>2</v>
      </c>
      <c r="I1962" t="n">
        <v>2311.36</v>
      </c>
      <c r="J1962" t="n">
        <v>4622.72</v>
      </c>
      <c r="K1962" s="13" t="n">
        <v>0.19</v>
      </c>
      <c r="L1962" t="n">
        <v>878.3200000000001</v>
      </c>
      <c r="M1962" t="n">
        <v>5501.04</v>
      </c>
      <c r="N1962" t="inlineStr">
        <is>
          <t>RON</t>
        </is>
      </c>
      <c r="O1962" t="inlineStr">
        <is>
          <t>Mangalia</t>
        </is>
      </c>
      <c r="P1962" s="12" t="n">
        <v>46313</v>
      </c>
      <c r="Q1962">
        <f>IF(COUNTIF(tbl_Localitati[oras_oficial],[@oras])=0,"ORAS NEALINIAT",IF(XLOOKUP([@oras],tbl_Localitati[oras_oficial],tbl_Localitati[judet],"?")&lt;&gt;[@judet],"JUDET NECORESPUNZATOR",""))</f>
        <v/>
      </c>
      <c r="R1962">
        <f>IF(XLOOKUP([@categorie],tbl_RegulriTVA[categorie],tbl_RegulriTVA[cota_legala],-1)&lt;&gt;[@cota_tva],"TVA GRESIT","")</f>
        <v/>
      </c>
      <c r="S1962">
        <f>IF([@data_scadentei]&lt;[@data_factura],"SCADENTA INAINTEA FACTURII","")</f>
        <v/>
      </c>
      <c r="T1962">
        <f>IF(NETWORKDAYS.INTL([@data_factura],[@data_factura],1,tbl_SarbatoriLegale[data])=0,"ZI NELUCRATOARE","")</f>
        <v/>
      </c>
      <c r="U1962">
        <f>IF([@motiv_anomalie]="","OK","DE INVESTIGAT")</f>
        <v/>
      </c>
      <c r="V1962">
        <f>TEXTJOIN("; ",TRUE,[@flag_oras],[@flag_tva],[@flag_scadenta],[@flag_zi])</f>
        <v/>
      </c>
    </row>
    <row r="1963">
      <c r="A1963" t="inlineStr">
        <is>
          <t>F-2025-01962</t>
        </is>
      </c>
      <c r="B1963" s="12" t="n">
        <v>46310</v>
      </c>
      <c r="C1963" t="inlineStr">
        <is>
          <t>SC AROMET TRADING SRL</t>
        </is>
      </c>
      <c r="D1963" t="inlineStr">
        <is>
          <t>Alba</t>
        </is>
      </c>
      <c r="E1963" t="inlineStr">
        <is>
          <t>PRD-002</t>
        </is>
      </c>
      <c r="F1963" t="inlineStr">
        <is>
          <t>Tocator documente</t>
        </is>
      </c>
      <c r="G1963" t="inlineStr">
        <is>
          <t>Echipamente birou</t>
        </is>
      </c>
      <c r="H1963" t="n">
        <v>3</v>
      </c>
      <c r="I1963" t="n">
        <v>1066.95</v>
      </c>
      <c r="J1963" t="n">
        <v>3200.85</v>
      </c>
      <c r="K1963" s="13" t="n">
        <v>0.19</v>
      </c>
      <c r="L1963" t="n">
        <v>608.16</v>
      </c>
      <c r="M1963" t="n">
        <v>3809.01</v>
      </c>
      <c r="N1963" t="inlineStr">
        <is>
          <t>RON</t>
        </is>
      </c>
      <c r="O1963" t="inlineStr">
        <is>
          <t>Alba Iulia</t>
        </is>
      </c>
      <c r="P1963" s="12" t="n">
        <v>46370</v>
      </c>
      <c r="Q1963">
        <f>IF(COUNTIF(tbl_Localitati[oras_oficial],[@oras])=0,"ORAS NEALINIAT",IF(XLOOKUP([@oras],tbl_Localitati[oras_oficial],tbl_Localitati[judet],"?")&lt;&gt;[@judet],"JUDET NECORESPUNZATOR",""))</f>
        <v/>
      </c>
      <c r="R1963">
        <f>IF(XLOOKUP([@categorie],tbl_RegulriTVA[categorie],tbl_RegulriTVA[cota_legala],-1)&lt;&gt;[@cota_tva],"TVA GRESIT","")</f>
        <v/>
      </c>
      <c r="S1963">
        <f>IF([@data_scadentei]&lt;[@data_factura],"SCADENTA INAINTEA FACTURII","")</f>
        <v/>
      </c>
      <c r="T1963">
        <f>IF(NETWORKDAYS.INTL([@data_factura],[@data_factura],1,tbl_SarbatoriLegale[data])=0,"ZI NELUCRATOARE","")</f>
        <v/>
      </c>
      <c r="U1963">
        <f>IF([@motiv_anomalie]="","OK","DE INVESTIGAT")</f>
        <v/>
      </c>
      <c r="V1963">
        <f>TEXTJOIN("; ",TRUE,[@flag_oras],[@flag_tva],[@flag_scadenta],[@flag_zi])</f>
        <v/>
      </c>
    </row>
    <row r="1964">
      <c r="A1964" t="inlineStr">
        <is>
          <t>F-2025-01963</t>
        </is>
      </c>
      <c r="B1964" s="12" t="n">
        <v>46275</v>
      </c>
      <c r="C1964" t="inlineStr">
        <is>
          <t>SC INTEGROMED SA</t>
        </is>
      </c>
      <c r="D1964" t="inlineStr">
        <is>
          <t>Cluj</t>
        </is>
      </c>
      <c r="E1964" t="inlineStr">
        <is>
          <t>PRD-006</t>
        </is>
      </c>
      <c r="F1964" t="inlineStr">
        <is>
          <t>Dezinfectant maini 5L</t>
        </is>
      </c>
      <c r="G1964" t="inlineStr">
        <is>
          <t>Produse farmaceutice</t>
        </is>
      </c>
      <c r="H1964" t="n">
        <v>1</v>
      </c>
      <c r="I1964" t="n">
        <v>755.26</v>
      </c>
      <c r="J1964" t="n">
        <v>755.26</v>
      </c>
      <c r="K1964" s="13" t="n">
        <v>0.09</v>
      </c>
      <c r="L1964" t="n">
        <v>67.97</v>
      </c>
      <c r="M1964" t="n">
        <v>823.23</v>
      </c>
      <c r="N1964" t="inlineStr">
        <is>
          <t>RON</t>
        </is>
      </c>
      <c r="O1964" t="inlineStr">
        <is>
          <t>Cluj-Napoca</t>
        </is>
      </c>
      <c r="P1964" s="12" t="n">
        <v>46320</v>
      </c>
      <c r="Q1964">
        <f>IF(COUNTIF(tbl_Localitati[oras_oficial],[@oras])=0,"ORAS NEALINIAT",IF(XLOOKUP([@oras],tbl_Localitati[oras_oficial],tbl_Localitati[judet],"?")&lt;&gt;[@judet],"JUDET NECORESPUNZATOR",""))</f>
        <v/>
      </c>
      <c r="R1964">
        <f>IF(XLOOKUP([@categorie],tbl_RegulriTVA[categorie],tbl_RegulriTVA[cota_legala],-1)&lt;&gt;[@cota_tva],"TVA GRESIT","")</f>
        <v/>
      </c>
      <c r="S1964">
        <f>IF([@data_scadentei]&lt;[@data_factura],"SCADENTA INAINTEA FACTURII","")</f>
        <v/>
      </c>
      <c r="T1964">
        <f>IF(NETWORKDAYS.INTL([@data_factura],[@data_factura],1,tbl_SarbatoriLegale[data])=0,"ZI NELUCRATOARE","")</f>
        <v/>
      </c>
      <c r="U1964">
        <f>IF([@motiv_anomalie]="","OK","DE INVESTIGAT")</f>
        <v/>
      </c>
      <c r="V1964">
        <f>TEXTJOIN("; ",TRUE,[@flag_oras],[@flag_tva],[@flag_scadenta],[@flag_zi])</f>
        <v/>
      </c>
    </row>
    <row r="1965">
      <c r="A1965" t="inlineStr">
        <is>
          <t>F-2025-01964</t>
        </is>
      </c>
      <c r="B1965" s="12" t="n">
        <v>46154</v>
      </c>
      <c r="C1965" t="inlineStr">
        <is>
          <t>SC SOLARIS ENERGY SRL</t>
        </is>
      </c>
      <c r="D1965" t="inlineStr">
        <is>
          <t>Prahova</t>
        </is>
      </c>
      <c r="E1965" t="inlineStr">
        <is>
          <t>PRD-002</t>
        </is>
      </c>
      <c r="F1965" t="inlineStr">
        <is>
          <t>Audit infrastructura</t>
        </is>
      </c>
      <c r="G1965" t="inlineStr">
        <is>
          <t>Servicii consultanță</t>
        </is>
      </c>
      <c r="H1965" t="n">
        <v>5</v>
      </c>
      <c r="I1965" t="n">
        <v>1128.19</v>
      </c>
      <c r="J1965" t="n">
        <v>5640.95</v>
      </c>
      <c r="K1965" s="13" t="n">
        <v>0.19</v>
      </c>
      <c r="L1965" t="n">
        <v>1071.78</v>
      </c>
      <c r="M1965" t="n">
        <v>6712.73</v>
      </c>
      <c r="N1965" t="inlineStr">
        <is>
          <t>RON</t>
        </is>
      </c>
      <c r="O1965" t="inlineStr">
        <is>
          <t>Câmpina</t>
        </is>
      </c>
      <c r="P1965" s="12" t="n">
        <v>46214</v>
      </c>
      <c r="Q1965">
        <f>IF(COUNTIF(tbl_Localitati[oras_oficial],[@oras])=0,"ORAS NEALINIAT",IF(XLOOKUP([@oras],tbl_Localitati[oras_oficial],tbl_Localitati[judet],"?")&lt;&gt;[@judet],"JUDET NECORESPUNZATOR",""))</f>
        <v/>
      </c>
      <c r="R1965">
        <f>IF(XLOOKUP([@categorie],tbl_RegulriTVA[categorie],tbl_RegulriTVA[cota_legala],-1)&lt;&gt;[@cota_tva],"TVA GRESIT","")</f>
        <v/>
      </c>
      <c r="S1965">
        <f>IF([@data_scadentei]&lt;[@data_factura],"SCADENTA INAINTEA FACTURII","")</f>
        <v/>
      </c>
      <c r="T1965">
        <f>IF(NETWORKDAYS.INTL([@data_factura],[@data_factura],1,tbl_SarbatoriLegale[data])=0,"ZI NELUCRATOARE","")</f>
        <v/>
      </c>
      <c r="U1965">
        <f>IF([@motiv_anomalie]="","OK","DE INVESTIGAT")</f>
        <v/>
      </c>
      <c r="V1965">
        <f>TEXTJOIN("; ",TRUE,[@flag_oras],[@flag_tva],[@flag_scadenta],[@flag_zi])</f>
        <v/>
      </c>
    </row>
    <row r="1966">
      <c r="A1966" t="inlineStr">
        <is>
          <t>F-2025-01965</t>
        </is>
      </c>
      <c r="B1966" s="12" t="n">
        <v>46231</v>
      </c>
      <c r="C1966" t="inlineStr">
        <is>
          <t>SC OMEGA SOFT SRL</t>
        </is>
      </c>
      <c r="D1966" t="inlineStr">
        <is>
          <t>Dolj</t>
        </is>
      </c>
      <c r="E1966" t="inlineStr">
        <is>
          <t>PRD-004</t>
        </is>
      </c>
      <c r="F1966" t="inlineStr">
        <is>
          <t>Licenta Office 365 anuala</t>
        </is>
      </c>
      <c r="G1966" t="inlineStr">
        <is>
          <t>Licențe software</t>
        </is>
      </c>
      <c r="H1966" t="n">
        <v>2</v>
      </c>
      <c r="I1966" t="n">
        <v>884.05</v>
      </c>
      <c r="J1966" t="n">
        <v>1768.1</v>
      </c>
      <c r="K1966" s="13" t="n">
        <v>0.19</v>
      </c>
      <c r="L1966" t="n">
        <v>335.94</v>
      </c>
      <c r="M1966" t="n">
        <v>2104.04</v>
      </c>
      <c r="N1966" t="inlineStr">
        <is>
          <t>RON</t>
        </is>
      </c>
      <c r="O1966" t="inlineStr">
        <is>
          <t>Craiova</t>
        </is>
      </c>
      <c r="P1966" s="12" t="n">
        <v>46224</v>
      </c>
      <c r="Q1966">
        <f>IF(COUNTIF(tbl_Localitati[oras_oficial],[@oras])=0,"ORAS NEALINIAT",IF(XLOOKUP([@oras],tbl_Localitati[oras_oficial],tbl_Localitati[judet],"?")&lt;&gt;[@judet],"JUDET NECORESPUNZATOR",""))</f>
        <v/>
      </c>
      <c r="R1966">
        <f>IF(XLOOKUP([@categorie],tbl_RegulriTVA[categorie],tbl_RegulriTVA[cota_legala],-1)&lt;&gt;[@cota_tva],"TVA GRESIT","")</f>
        <v/>
      </c>
      <c r="S1966">
        <f>IF([@data_scadentei]&lt;[@data_factura],"SCADENTA INAINTEA FACTURII","")</f>
        <v/>
      </c>
      <c r="T1966">
        <f>IF(NETWORKDAYS.INTL([@data_factura],[@data_factura],1,tbl_SarbatoriLegale[data])=0,"ZI NELUCRATOARE","")</f>
        <v/>
      </c>
      <c r="U1966">
        <f>IF([@motiv_anomalie]="","OK","DE INVESTIGAT")</f>
        <v/>
      </c>
      <c r="V1966">
        <f>TEXTJOIN("; ",TRUE,[@flag_oras],[@flag_tva],[@flag_scadenta],[@flag_zi])</f>
        <v/>
      </c>
    </row>
    <row r="1967">
      <c r="A1967" t="inlineStr">
        <is>
          <t>F-2025-01966</t>
        </is>
      </c>
      <c r="B1967" s="12" t="n">
        <v>46034</v>
      </c>
      <c r="C1967" t="inlineStr">
        <is>
          <t>SC OMEGA SOFT SRL</t>
        </is>
      </c>
      <c r="D1967" t="inlineStr">
        <is>
          <t>Dolj</t>
        </is>
      </c>
      <c r="E1967" t="inlineStr">
        <is>
          <t>PRD-004</t>
        </is>
      </c>
      <c r="F1967" t="inlineStr">
        <is>
          <t>Laptop business 15"</t>
        </is>
      </c>
      <c r="G1967" t="inlineStr">
        <is>
          <t>Hardware IT</t>
        </is>
      </c>
      <c r="H1967" t="n">
        <v>1</v>
      </c>
      <c r="I1967" t="n">
        <v>897.3099999999999</v>
      </c>
      <c r="J1967" t="n">
        <v>897.3099999999999</v>
      </c>
      <c r="K1967" s="13" t="n">
        <v>0.19</v>
      </c>
      <c r="L1967" t="n">
        <v>170.49</v>
      </c>
      <c r="M1967" t="n">
        <v>1067.8</v>
      </c>
      <c r="N1967" t="inlineStr">
        <is>
          <t>RON</t>
        </is>
      </c>
      <c r="O1967" t="inlineStr">
        <is>
          <t>Craiova</t>
        </is>
      </c>
      <c r="P1967" s="12" t="n">
        <v>46064</v>
      </c>
      <c r="Q1967">
        <f>IF(COUNTIF(tbl_Localitati[oras_oficial],[@oras])=0,"ORAS NEALINIAT",IF(XLOOKUP([@oras],tbl_Localitati[oras_oficial],tbl_Localitati[judet],"?")&lt;&gt;[@judet],"JUDET NECORESPUNZATOR",""))</f>
        <v/>
      </c>
      <c r="R1967">
        <f>IF(XLOOKUP([@categorie],tbl_RegulriTVA[categorie],tbl_RegulriTVA[cota_legala],-1)&lt;&gt;[@cota_tva],"TVA GRESIT","")</f>
        <v/>
      </c>
      <c r="S1967">
        <f>IF([@data_scadentei]&lt;[@data_factura],"SCADENTA INAINTEA FACTURII","")</f>
        <v/>
      </c>
      <c r="T1967">
        <f>IF(NETWORKDAYS.INTL([@data_factura],[@data_factura],1,tbl_SarbatoriLegale[data])=0,"ZI NELUCRATOARE","")</f>
        <v/>
      </c>
      <c r="U1967">
        <f>IF([@motiv_anomalie]="","OK","DE INVESTIGAT")</f>
        <v/>
      </c>
      <c r="V1967">
        <f>TEXTJOIN("; ",TRUE,[@flag_oras],[@flag_tva],[@flag_scadenta],[@flag_zi])</f>
        <v/>
      </c>
    </row>
    <row r="1968">
      <c r="A1968" t="inlineStr">
        <is>
          <t>F-2025-01967</t>
        </is>
      </c>
      <c r="B1968" s="12" t="n">
        <v>46065</v>
      </c>
      <c r="C1968" t="inlineStr">
        <is>
          <t>SC DACTECH SOLUTIONS SRL</t>
        </is>
      </c>
      <c r="D1968" t="inlineStr">
        <is>
          <t>Argeș</t>
        </is>
      </c>
      <c r="E1968" t="inlineStr">
        <is>
          <t>PRD-001</t>
        </is>
      </c>
      <c r="F1968" t="inlineStr">
        <is>
          <t>Training utilizatori</t>
        </is>
      </c>
      <c r="G1968" t="inlineStr">
        <is>
          <t>Servicii consultanță</t>
        </is>
      </c>
      <c r="H1968" t="n">
        <v>5</v>
      </c>
      <c r="I1968" t="n">
        <v>2444.05</v>
      </c>
      <c r="J1968" t="n">
        <v>12220.25</v>
      </c>
      <c r="K1968" s="13" t="n">
        <v>0.19</v>
      </c>
      <c r="L1968" t="n">
        <v>2321.85</v>
      </c>
      <c r="M1968" t="n">
        <v>14542.1</v>
      </c>
      <c r="N1968" t="inlineStr">
        <is>
          <t>RON</t>
        </is>
      </c>
      <c r="O1968" t="inlineStr">
        <is>
          <t>Pitești</t>
        </is>
      </c>
      <c r="P1968" s="12" t="n">
        <v>46125</v>
      </c>
      <c r="Q1968">
        <f>IF(COUNTIF(tbl_Localitati[oras_oficial],[@oras])=0,"ORAS NEALINIAT",IF(XLOOKUP([@oras],tbl_Localitati[oras_oficial],tbl_Localitati[judet],"?")&lt;&gt;[@judet],"JUDET NECORESPUNZATOR",""))</f>
        <v/>
      </c>
      <c r="R1968">
        <f>IF(XLOOKUP([@categorie],tbl_RegulriTVA[categorie],tbl_RegulriTVA[cota_legala],-1)&lt;&gt;[@cota_tva],"TVA GRESIT","")</f>
        <v/>
      </c>
      <c r="S1968">
        <f>IF([@data_scadentei]&lt;[@data_factura],"SCADENTA INAINTEA FACTURII","")</f>
        <v/>
      </c>
      <c r="T1968">
        <f>IF(NETWORKDAYS.INTL([@data_factura],[@data_factura],1,tbl_SarbatoriLegale[data])=0,"ZI NELUCRATOARE","")</f>
        <v/>
      </c>
      <c r="U1968">
        <f>IF([@motiv_anomalie]="","OK","DE INVESTIGAT")</f>
        <v/>
      </c>
      <c r="V1968">
        <f>TEXTJOIN("; ",TRUE,[@flag_oras],[@flag_tva],[@flag_scadenta],[@flag_zi])</f>
        <v/>
      </c>
    </row>
    <row r="1969">
      <c r="A1969" t="inlineStr">
        <is>
          <t>F-2025-01968</t>
        </is>
      </c>
      <c r="B1969" s="12" t="n">
        <v>46107</v>
      </c>
      <c r="C1969" t="inlineStr">
        <is>
          <t>SC DACTECH SOLUTIONS SRL</t>
        </is>
      </c>
      <c r="D1969" t="inlineStr">
        <is>
          <t>Argeș</t>
        </is>
      </c>
      <c r="E1969" t="inlineStr">
        <is>
          <t>PRD-007</t>
        </is>
      </c>
      <c r="F1969" t="inlineStr">
        <is>
          <t>Licenta ERP contabilitate</t>
        </is>
      </c>
      <c r="G1969" t="inlineStr">
        <is>
          <t>Licențe software</t>
        </is>
      </c>
      <c r="H1969" t="n">
        <v>1</v>
      </c>
      <c r="I1969" t="n">
        <v>177.35</v>
      </c>
      <c r="J1969" t="n">
        <v>177.35</v>
      </c>
      <c r="K1969" s="13" t="n">
        <v>0.19</v>
      </c>
      <c r="L1969" t="n">
        <v>33.7</v>
      </c>
      <c r="M1969" t="n">
        <v>211.05</v>
      </c>
      <c r="N1969" t="inlineStr">
        <is>
          <t>RON</t>
        </is>
      </c>
      <c r="O1969" t="inlineStr">
        <is>
          <t>Pitești</t>
        </is>
      </c>
      <c r="P1969" s="12" t="n">
        <v>46167</v>
      </c>
      <c r="Q1969">
        <f>IF(COUNTIF(tbl_Localitati[oras_oficial],[@oras])=0,"ORAS NEALINIAT",IF(XLOOKUP([@oras],tbl_Localitati[oras_oficial],tbl_Localitati[judet],"?")&lt;&gt;[@judet],"JUDET NECORESPUNZATOR",""))</f>
        <v/>
      </c>
      <c r="R1969">
        <f>IF(XLOOKUP([@categorie],tbl_RegulriTVA[categorie],tbl_RegulriTVA[cota_legala],-1)&lt;&gt;[@cota_tva],"TVA GRESIT","")</f>
        <v/>
      </c>
      <c r="S1969">
        <f>IF([@data_scadentei]&lt;[@data_factura],"SCADENTA INAINTEA FACTURII","")</f>
        <v/>
      </c>
      <c r="T1969">
        <f>IF(NETWORKDAYS.INTL([@data_factura],[@data_factura],1,tbl_SarbatoriLegale[data])=0,"ZI NELUCRATOARE","")</f>
        <v/>
      </c>
      <c r="U1969">
        <f>IF([@motiv_anomalie]="","OK","DE INVESTIGAT")</f>
        <v/>
      </c>
      <c r="V1969">
        <f>TEXTJOIN("; ",TRUE,[@flag_oras],[@flag_tva],[@flag_scadenta],[@flag_zi])</f>
        <v/>
      </c>
    </row>
    <row r="1970">
      <c r="A1970" t="inlineStr">
        <is>
          <t>F-2025-01969</t>
        </is>
      </c>
      <c r="B1970" s="12" t="n">
        <v>46098</v>
      </c>
      <c r="C1970" t="inlineStr">
        <is>
          <t>SC RAPID LOGISTIC SA</t>
        </is>
      </c>
      <c r="D1970" t="inlineStr">
        <is>
          <t>Prahova</t>
        </is>
      </c>
      <c r="E1970" t="inlineStr">
        <is>
          <t>PRD-005</t>
        </is>
      </c>
      <c r="F1970" t="inlineStr">
        <is>
          <t>Licenta Office 365 anuala</t>
        </is>
      </c>
      <c r="G1970" t="inlineStr">
        <is>
          <t>Licențe software</t>
        </is>
      </c>
      <c r="H1970" t="n">
        <v>1</v>
      </c>
      <c r="I1970" t="n">
        <v>240.99</v>
      </c>
      <c r="J1970" t="n">
        <v>240.99</v>
      </c>
      <c r="K1970" s="13" t="n">
        <v>0.19</v>
      </c>
      <c r="L1970" t="n">
        <v>45.79</v>
      </c>
      <c r="M1970" t="n">
        <v>286.78</v>
      </c>
      <c r="N1970" t="inlineStr">
        <is>
          <t>EUR</t>
        </is>
      </c>
      <c r="O1970" t="inlineStr">
        <is>
          <t>Ploiești</t>
        </is>
      </c>
      <c r="P1970" s="12" t="n">
        <v>46113</v>
      </c>
      <c r="Q1970">
        <f>IF(COUNTIF(tbl_Localitati[oras_oficial],[@oras])=0,"ORAS NEALINIAT",IF(XLOOKUP([@oras],tbl_Localitati[oras_oficial],tbl_Localitati[judet],"?")&lt;&gt;[@judet],"JUDET NECORESPUNZATOR",""))</f>
        <v/>
      </c>
      <c r="R1970">
        <f>IF(XLOOKUP([@categorie],tbl_RegulriTVA[categorie],tbl_RegulriTVA[cota_legala],-1)&lt;&gt;[@cota_tva],"TVA GRESIT","")</f>
        <v/>
      </c>
      <c r="S1970">
        <f>IF([@data_scadentei]&lt;[@data_factura],"SCADENTA INAINTEA FACTURII","")</f>
        <v/>
      </c>
      <c r="T1970">
        <f>IF(NETWORKDAYS.INTL([@data_factura],[@data_factura],1,tbl_SarbatoriLegale[data])=0,"ZI NELUCRATOARE","")</f>
        <v/>
      </c>
      <c r="U1970">
        <f>IF([@motiv_anomalie]="","OK","DE INVESTIGAT")</f>
        <v/>
      </c>
      <c r="V1970">
        <f>TEXTJOIN("; ",TRUE,[@flag_oras],[@flag_tva],[@flag_scadenta],[@flag_zi])</f>
        <v/>
      </c>
    </row>
    <row r="1971">
      <c r="A1971" t="inlineStr">
        <is>
          <t>F-2025-01970</t>
        </is>
      </c>
      <c r="B1971" s="12" t="n">
        <v>46062</v>
      </c>
      <c r="C1971" t="inlineStr">
        <is>
          <t>SC DACTECH SOLUTIONS SRL</t>
        </is>
      </c>
      <c r="D1971" t="inlineStr">
        <is>
          <t>Argeș</t>
        </is>
      </c>
      <c r="E1971" t="inlineStr">
        <is>
          <t>PRD-008</t>
        </is>
      </c>
      <c r="F1971" t="inlineStr">
        <is>
          <t>Apa plata bax</t>
        </is>
      </c>
      <c r="G1971" t="inlineStr">
        <is>
          <t>Alimente</t>
        </is>
      </c>
      <c r="H1971" t="n">
        <v>1</v>
      </c>
      <c r="I1971" t="n">
        <v>464.91</v>
      </c>
      <c r="J1971" t="n">
        <v>464.91</v>
      </c>
      <c r="K1971" s="13" t="n">
        <v>0.09</v>
      </c>
      <c r="L1971" t="n">
        <v>41.84</v>
      </c>
      <c r="M1971" t="n">
        <v>506.75</v>
      </c>
      <c r="N1971" t="inlineStr">
        <is>
          <t>RON</t>
        </is>
      </c>
      <c r="O1971" t="inlineStr">
        <is>
          <t>Pitești</t>
        </is>
      </c>
      <c r="P1971" s="12" t="n">
        <v>46077</v>
      </c>
      <c r="Q1971">
        <f>IF(COUNTIF(tbl_Localitati[oras_oficial],[@oras])=0,"ORAS NEALINIAT",IF(XLOOKUP([@oras],tbl_Localitati[oras_oficial],tbl_Localitati[judet],"?")&lt;&gt;[@judet],"JUDET NECORESPUNZATOR",""))</f>
        <v/>
      </c>
      <c r="R1971">
        <f>IF(XLOOKUP([@categorie],tbl_RegulriTVA[categorie],tbl_RegulriTVA[cota_legala],-1)&lt;&gt;[@cota_tva],"TVA GRESIT","")</f>
        <v/>
      </c>
      <c r="S1971">
        <f>IF([@data_scadentei]&lt;[@data_factura],"SCADENTA INAINTEA FACTURII","")</f>
        <v/>
      </c>
      <c r="T1971">
        <f>IF(NETWORKDAYS.INTL([@data_factura],[@data_factura],1,tbl_SarbatoriLegale[data])=0,"ZI NELUCRATOARE","")</f>
        <v/>
      </c>
      <c r="U1971">
        <f>IF([@motiv_anomalie]="","OK","DE INVESTIGAT")</f>
        <v/>
      </c>
      <c r="V1971">
        <f>TEXTJOIN("; ",TRUE,[@flag_oras],[@flag_tva],[@flag_scadenta],[@flag_zi])</f>
        <v/>
      </c>
    </row>
    <row r="1972">
      <c r="A1972" t="inlineStr">
        <is>
          <t>F-2025-01971</t>
        </is>
      </c>
      <c r="B1972" s="12" t="n">
        <v>46262</v>
      </c>
      <c r="C1972" t="inlineStr">
        <is>
          <t>SC NORDIS DISTRIBUTIE SRL</t>
        </is>
      </c>
      <c r="D1972" t="inlineStr">
        <is>
          <t>Constanța</t>
        </is>
      </c>
      <c r="E1972" t="inlineStr">
        <is>
          <t>PRD-008</t>
        </is>
      </c>
      <c r="F1972" t="inlineStr">
        <is>
          <t>Consultanta implementare IT</t>
        </is>
      </c>
      <c r="G1972" t="inlineStr">
        <is>
          <t>Servicii consultanță</t>
        </is>
      </c>
      <c r="H1972" t="n">
        <v>1</v>
      </c>
      <c r="I1972" t="n">
        <v>456.19</v>
      </c>
      <c r="J1972" t="n">
        <v>456.19</v>
      </c>
      <c r="K1972" s="13" t="n">
        <v>0.19</v>
      </c>
      <c r="L1972" t="n">
        <v>86.68000000000001</v>
      </c>
      <c r="M1972" t="n">
        <v>542.87</v>
      </c>
      <c r="N1972" t="inlineStr">
        <is>
          <t>RON</t>
        </is>
      </c>
      <c r="O1972" t="inlineStr">
        <is>
          <t>Mangalia</t>
        </is>
      </c>
      <c r="P1972" s="12" t="n">
        <v>46277</v>
      </c>
      <c r="Q1972">
        <f>IF(COUNTIF(tbl_Localitati[oras_oficial],[@oras])=0,"ORAS NEALINIAT",IF(XLOOKUP([@oras],tbl_Localitati[oras_oficial],tbl_Localitati[judet],"?")&lt;&gt;[@judet],"JUDET NECORESPUNZATOR",""))</f>
        <v/>
      </c>
      <c r="R1972">
        <f>IF(XLOOKUP([@categorie],tbl_RegulriTVA[categorie],tbl_RegulriTVA[cota_legala],-1)&lt;&gt;[@cota_tva],"TVA GRESIT","")</f>
        <v/>
      </c>
      <c r="S1972">
        <f>IF([@data_scadentei]&lt;[@data_factura],"SCADENTA INAINTEA FACTURII","")</f>
        <v/>
      </c>
      <c r="T1972">
        <f>IF(NETWORKDAYS.INTL([@data_factura],[@data_factura],1,tbl_SarbatoriLegale[data])=0,"ZI NELUCRATOARE","")</f>
        <v/>
      </c>
      <c r="U1972">
        <f>IF([@motiv_anomalie]="","OK","DE INVESTIGAT")</f>
        <v/>
      </c>
      <c r="V1972">
        <f>TEXTJOIN("; ",TRUE,[@flag_oras],[@flag_tva],[@flag_scadenta],[@flag_zi])</f>
        <v/>
      </c>
    </row>
    <row r="1973">
      <c r="A1973" t="inlineStr">
        <is>
          <t>F-2025-01972</t>
        </is>
      </c>
      <c r="B1973" s="12" t="n">
        <v>46342</v>
      </c>
      <c r="C1973" t="inlineStr">
        <is>
          <t>SC UNIFOOD DISTRIBUTION SA</t>
        </is>
      </c>
      <c r="D1973" t="inlineStr">
        <is>
          <t>Sibiu</t>
        </is>
      </c>
      <c r="E1973" t="inlineStr">
        <is>
          <t>PRD-005</t>
        </is>
      </c>
      <c r="F1973" t="inlineStr">
        <is>
          <t>Statie de lucru desktop</t>
        </is>
      </c>
      <c r="G1973" t="inlineStr">
        <is>
          <t>Hardware IT</t>
        </is>
      </c>
      <c r="H1973" t="n">
        <v>1</v>
      </c>
      <c r="I1973" t="n">
        <v>245.94</v>
      </c>
      <c r="J1973" t="n">
        <v>245.94</v>
      </c>
      <c r="K1973" s="13" t="n">
        <v>0.19</v>
      </c>
      <c r="L1973" t="n">
        <v>46.73</v>
      </c>
      <c r="M1973" t="n">
        <v>292.67</v>
      </c>
      <c r="N1973" t="inlineStr">
        <is>
          <t>RON</t>
        </is>
      </c>
      <c r="O1973" t="inlineStr">
        <is>
          <t>Mediaș</t>
        </is>
      </c>
      <c r="P1973" s="12" t="n">
        <v>46387</v>
      </c>
      <c r="Q1973">
        <f>IF(COUNTIF(tbl_Localitati[oras_oficial],[@oras])=0,"ORAS NEALINIAT",IF(XLOOKUP([@oras],tbl_Localitati[oras_oficial],tbl_Localitati[judet],"?")&lt;&gt;[@judet],"JUDET NECORESPUNZATOR",""))</f>
        <v/>
      </c>
      <c r="R1973">
        <f>IF(XLOOKUP([@categorie],tbl_RegulriTVA[categorie],tbl_RegulriTVA[cota_legala],-1)&lt;&gt;[@cota_tva],"TVA GRESIT","")</f>
        <v/>
      </c>
      <c r="S1973">
        <f>IF([@data_scadentei]&lt;[@data_factura],"SCADENTA INAINTEA FACTURII","")</f>
        <v/>
      </c>
      <c r="T1973">
        <f>IF(NETWORKDAYS.INTL([@data_factura],[@data_factura],1,tbl_SarbatoriLegale[data])=0,"ZI NELUCRATOARE","")</f>
        <v/>
      </c>
      <c r="U1973">
        <f>IF([@motiv_anomalie]="","OK","DE INVESTIGAT")</f>
        <v/>
      </c>
      <c r="V1973">
        <f>TEXTJOIN("; ",TRUE,[@flag_oras],[@flag_tva],[@flag_scadenta],[@flag_zi])</f>
        <v/>
      </c>
    </row>
    <row r="1974">
      <c r="A1974" t="inlineStr">
        <is>
          <t>F-2025-01973</t>
        </is>
      </c>
      <c r="B1974" s="12" t="n">
        <v>46269</v>
      </c>
      <c r="C1974" t="inlineStr">
        <is>
          <t>SC VECTOR CONSULT SRL</t>
        </is>
      </c>
      <c r="D1974" t="inlineStr">
        <is>
          <t>Timiș</t>
        </is>
      </c>
      <c r="E1974" t="inlineStr">
        <is>
          <t>PRD-005</t>
        </is>
      </c>
      <c r="F1974" t="inlineStr">
        <is>
          <t>Tocator documente</t>
        </is>
      </c>
      <c r="G1974" t="inlineStr">
        <is>
          <t>Echipamente birou</t>
        </is>
      </c>
      <c r="H1974" t="n">
        <v>10</v>
      </c>
      <c r="I1974" t="n">
        <v>254.36</v>
      </c>
      <c r="J1974" t="n">
        <v>2543.6</v>
      </c>
      <c r="K1974" s="13" t="n">
        <v>0.19</v>
      </c>
      <c r="L1974" t="n">
        <v>483.28</v>
      </c>
      <c r="M1974" t="n">
        <v>3026.88</v>
      </c>
      <c r="N1974" t="inlineStr">
        <is>
          <t>RON</t>
        </is>
      </c>
      <c r="O1974" t="inlineStr">
        <is>
          <t>Timișoara</t>
        </is>
      </c>
      <c r="P1974" s="12" t="n">
        <v>46329</v>
      </c>
      <c r="Q1974">
        <f>IF(COUNTIF(tbl_Localitati[oras_oficial],[@oras])=0,"ORAS NEALINIAT",IF(XLOOKUP([@oras],tbl_Localitati[oras_oficial],tbl_Localitati[judet],"?")&lt;&gt;[@judet],"JUDET NECORESPUNZATOR",""))</f>
        <v/>
      </c>
      <c r="R1974">
        <f>IF(XLOOKUP([@categorie],tbl_RegulriTVA[categorie],tbl_RegulriTVA[cota_legala],-1)&lt;&gt;[@cota_tva],"TVA GRESIT","")</f>
        <v/>
      </c>
      <c r="S1974">
        <f>IF([@data_scadentei]&lt;[@data_factura],"SCADENTA INAINTEA FACTURII","")</f>
        <v/>
      </c>
      <c r="T1974">
        <f>IF(NETWORKDAYS.INTL([@data_factura],[@data_factura],1,tbl_SarbatoriLegale[data])=0,"ZI NELUCRATOARE","")</f>
        <v/>
      </c>
      <c r="U1974">
        <f>IF([@motiv_anomalie]="","OK","DE INVESTIGAT")</f>
        <v/>
      </c>
      <c r="V1974">
        <f>TEXTJOIN("; ",TRUE,[@flag_oras],[@flag_tva],[@flag_scadenta],[@flag_zi])</f>
        <v/>
      </c>
    </row>
    <row r="1975">
      <c r="A1975" t="inlineStr">
        <is>
          <t>F-2025-01974</t>
        </is>
      </c>
      <c r="B1975" s="12" t="n">
        <v>46283</v>
      </c>
      <c r="C1975" t="inlineStr">
        <is>
          <t>SC METALPLAST INVEST SA</t>
        </is>
      </c>
      <c r="D1975" t="inlineStr">
        <is>
          <t>Cluj</t>
        </is>
      </c>
      <c r="E1975" t="inlineStr">
        <is>
          <t>PRD-010</t>
        </is>
      </c>
      <c r="F1975" t="inlineStr">
        <is>
          <t>Monitor 27" 4K</t>
        </is>
      </c>
      <c r="G1975" t="inlineStr">
        <is>
          <t>Hardware IT</t>
        </is>
      </c>
      <c r="H1975" t="n">
        <v>5</v>
      </c>
      <c r="I1975" t="n">
        <v>357.6</v>
      </c>
      <c r="J1975" t="n">
        <v>1788</v>
      </c>
      <c r="K1975" s="13" t="n">
        <v>0.19</v>
      </c>
      <c r="L1975" t="n">
        <v>339.72</v>
      </c>
      <c r="M1975" t="n">
        <v>2127.72</v>
      </c>
      <c r="N1975" t="inlineStr">
        <is>
          <t>RON</t>
        </is>
      </c>
      <c r="O1975" t="inlineStr">
        <is>
          <t>Turda</t>
        </is>
      </c>
      <c r="P1975" s="12" t="n">
        <v>46313</v>
      </c>
      <c r="Q1975">
        <f>IF(COUNTIF(tbl_Localitati[oras_oficial],[@oras])=0,"ORAS NEALINIAT",IF(XLOOKUP([@oras],tbl_Localitati[oras_oficial],tbl_Localitati[judet],"?")&lt;&gt;[@judet],"JUDET NECORESPUNZATOR",""))</f>
        <v/>
      </c>
      <c r="R1975">
        <f>IF(XLOOKUP([@categorie],tbl_RegulriTVA[categorie],tbl_RegulriTVA[cota_legala],-1)&lt;&gt;[@cota_tva],"TVA GRESIT","")</f>
        <v/>
      </c>
      <c r="S1975">
        <f>IF([@data_scadentei]&lt;[@data_factura],"SCADENTA INAINTEA FACTURII","")</f>
        <v/>
      </c>
      <c r="T1975">
        <f>IF(NETWORKDAYS.INTL([@data_factura],[@data_factura],1,tbl_SarbatoriLegale[data])=0,"ZI NELUCRATOARE","")</f>
        <v/>
      </c>
      <c r="U1975">
        <f>IF([@motiv_anomalie]="","OK","DE INVESTIGAT")</f>
        <v/>
      </c>
      <c r="V1975">
        <f>TEXTJOIN("; ",TRUE,[@flag_oras],[@flag_tva],[@flag_scadenta],[@flag_zi])</f>
        <v/>
      </c>
    </row>
    <row r="1976">
      <c r="A1976" t="inlineStr">
        <is>
          <t>F-2025-01975</t>
        </is>
      </c>
      <c r="B1976" s="12" t="n">
        <v>46202</v>
      </c>
      <c r="C1976" t="inlineStr">
        <is>
          <t>SC VECTOR CONSULT SRL</t>
        </is>
      </c>
      <c r="D1976" t="inlineStr">
        <is>
          <t>Timiș</t>
        </is>
      </c>
      <c r="E1976" t="inlineStr">
        <is>
          <t>PRD-003</t>
        </is>
      </c>
      <c r="F1976" t="inlineStr">
        <is>
          <t>Licenta Office 365 anuala</t>
        </is>
      </c>
      <c r="G1976" t="inlineStr">
        <is>
          <t>Licențe software</t>
        </is>
      </c>
      <c r="H1976" t="n">
        <v>1</v>
      </c>
      <c r="I1976" t="n">
        <v>4260.8</v>
      </c>
      <c r="J1976" t="n">
        <v>4260.8</v>
      </c>
      <c r="K1976" s="13" t="n">
        <v>0.19</v>
      </c>
      <c r="L1976" t="n">
        <v>809.55</v>
      </c>
      <c r="M1976" t="n">
        <v>5070.35</v>
      </c>
      <c r="N1976" t="inlineStr">
        <is>
          <t>RON</t>
        </is>
      </c>
      <c r="O1976" t="inlineStr">
        <is>
          <t>Timișoara</t>
        </is>
      </c>
      <c r="P1976" s="12" t="n">
        <v>46262</v>
      </c>
      <c r="Q1976">
        <f>IF(COUNTIF(tbl_Localitati[oras_oficial],[@oras])=0,"ORAS NEALINIAT",IF(XLOOKUP([@oras],tbl_Localitati[oras_oficial],tbl_Localitati[judet],"?")&lt;&gt;[@judet],"JUDET NECORESPUNZATOR",""))</f>
        <v/>
      </c>
      <c r="R1976">
        <f>IF(XLOOKUP([@categorie],tbl_RegulriTVA[categorie],tbl_RegulriTVA[cota_legala],-1)&lt;&gt;[@cota_tva],"TVA GRESIT","")</f>
        <v/>
      </c>
      <c r="S1976">
        <f>IF([@data_scadentei]&lt;[@data_factura],"SCADENTA INAINTEA FACTURII","")</f>
        <v/>
      </c>
      <c r="T1976">
        <f>IF(NETWORKDAYS.INTL([@data_factura],[@data_factura],1,tbl_SarbatoriLegale[data])=0,"ZI NELUCRATOARE","")</f>
        <v/>
      </c>
      <c r="U1976">
        <f>IF([@motiv_anomalie]="","OK","DE INVESTIGAT")</f>
        <v/>
      </c>
      <c r="V1976">
        <f>TEXTJOIN("; ",TRUE,[@flag_oras],[@flag_tva],[@flag_scadenta],[@flag_zi])</f>
        <v/>
      </c>
    </row>
    <row r="1977">
      <c r="A1977" t="inlineStr">
        <is>
          <t>F-2025-01976</t>
        </is>
      </c>
      <c r="B1977" s="12" t="n">
        <v>46197</v>
      </c>
      <c r="C1977" t="inlineStr">
        <is>
          <t>SC INTEGROMED SA</t>
        </is>
      </c>
      <c r="D1977" t="inlineStr">
        <is>
          <t>Cluj</t>
        </is>
      </c>
      <c r="E1977" t="inlineStr">
        <is>
          <t>PRD-002</t>
        </is>
      </c>
      <c r="F1977" t="inlineStr">
        <is>
          <t>Ceai cutie 100buc</t>
        </is>
      </c>
      <c r="G1977" t="inlineStr">
        <is>
          <t>Alimente</t>
        </is>
      </c>
      <c r="H1977" t="n">
        <v>1</v>
      </c>
      <c r="I1977" t="n">
        <v>1133.51</v>
      </c>
      <c r="J1977" t="n">
        <v>1133.51</v>
      </c>
      <c r="K1977" s="13" t="n">
        <v>0.09</v>
      </c>
      <c r="L1977" t="n">
        <v>102.02</v>
      </c>
      <c r="M1977" t="n">
        <v>1235.53</v>
      </c>
      <c r="N1977" t="inlineStr">
        <is>
          <t>RON</t>
        </is>
      </c>
      <c r="O1977" t="inlineStr">
        <is>
          <t>Cluj-Napoca</t>
        </is>
      </c>
      <c r="P1977" s="12" t="n">
        <v>46227</v>
      </c>
      <c r="Q1977">
        <f>IF(COUNTIF(tbl_Localitati[oras_oficial],[@oras])=0,"ORAS NEALINIAT",IF(XLOOKUP([@oras],tbl_Localitati[oras_oficial],tbl_Localitati[judet],"?")&lt;&gt;[@judet],"JUDET NECORESPUNZATOR",""))</f>
        <v/>
      </c>
      <c r="R1977">
        <f>IF(XLOOKUP([@categorie],tbl_RegulriTVA[categorie],tbl_RegulriTVA[cota_legala],-1)&lt;&gt;[@cota_tva],"TVA GRESIT","")</f>
        <v/>
      </c>
      <c r="S1977">
        <f>IF([@data_scadentei]&lt;[@data_factura],"SCADENTA INAINTEA FACTURII","")</f>
        <v/>
      </c>
      <c r="T1977">
        <f>IF(NETWORKDAYS.INTL([@data_factura],[@data_factura],1,tbl_SarbatoriLegale[data])=0,"ZI NELUCRATOARE","")</f>
        <v/>
      </c>
      <c r="U1977">
        <f>IF([@motiv_anomalie]="","OK","DE INVESTIGAT")</f>
        <v/>
      </c>
      <c r="V1977">
        <f>TEXTJOIN("; ",TRUE,[@flag_oras],[@flag_tva],[@flag_scadenta],[@flag_zi])</f>
        <v/>
      </c>
    </row>
    <row r="1978">
      <c r="A1978" t="inlineStr">
        <is>
          <t>F-2025-01977</t>
        </is>
      </c>
      <c r="B1978" s="12" t="n">
        <v>46360</v>
      </c>
      <c r="C1978" t="inlineStr">
        <is>
          <t>SC AROMET TRADING SRL</t>
        </is>
      </c>
      <c r="D1978" t="inlineStr">
        <is>
          <t>Alba</t>
        </is>
      </c>
      <c r="E1978" t="inlineStr">
        <is>
          <t>PRD-005</t>
        </is>
      </c>
      <c r="F1978" t="inlineStr">
        <is>
          <t>Masti protectie cutie</t>
        </is>
      </c>
      <c r="G1978" t="inlineStr">
        <is>
          <t>Produse farmaceutice</t>
        </is>
      </c>
      <c r="H1978" t="n">
        <v>1</v>
      </c>
      <c r="I1978" t="n">
        <v>255.96</v>
      </c>
      <c r="J1978" t="n">
        <v>255.96</v>
      </c>
      <c r="K1978" s="13" t="n">
        <v>0.09</v>
      </c>
      <c r="L1978" t="n">
        <v>23.04</v>
      </c>
      <c r="M1978" t="n">
        <v>279</v>
      </c>
      <c r="N1978" t="inlineStr">
        <is>
          <t>RON</t>
        </is>
      </c>
      <c r="O1978" t="inlineStr">
        <is>
          <t>Alba Iulia</t>
        </is>
      </c>
      <c r="P1978" s="12" t="n">
        <v>46420</v>
      </c>
      <c r="Q1978">
        <f>IF(COUNTIF(tbl_Localitati[oras_oficial],[@oras])=0,"ORAS NEALINIAT",IF(XLOOKUP([@oras],tbl_Localitati[oras_oficial],tbl_Localitati[judet],"?")&lt;&gt;[@judet],"JUDET NECORESPUNZATOR",""))</f>
        <v/>
      </c>
      <c r="R1978">
        <f>IF(XLOOKUP([@categorie],tbl_RegulriTVA[categorie],tbl_RegulriTVA[cota_legala],-1)&lt;&gt;[@cota_tva],"TVA GRESIT","")</f>
        <v/>
      </c>
      <c r="S1978">
        <f>IF([@data_scadentei]&lt;[@data_factura],"SCADENTA INAINTEA FACTURII","")</f>
        <v/>
      </c>
      <c r="T1978">
        <f>IF(NETWORKDAYS.INTL([@data_factura],[@data_factura],1,tbl_SarbatoriLegale[data])=0,"ZI NELUCRATOARE","")</f>
        <v/>
      </c>
      <c r="U1978">
        <f>IF([@motiv_anomalie]="","OK","DE INVESTIGAT")</f>
        <v/>
      </c>
      <c r="V1978">
        <f>TEXTJOIN("; ",TRUE,[@flag_oras],[@flag_tva],[@flag_scadenta],[@flag_zi])</f>
        <v/>
      </c>
    </row>
    <row r="1979">
      <c r="A1979" t="inlineStr">
        <is>
          <t>F-2025-01978</t>
        </is>
      </c>
      <c r="B1979" s="12" t="n">
        <v>46086</v>
      </c>
      <c r="C1979" t="inlineStr">
        <is>
          <t>SC NORDIS DISTRIBUTIE SRL</t>
        </is>
      </c>
      <c r="D1979" t="inlineStr">
        <is>
          <t>Constanța</t>
        </is>
      </c>
      <c r="E1979" t="inlineStr">
        <is>
          <t>PRD-007</t>
        </is>
      </c>
      <c r="F1979" t="inlineStr">
        <is>
          <t>Licenta ERP contabilitate</t>
        </is>
      </c>
      <c r="G1979" t="inlineStr">
        <is>
          <t>Licențe software</t>
        </is>
      </c>
      <c r="H1979" t="n">
        <v>10</v>
      </c>
      <c r="I1979" t="n">
        <v>188.85</v>
      </c>
      <c r="J1979" t="n">
        <v>1888.5</v>
      </c>
      <c r="K1979" s="13" t="n">
        <v>0.19</v>
      </c>
      <c r="L1979" t="n">
        <v>358.81</v>
      </c>
      <c r="M1979" t="n">
        <v>2247.31</v>
      </c>
      <c r="N1979" t="inlineStr">
        <is>
          <t>RON</t>
        </is>
      </c>
      <c r="O1979" t="inlineStr">
        <is>
          <t>Mangalia</t>
        </is>
      </c>
      <c r="P1979" s="12" t="n">
        <v>46101</v>
      </c>
      <c r="Q1979">
        <f>IF(COUNTIF(tbl_Localitati[oras_oficial],[@oras])=0,"ORAS NEALINIAT",IF(XLOOKUP([@oras],tbl_Localitati[oras_oficial],tbl_Localitati[judet],"?")&lt;&gt;[@judet],"JUDET NECORESPUNZATOR",""))</f>
        <v/>
      </c>
      <c r="R1979">
        <f>IF(XLOOKUP([@categorie],tbl_RegulriTVA[categorie],tbl_RegulriTVA[cota_legala],-1)&lt;&gt;[@cota_tva],"TVA GRESIT","")</f>
        <v/>
      </c>
      <c r="S1979">
        <f>IF([@data_scadentei]&lt;[@data_factura],"SCADENTA INAINTEA FACTURII","")</f>
        <v/>
      </c>
      <c r="T1979">
        <f>IF(NETWORKDAYS.INTL([@data_factura],[@data_factura],1,tbl_SarbatoriLegale[data])=0,"ZI NELUCRATOARE","")</f>
        <v/>
      </c>
      <c r="U1979">
        <f>IF([@motiv_anomalie]="","OK","DE INVESTIGAT")</f>
        <v/>
      </c>
      <c r="V1979">
        <f>TEXTJOIN("; ",TRUE,[@flag_oras],[@flag_tva],[@flag_scadenta],[@flag_zi])</f>
        <v/>
      </c>
    </row>
    <row r="1980">
      <c r="A1980" t="inlineStr">
        <is>
          <t>F-2025-01979</t>
        </is>
      </c>
      <c r="B1980" s="12" t="n">
        <v>46050</v>
      </c>
      <c r="C1980" t="inlineStr">
        <is>
          <t>SC AROMET TRADING SRL</t>
        </is>
      </c>
      <c r="D1980" t="inlineStr">
        <is>
          <t>Alba</t>
        </is>
      </c>
      <c r="E1980" t="inlineStr">
        <is>
          <t>PRD-009</t>
        </is>
      </c>
      <c r="F1980" t="inlineStr">
        <is>
          <t>Set carti formare</t>
        </is>
      </c>
      <c r="G1980" t="inlineStr">
        <is>
          <t>Cărți și manuale</t>
        </is>
      </c>
      <c r="H1980" t="n">
        <v>10</v>
      </c>
      <c r="I1980" t="n">
        <v>27.1</v>
      </c>
      <c r="J1980" t="n">
        <v>271</v>
      </c>
      <c r="K1980" s="13" t="n">
        <v>0.05</v>
      </c>
      <c r="L1980" t="n">
        <v>13.55</v>
      </c>
      <c r="M1980" t="n">
        <v>284.55</v>
      </c>
      <c r="N1980" t="inlineStr">
        <is>
          <t>RON</t>
        </is>
      </c>
      <c r="O1980" t="inlineStr">
        <is>
          <t>Alba Iulia</t>
        </is>
      </c>
      <c r="P1980" s="12" t="n">
        <v>46080</v>
      </c>
      <c r="Q1980">
        <f>IF(COUNTIF(tbl_Localitati[oras_oficial],[@oras])=0,"ORAS NEALINIAT",IF(XLOOKUP([@oras],tbl_Localitati[oras_oficial],tbl_Localitati[judet],"?")&lt;&gt;[@judet],"JUDET NECORESPUNZATOR",""))</f>
        <v/>
      </c>
      <c r="R1980">
        <f>IF(XLOOKUP([@categorie],tbl_RegulriTVA[categorie],tbl_RegulriTVA[cota_legala],-1)&lt;&gt;[@cota_tva],"TVA GRESIT","")</f>
        <v/>
      </c>
      <c r="S1980">
        <f>IF([@data_scadentei]&lt;[@data_factura],"SCADENTA INAINTEA FACTURII","")</f>
        <v/>
      </c>
      <c r="T1980">
        <f>IF(NETWORKDAYS.INTL([@data_factura],[@data_factura],1,tbl_SarbatoriLegale[data])=0,"ZI NELUCRATOARE","")</f>
        <v/>
      </c>
      <c r="U1980">
        <f>IF([@motiv_anomalie]="","OK","DE INVESTIGAT")</f>
        <v/>
      </c>
      <c r="V1980">
        <f>TEXTJOIN("; ",TRUE,[@flag_oras],[@flag_tva],[@flag_scadenta],[@flag_zi])</f>
        <v/>
      </c>
    </row>
    <row r="1981">
      <c r="A1981" t="inlineStr">
        <is>
          <t>F-2025-01980</t>
        </is>
      </c>
      <c r="B1981" s="12" t="n">
        <v>46050</v>
      </c>
      <c r="C1981" t="inlineStr">
        <is>
          <t>SC SOLARIS ENERGY SRL</t>
        </is>
      </c>
      <c r="D1981" t="inlineStr">
        <is>
          <t>Prahova</t>
        </is>
      </c>
      <c r="E1981" t="inlineStr">
        <is>
          <t>PRD-009</t>
        </is>
      </c>
      <c r="F1981" t="inlineStr">
        <is>
          <t>Licenta ERP contabilitate</t>
        </is>
      </c>
      <c r="G1981" t="inlineStr">
        <is>
          <t>Licențe software</t>
        </is>
      </c>
      <c r="H1981" t="n">
        <v>10</v>
      </c>
      <c r="I1981" t="n">
        <v>28.78</v>
      </c>
      <c r="J1981" t="n">
        <v>287.8</v>
      </c>
      <c r="K1981" s="13" t="n">
        <v>0.19</v>
      </c>
      <c r="L1981" t="n">
        <v>54.68</v>
      </c>
      <c r="M1981" t="n">
        <v>342.48</v>
      </c>
      <c r="N1981" t="inlineStr">
        <is>
          <t>RON</t>
        </is>
      </c>
      <c r="O1981" t="inlineStr">
        <is>
          <t>Câmpina</t>
        </is>
      </c>
      <c r="P1981" s="12" t="n">
        <v>46080</v>
      </c>
      <c r="Q1981">
        <f>IF(COUNTIF(tbl_Localitati[oras_oficial],[@oras])=0,"ORAS NEALINIAT",IF(XLOOKUP([@oras],tbl_Localitati[oras_oficial],tbl_Localitati[judet],"?")&lt;&gt;[@judet],"JUDET NECORESPUNZATOR",""))</f>
        <v/>
      </c>
      <c r="R1981">
        <f>IF(XLOOKUP([@categorie],tbl_RegulriTVA[categorie],tbl_RegulriTVA[cota_legala],-1)&lt;&gt;[@cota_tva],"TVA GRESIT","")</f>
        <v/>
      </c>
      <c r="S1981">
        <f>IF([@data_scadentei]&lt;[@data_factura],"SCADENTA INAINTEA FACTURII","")</f>
        <v/>
      </c>
      <c r="T1981">
        <f>IF(NETWORKDAYS.INTL([@data_factura],[@data_factura],1,tbl_SarbatoriLegale[data])=0,"ZI NELUCRATOARE","")</f>
        <v/>
      </c>
      <c r="U1981">
        <f>IF([@motiv_anomalie]="","OK","DE INVESTIGAT")</f>
        <v/>
      </c>
      <c r="V1981">
        <f>TEXTJOIN("; ",TRUE,[@flag_oras],[@flag_tva],[@flag_scadenta],[@flag_zi])</f>
        <v/>
      </c>
    </row>
    <row r="1982">
      <c r="A1982" t="inlineStr">
        <is>
          <t>F-2025-01981</t>
        </is>
      </c>
      <c r="B1982" s="12" t="n">
        <v>46191</v>
      </c>
      <c r="C1982" t="inlineStr">
        <is>
          <t>SC UNIFOOD DISTRIBUTION SA</t>
        </is>
      </c>
      <c r="D1982" t="inlineStr">
        <is>
          <t>Sibiu</t>
        </is>
      </c>
      <c r="E1982" t="inlineStr">
        <is>
          <t>PRD-002</t>
        </is>
      </c>
      <c r="F1982" t="inlineStr">
        <is>
          <t>Server rack 1U</t>
        </is>
      </c>
      <c r="G1982" t="inlineStr">
        <is>
          <t>Hardware IT</t>
        </is>
      </c>
      <c r="H1982" t="n">
        <v>1</v>
      </c>
      <c r="I1982" t="n">
        <v>1138.11</v>
      </c>
      <c r="J1982" t="n">
        <v>1138.11</v>
      </c>
      <c r="K1982" s="13" t="n">
        <v>0.19</v>
      </c>
      <c r="L1982" t="n">
        <v>216.24</v>
      </c>
      <c r="M1982" t="n">
        <v>1354.35</v>
      </c>
      <c r="N1982" t="inlineStr">
        <is>
          <t>RON</t>
        </is>
      </c>
      <c r="O1982" t="inlineStr">
        <is>
          <t>Mediaș</t>
        </is>
      </c>
      <c r="P1982" s="12" t="n">
        <v>46206</v>
      </c>
      <c r="Q1982">
        <f>IF(COUNTIF(tbl_Localitati[oras_oficial],[@oras])=0,"ORAS NEALINIAT",IF(XLOOKUP([@oras],tbl_Localitati[oras_oficial],tbl_Localitati[judet],"?")&lt;&gt;[@judet],"JUDET NECORESPUNZATOR",""))</f>
        <v/>
      </c>
      <c r="R1982">
        <f>IF(XLOOKUP([@categorie],tbl_RegulriTVA[categorie],tbl_RegulriTVA[cota_legala],-1)&lt;&gt;[@cota_tva],"TVA GRESIT","")</f>
        <v/>
      </c>
      <c r="S1982">
        <f>IF([@data_scadentei]&lt;[@data_factura],"SCADENTA INAINTEA FACTURII","")</f>
        <v/>
      </c>
      <c r="T1982">
        <f>IF(NETWORKDAYS.INTL([@data_factura],[@data_factura],1,tbl_SarbatoriLegale[data])=0,"ZI NELUCRATOARE","")</f>
        <v/>
      </c>
      <c r="U1982">
        <f>IF([@motiv_anomalie]="","OK","DE INVESTIGAT")</f>
        <v/>
      </c>
      <c r="V1982">
        <f>TEXTJOIN("; ",TRUE,[@flag_oras],[@flag_tva],[@flag_scadenta],[@flag_zi])</f>
        <v/>
      </c>
    </row>
    <row r="1983">
      <c r="A1983" t="inlineStr">
        <is>
          <t>F-2025-01982</t>
        </is>
      </c>
      <c r="B1983" s="12" t="n">
        <v>46253</v>
      </c>
      <c r="C1983" t="inlineStr">
        <is>
          <t>SC OMEGA SOFT SRL</t>
        </is>
      </c>
      <c r="D1983" t="inlineStr">
        <is>
          <t>Dolj</t>
        </is>
      </c>
      <c r="E1983" t="inlineStr">
        <is>
          <t>PRD-007</t>
        </is>
      </c>
      <c r="F1983" t="inlineStr">
        <is>
          <t>Statie de lucru desktop</t>
        </is>
      </c>
      <c r="G1983" t="inlineStr">
        <is>
          <t>Hardware IT</t>
        </is>
      </c>
      <c r="H1983" t="n">
        <v>5</v>
      </c>
      <c r="I1983" t="n">
        <v>176.14</v>
      </c>
      <c r="J1983" t="n">
        <v>880.7</v>
      </c>
      <c r="K1983" s="13" t="n">
        <v>0.19</v>
      </c>
      <c r="L1983" t="n">
        <v>167.33</v>
      </c>
      <c r="M1983" t="n">
        <v>1048.03</v>
      </c>
      <c r="N1983" t="inlineStr">
        <is>
          <t>RON</t>
        </is>
      </c>
      <c r="O1983" t="inlineStr">
        <is>
          <t>Craiova</t>
        </is>
      </c>
      <c r="P1983" s="12" t="n">
        <v>46283</v>
      </c>
      <c r="Q1983">
        <f>IF(COUNTIF(tbl_Localitati[oras_oficial],[@oras])=0,"ORAS NEALINIAT",IF(XLOOKUP([@oras],tbl_Localitati[oras_oficial],tbl_Localitati[judet],"?")&lt;&gt;[@judet],"JUDET NECORESPUNZATOR",""))</f>
        <v/>
      </c>
      <c r="R1983">
        <f>IF(XLOOKUP([@categorie],tbl_RegulriTVA[categorie],tbl_RegulriTVA[cota_legala],-1)&lt;&gt;[@cota_tva],"TVA GRESIT","")</f>
        <v/>
      </c>
      <c r="S1983">
        <f>IF([@data_scadentei]&lt;[@data_factura],"SCADENTA INAINTEA FACTURII","")</f>
        <v/>
      </c>
      <c r="T1983">
        <f>IF(NETWORKDAYS.INTL([@data_factura],[@data_factura],1,tbl_SarbatoriLegale[data])=0,"ZI NELUCRATOARE","")</f>
        <v/>
      </c>
      <c r="U1983">
        <f>IF([@motiv_anomalie]="","OK","DE INVESTIGAT")</f>
        <v/>
      </c>
      <c r="V1983">
        <f>TEXTJOIN("; ",TRUE,[@flag_oras],[@flag_tva],[@flag_scadenta],[@flag_zi])</f>
        <v/>
      </c>
    </row>
    <row r="1984">
      <c r="A1984" t="inlineStr">
        <is>
          <t>F-2025-01983</t>
        </is>
      </c>
      <c r="B1984" s="12" t="n">
        <v>46210</v>
      </c>
      <c r="C1984" t="inlineStr">
        <is>
          <t>SC PROVITA MEDICAL SRL</t>
        </is>
      </c>
      <c r="D1984" t="inlineStr">
        <is>
          <t>Mureș</t>
        </is>
      </c>
      <c r="E1984" t="inlineStr">
        <is>
          <t>PRD-006</t>
        </is>
      </c>
      <c r="F1984" t="inlineStr">
        <is>
          <t>Apa plata bax</t>
        </is>
      </c>
      <c r="G1984" t="inlineStr">
        <is>
          <t>Alimente</t>
        </is>
      </c>
      <c r="H1984" t="n">
        <v>1</v>
      </c>
      <c r="I1984" t="n">
        <v>769.39</v>
      </c>
      <c r="J1984" t="n">
        <v>769.39</v>
      </c>
      <c r="K1984" s="13" t="n">
        <v>0.09</v>
      </c>
      <c r="L1984" t="n">
        <v>69.25</v>
      </c>
      <c r="M1984" t="n">
        <v>838.64</v>
      </c>
      <c r="N1984" t="inlineStr">
        <is>
          <t>EUR</t>
        </is>
      </c>
      <c r="O1984" t="inlineStr">
        <is>
          <t>Târgu Mureș</t>
        </is>
      </c>
      <c r="P1984" s="12" t="n">
        <v>46225</v>
      </c>
      <c r="Q1984">
        <f>IF(COUNTIF(tbl_Localitati[oras_oficial],[@oras])=0,"ORAS NEALINIAT",IF(XLOOKUP([@oras],tbl_Localitati[oras_oficial],tbl_Localitati[judet],"?")&lt;&gt;[@judet],"JUDET NECORESPUNZATOR",""))</f>
        <v/>
      </c>
      <c r="R1984">
        <f>IF(XLOOKUP([@categorie],tbl_RegulriTVA[categorie],tbl_RegulriTVA[cota_legala],-1)&lt;&gt;[@cota_tva],"TVA GRESIT","")</f>
        <v/>
      </c>
      <c r="S1984">
        <f>IF([@data_scadentei]&lt;[@data_factura],"SCADENTA INAINTEA FACTURII","")</f>
        <v/>
      </c>
      <c r="T1984">
        <f>IF(NETWORKDAYS.INTL([@data_factura],[@data_factura],1,tbl_SarbatoriLegale[data])=0,"ZI NELUCRATOARE","")</f>
        <v/>
      </c>
      <c r="U1984">
        <f>IF([@motiv_anomalie]="","OK","DE INVESTIGAT")</f>
        <v/>
      </c>
      <c r="V1984">
        <f>TEXTJOIN("; ",TRUE,[@flag_oras],[@flag_tva],[@flag_scadenta],[@flag_zi])</f>
        <v/>
      </c>
    </row>
    <row r="1985">
      <c r="A1985" t="inlineStr">
        <is>
          <t>F-2025-01984</t>
        </is>
      </c>
      <c r="B1985" s="12" t="n">
        <v>46309</v>
      </c>
      <c r="C1985" t="inlineStr">
        <is>
          <t>SC DACTECH SOLUTIONS SRL</t>
        </is>
      </c>
      <c r="D1985" t="inlineStr">
        <is>
          <t>Argeș</t>
        </is>
      </c>
      <c r="E1985" t="inlineStr">
        <is>
          <t>PRD-005</t>
        </is>
      </c>
      <c r="F1985" t="inlineStr">
        <is>
          <t>Audit infrastructura</t>
        </is>
      </c>
      <c r="G1985" t="inlineStr">
        <is>
          <t>Servicii consultanță</t>
        </is>
      </c>
      <c r="H1985" t="n">
        <v>5</v>
      </c>
      <c r="I1985" t="n">
        <v>246.32</v>
      </c>
      <c r="J1985" t="n">
        <v>1231.6</v>
      </c>
      <c r="K1985" s="13" t="n">
        <v>0.19</v>
      </c>
      <c r="L1985" t="n">
        <v>234</v>
      </c>
      <c r="M1985" t="n">
        <v>1465.6</v>
      </c>
      <c r="N1985" t="inlineStr">
        <is>
          <t>RON</t>
        </is>
      </c>
      <c r="O1985" t="inlineStr">
        <is>
          <t>Pitești</t>
        </is>
      </c>
      <c r="P1985" s="12" t="n">
        <v>46339</v>
      </c>
      <c r="Q1985">
        <f>IF(COUNTIF(tbl_Localitati[oras_oficial],[@oras])=0,"ORAS NEALINIAT",IF(XLOOKUP([@oras],tbl_Localitati[oras_oficial],tbl_Localitati[judet],"?")&lt;&gt;[@judet],"JUDET NECORESPUNZATOR",""))</f>
        <v/>
      </c>
      <c r="R1985">
        <f>IF(XLOOKUP([@categorie],tbl_RegulriTVA[categorie],tbl_RegulriTVA[cota_legala],-1)&lt;&gt;[@cota_tva],"TVA GRESIT","")</f>
        <v/>
      </c>
      <c r="S1985">
        <f>IF([@data_scadentei]&lt;[@data_factura],"SCADENTA INAINTEA FACTURII","")</f>
        <v/>
      </c>
      <c r="T1985">
        <f>IF(NETWORKDAYS.INTL([@data_factura],[@data_factura],1,tbl_SarbatoriLegale[data])=0,"ZI NELUCRATOARE","")</f>
        <v/>
      </c>
      <c r="U1985">
        <f>IF([@motiv_anomalie]="","OK","DE INVESTIGAT")</f>
        <v/>
      </c>
      <c r="V1985">
        <f>TEXTJOIN("; ",TRUE,[@flag_oras],[@flag_tva],[@flag_scadenta],[@flag_zi])</f>
        <v/>
      </c>
    </row>
    <row r="1986">
      <c r="A1986" t="inlineStr">
        <is>
          <t>F-2025-01985</t>
        </is>
      </c>
      <c r="B1986" s="12" t="n">
        <v>46265</v>
      </c>
      <c r="C1986" t="inlineStr">
        <is>
          <t>SC NORDIS DISTRIBUTIE SRL</t>
        </is>
      </c>
      <c r="D1986" t="inlineStr">
        <is>
          <t>Constanța</t>
        </is>
      </c>
      <c r="E1986" t="inlineStr">
        <is>
          <t>PRD-010</t>
        </is>
      </c>
      <c r="F1986" t="inlineStr">
        <is>
          <t>Ceai cutie 100buc</t>
        </is>
      </c>
      <c r="G1986" t="inlineStr">
        <is>
          <t>Alimente</t>
        </is>
      </c>
      <c r="H1986" t="n">
        <v>50</v>
      </c>
      <c r="I1986" t="n">
        <v>350.26</v>
      </c>
      <c r="J1986" t="n">
        <v>17513</v>
      </c>
      <c r="K1986" s="13" t="n">
        <v>0.09</v>
      </c>
      <c r="L1986" t="n">
        <v>1576.17</v>
      </c>
      <c r="M1986" t="n">
        <v>19089.17</v>
      </c>
      <c r="N1986" t="inlineStr">
        <is>
          <t>RON</t>
        </is>
      </c>
      <c r="O1986" t="inlineStr">
        <is>
          <t>Mangalia</t>
        </is>
      </c>
      <c r="P1986" s="12" t="n">
        <v>46280</v>
      </c>
      <c r="Q1986">
        <f>IF(COUNTIF(tbl_Localitati[oras_oficial],[@oras])=0,"ORAS NEALINIAT",IF(XLOOKUP([@oras],tbl_Localitati[oras_oficial],tbl_Localitati[judet],"?")&lt;&gt;[@judet],"JUDET NECORESPUNZATOR",""))</f>
        <v/>
      </c>
      <c r="R1986">
        <f>IF(XLOOKUP([@categorie],tbl_RegulriTVA[categorie],tbl_RegulriTVA[cota_legala],-1)&lt;&gt;[@cota_tva],"TVA GRESIT","")</f>
        <v/>
      </c>
      <c r="S1986">
        <f>IF([@data_scadentei]&lt;[@data_factura],"SCADENTA INAINTEA FACTURII","")</f>
        <v/>
      </c>
      <c r="T1986">
        <f>IF(NETWORKDAYS.INTL([@data_factura],[@data_factura],1,tbl_SarbatoriLegale[data])=0,"ZI NELUCRATOARE","")</f>
        <v/>
      </c>
      <c r="U1986">
        <f>IF([@motiv_anomalie]="","OK","DE INVESTIGAT")</f>
        <v/>
      </c>
      <c r="V1986">
        <f>TEXTJOIN("; ",TRUE,[@flag_oras],[@flag_tva],[@flag_scadenta],[@flag_zi])</f>
        <v/>
      </c>
    </row>
    <row r="1987">
      <c r="A1987" t="inlineStr">
        <is>
          <t>F-2025-01986</t>
        </is>
      </c>
      <c r="B1987" s="12" t="n">
        <v>46121</v>
      </c>
      <c r="C1987" t="inlineStr">
        <is>
          <t>SC OMEGA SOFT SRL</t>
        </is>
      </c>
      <c r="D1987" t="inlineStr">
        <is>
          <t>Dolj</t>
        </is>
      </c>
      <c r="E1987" t="inlineStr">
        <is>
          <t>PRD-010</t>
        </is>
      </c>
      <c r="F1987" t="inlineStr">
        <is>
          <t>Trusa prim ajutor</t>
        </is>
      </c>
      <c r="G1987" t="inlineStr">
        <is>
          <t>Produse farmaceutice</t>
        </is>
      </c>
      <c r="H1987" t="n">
        <v>20</v>
      </c>
      <c r="I1987" t="n">
        <v>354.93</v>
      </c>
      <c r="J1987" t="n">
        <v>7098.6</v>
      </c>
      <c r="K1987" s="13" t="n">
        <v>0.09</v>
      </c>
      <c r="L1987" t="n">
        <v>638.87</v>
      </c>
      <c r="M1987" t="n">
        <v>7737.47</v>
      </c>
      <c r="N1987" t="inlineStr">
        <is>
          <t>RON</t>
        </is>
      </c>
      <c r="O1987" t="inlineStr">
        <is>
          <t>Craiova</t>
        </is>
      </c>
      <c r="P1987" s="12" t="n">
        <v>46136</v>
      </c>
      <c r="Q1987">
        <f>IF(COUNTIF(tbl_Localitati[oras_oficial],[@oras])=0,"ORAS NEALINIAT",IF(XLOOKUP([@oras],tbl_Localitati[oras_oficial],tbl_Localitati[judet],"?")&lt;&gt;[@judet],"JUDET NECORESPUNZATOR",""))</f>
        <v/>
      </c>
      <c r="R1987">
        <f>IF(XLOOKUP([@categorie],tbl_RegulriTVA[categorie],tbl_RegulriTVA[cota_legala],-1)&lt;&gt;[@cota_tva],"TVA GRESIT","")</f>
        <v/>
      </c>
      <c r="S1987">
        <f>IF([@data_scadentei]&lt;[@data_factura],"SCADENTA INAINTEA FACTURII","")</f>
        <v/>
      </c>
      <c r="T1987">
        <f>IF(NETWORKDAYS.INTL([@data_factura],[@data_factura],1,tbl_SarbatoriLegale[data])=0,"ZI NELUCRATOARE","")</f>
        <v/>
      </c>
      <c r="U1987">
        <f>IF([@motiv_anomalie]="","OK","DE INVESTIGAT")</f>
        <v/>
      </c>
      <c r="V1987">
        <f>TEXTJOIN("; ",TRUE,[@flag_oras],[@flag_tva],[@flag_scadenta],[@flag_zi])</f>
        <v/>
      </c>
    </row>
    <row r="1988">
      <c r="A1988" t="inlineStr">
        <is>
          <t>F-2025-01987</t>
        </is>
      </c>
      <c r="B1988" s="12" t="n">
        <v>46055</v>
      </c>
      <c r="C1988" t="inlineStr">
        <is>
          <t>SC ZENITH AUTO SRL</t>
        </is>
      </c>
      <c r="D1988" t="inlineStr">
        <is>
          <t>București</t>
        </is>
      </c>
      <c r="E1988" t="inlineStr">
        <is>
          <t>PRD-008</t>
        </is>
      </c>
      <c r="F1988" t="inlineStr">
        <is>
          <t>Monitor 27" 4K</t>
        </is>
      </c>
      <c r="G1988" t="inlineStr">
        <is>
          <t>Hardware IT</t>
        </is>
      </c>
      <c r="H1988" t="n">
        <v>10</v>
      </c>
      <c r="I1988" t="n">
        <v>468.09</v>
      </c>
      <c r="J1988" t="n">
        <v>4680.9</v>
      </c>
      <c r="K1988" s="13" t="n">
        <v>0.19</v>
      </c>
      <c r="L1988" t="n">
        <v>889.37</v>
      </c>
      <c r="M1988" t="n">
        <v>5570.27</v>
      </c>
      <c r="N1988" t="inlineStr">
        <is>
          <t>RON</t>
        </is>
      </c>
      <c r="O1988" t="inlineStr">
        <is>
          <t>București</t>
        </is>
      </c>
      <c r="P1988" s="12" t="n">
        <v>46100</v>
      </c>
      <c r="Q1988">
        <f>IF(COUNTIF(tbl_Localitati[oras_oficial],[@oras])=0,"ORAS NEALINIAT",IF(XLOOKUP([@oras],tbl_Localitati[oras_oficial],tbl_Localitati[judet],"?")&lt;&gt;[@judet],"JUDET NECORESPUNZATOR",""))</f>
        <v/>
      </c>
      <c r="R1988">
        <f>IF(XLOOKUP([@categorie],tbl_RegulriTVA[categorie],tbl_RegulriTVA[cota_legala],-1)&lt;&gt;[@cota_tva],"TVA GRESIT","")</f>
        <v/>
      </c>
      <c r="S1988">
        <f>IF([@data_scadentei]&lt;[@data_factura],"SCADENTA INAINTEA FACTURII","")</f>
        <v/>
      </c>
      <c r="T1988">
        <f>IF(NETWORKDAYS.INTL([@data_factura],[@data_factura],1,tbl_SarbatoriLegale[data])=0,"ZI NELUCRATOARE","")</f>
        <v/>
      </c>
      <c r="U1988">
        <f>IF([@motiv_anomalie]="","OK","DE INVESTIGAT")</f>
        <v/>
      </c>
      <c r="V1988">
        <f>TEXTJOIN("; ",TRUE,[@flag_oras],[@flag_tva],[@flag_scadenta],[@flag_zi])</f>
        <v/>
      </c>
    </row>
    <row r="1989">
      <c r="A1989" t="inlineStr">
        <is>
          <t>F-2025-01988</t>
        </is>
      </c>
      <c r="B1989" s="12" t="n">
        <v>46195</v>
      </c>
      <c r="C1989" t="inlineStr">
        <is>
          <t>SC DACTECH SOLUTIONS SRL</t>
        </is>
      </c>
      <c r="D1989" t="inlineStr">
        <is>
          <t>Argeș</t>
        </is>
      </c>
      <c r="E1989" t="inlineStr">
        <is>
          <t>PRD-009</t>
        </is>
      </c>
      <c r="F1989" t="inlineStr">
        <is>
          <t>Set carti formare</t>
        </is>
      </c>
      <c r="G1989" t="inlineStr">
        <is>
          <t>Cărți și manuale</t>
        </is>
      </c>
      <c r="H1989" t="n">
        <v>10</v>
      </c>
      <c r="I1989" t="n">
        <v>26.63</v>
      </c>
      <c r="J1989" t="n">
        <v>266.3</v>
      </c>
      <c r="K1989" s="13" t="n">
        <v>0.05</v>
      </c>
      <c r="L1989" t="n">
        <v>13.32</v>
      </c>
      <c r="M1989" t="n">
        <v>279.62</v>
      </c>
      <c r="N1989" t="inlineStr">
        <is>
          <t>RON</t>
        </is>
      </c>
      <c r="O1989" t="inlineStr">
        <is>
          <t>Pitești</t>
        </is>
      </c>
      <c r="P1989" s="12" t="n">
        <v>46210</v>
      </c>
      <c r="Q1989">
        <f>IF(COUNTIF(tbl_Localitati[oras_oficial],[@oras])=0,"ORAS NEALINIAT",IF(XLOOKUP([@oras],tbl_Localitati[oras_oficial],tbl_Localitati[judet],"?")&lt;&gt;[@judet],"JUDET NECORESPUNZATOR",""))</f>
        <v/>
      </c>
      <c r="R1989">
        <f>IF(XLOOKUP([@categorie],tbl_RegulriTVA[categorie],tbl_RegulriTVA[cota_legala],-1)&lt;&gt;[@cota_tva],"TVA GRESIT","")</f>
        <v/>
      </c>
      <c r="S1989">
        <f>IF([@data_scadentei]&lt;[@data_factura],"SCADENTA INAINTEA FACTURII","")</f>
        <v/>
      </c>
      <c r="T1989">
        <f>IF(NETWORKDAYS.INTL([@data_factura],[@data_factura],1,tbl_SarbatoriLegale[data])=0,"ZI NELUCRATOARE","")</f>
        <v/>
      </c>
      <c r="U1989">
        <f>IF([@motiv_anomalie]="","OK","DE INVESTIGAT")</f>
        <v/>
      </c>
      <c r="V1989">
        <f>TEXTJOIN("; ",TRUE,[@flag_oras],[@flag_tva],[@flag_scadenta],[@flag_zi])</f>
        <v/>
      </c>
    </row>
    <row r="1990">
      <c r="A1990" t="inlineStr">
        <is>
          <t>F-2025-01989</t>
        </is>
      </c>
      <c r="B1990" s="12" t="n">
        <v>46268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Laptop business 15"</t>
        </is>
      </c>
      <c r="G1990" t="inlineStr">
        <is>
          <t>Hardware IT</t>
        </is>
      </c>
      <c r="H1990" t="n">
        <v>10</v>
      </c>
      <c r="I1990" t="n">
        <v>734.23</v>
      </c>
      <c r="J1990" t="n">
        <v>7342.3</v>
      </c>
      <c r="K1990" s="13" t="n">
        <v>0.19</v>
      </c>
      <c r="L1990" t="n">
        <v>1395.04</v>
      </c>
      <c r="M1990" t="n">
        <v>8737.34</v>
      </c>
      <c r="N1990" t="inlineStr">
        <is>
          <t>RON</t>
        </is>
      </c>
      <c r="O1990" t="inlineStr">
        <is>
          <t>Sibiu</t>
        </is>
      </c>
      <c r="P1990" s="12" t="n">
        <v>46328</v>
      </c>
      <c r="Q1990">
        <f>IF(COUNTIF(tbl_Localitati[oras_oficial],[@oras])=0,"ORAS NEALINIAT",IF(XLOOKUP([@oras],tbl_Localitati[oras_oficial],tbl_Localitati[judet],"?")&lt;&gt;[@judet],"JUDET NECORESPUNZATOR",""))</f>
        <v/>
      </c>
      <c r="R1990">
        <f>IF(XLOOKUP([@categorie],tbl_RegulriTVA[categorie],tbl_RegulriTVA[cota_legala],-1)&lt;&gt;[@cota_tva],"TVA GRESIT","")</f>
        <v/>
      </c>
      <c r="S1990">
        <f>IF([@data_scadentei]&lt;[@data_factura],"SCADENTA INAINTEA FACTURII","")</f>
        <v/>
      </c>
      <c r="T1990">
        <f>IF(NETWORKDAYS.INTL([@data_factura],[@data_factura],1,tbl_SarbatoriLegale[data])=0,"ZI NELUCRATOARE","")</f>
        <v/>
      </c>
      <c r="U1990">
        <f>IF([@motiv_anomalie]="","OK","DE INVESTIGAT")</f>
        <v/>
      </c>
      <c r="V1990">
        <f>TEXTJOIN("; ",TRUE,[@flag_oras],[@flag_tva],[@flag_scadenta],[@flag_zi])</f>
        <v/>
      </c>
    </row>
    <row r="1991">
      <c r="A1991" t="inlineStr">
        <is>
          <t>F-2025-01990</t>
        </is>
      </c>
      <c r="B1991" s="12" t="n">
        <v>46273</v>
      </c>
      <c r="C1991" t="inlineStr">
        <is>
          <t>SC UNIFOOD DISTRIBUTION SA</t>
        </is>
      </c>
      <c r="D1991" t="inlineStr">
        <is>
          <t>Sibiu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 IT</t>
        </is>
      </c>
      <c r="H1991" t="n">
        <v>1</v>
      </c>
      <c r="I1991" t="n">
        <v>1145.13</v>
      </c>
      <c r="J1991" t="n">
        <v>1145.13</v>
      </c>
      <c r="K1991" s="13" t="n">
        <v>0.19</v>
      </c>
      <c r="L1991" t="n">
        <v>217.57</v>
      </c>
      <c r="M1991" t="n">
        <v>1362.7</v>
      </c>
      <c r="N1991" t="inlineStr">
        <is>
          <t>RON</t>
        </is>
      </c>
      <c r="O1991" t="inlineStr">
        <is>
          <t>Mediaș</t>
        </is>
      </c>
      <c r="P1991" s="12" t="n">
        <v>46303</v>
      </c>
      <c r="Q1991">
        <f>IF(COUNTIF(tbl_Localitati[oras_oficial],[@oras])=0,"ORAS NEALINIAT",IF(XLOOKUP([@oras],tbl_Localitati[oras_oficial],tbl_Localitati[judet],"?")&lt;&gt;[@judet],"JUDET NECORESPUNZATOR",""))</f>
        <v/>
      </c>
      <c r="R1991">
        <f>IF(XLOOKUP([@categorie],tbl_RegulriTVA[categorie],tbl_RegulriTVA[cota_legala],-1)&lt;&gt;[@cota_tva],"TVA GRESIT","")</f>
        <v/>
      </c>
      <c r="S1991">
        <f>IF([@data_scadentei]&lt;[@data_factura],"SCADENTA INAINTEA FACTURII","")</f>
        <v/>
      </c>
      <c r="T1991">
        <f>IF(NETWORKDAYS.INTL([@data_factura],[@data_factura],1,tbl_SarbatoriLegale[data])=0,"ZI NELUCRATOARE","")</f>
        <v/>
      </c>
      <c r="U1991">
        <f>IF([@motiv_anomalie]="","OK","DE INVESTIGAT")</f>
        <v/>
      </c>
      <c r="V1991">
        <f>TEXTJOIN("; ",TRUE,[@flag_oras],[@flag_tva],[@flag_scadenta],[@flag_zi])</f>
        <v/>
      </c>
    </row>
    <row r="1992">
      <c r="A1992" t="inlineStr">
        <is>
          <t>F-2025-01991</t>
        </is>
      </c>
      <c r="B1992" s="12" t="n">
        <v>46286</v>
      </c>
      <c r="C1992" t="inlineStr">
        <is>
          <t>SC PROVITA MEDICAL SRL</t>
        </is>
      </c>
      <c r="D1992" t="inlineStr">
        <is>
          <t>Mureș</t>
        </is>
      </c>
      <c r="E1992" t="inlineStr">
        <is>
          <t>PRD-009</t>
        </is>
      </c>
      <c r="F1992" t="inlineStr">
        <is>
          <t>Server rack 1U</t>
        </is>
      </c>
      <c r="G1992" t="inlineStr">
        <is>
          <t>Hardware IT</t>
        </is>
      </c>
      <c r="H1992" t="n">
        <v>20</v>
      </c>
      <c r="I1992" t="n">
        <v>28.97</v>
      </c>
      <c r="J1992" t="n">
        <v>579.4</v>
      </c>
      <c r="K1992" s="13" t="n">
        <v>0.19</v>
      </c>
      <c r="L1992" t="n">
        <v>110.09</v>
      </c>
      <c r="M1992" t="n">
        <v>689.49</v>
      </c>
      <c r="N1992" t="inlineStr">
        <is>
          <t>RON</t>
        </is>
      </c>
      <c r="O1992" t="inlineStr">
        <is>
          <t>Târgu Mureș</t>
        </is>
      </c>
      <c r="P1992" s="12" t="n">
        <v>46316</v>
      </c>
      <c r="Q1992">
        <f>IF(COUNTIF(tbl_Localitati[oras_oficial],[@oras])=0,"ORAS NEALINIAT",IF(XLOOKUP([@oras],tbl_Localitati[oras_oficial],tbl_Localitati[judet],"?")&lt;&gt;[@judet],"JUDET NECORESPUNZATOR",""))</f>
        <v/>
      </c>
      <c r="R1992">
        <f>IF(XLOOKUP([@categorie],tbl_RegulriTVA[categorie],tbl_RegulriTVA[cota_legala],-1)&lt;&gt;[@cota_tva],"TVA GRESIT","")</f>
        <v/>
      </c>
      <c r="S1992">
        <f>IF([@data_scadentei]&lt;[@data_factura],"SCADENTA INAINTEA FACTURII","")</f>
        <v/>
      </c>
      <c r="T1992">
        <f>IF(NETWORKDAYS.INTL([@data_factura],[@data_factura],1,tbl_SarbatoriLegale[data])=0,"ZI NELUCRATOARE","")</f>
        <v/>
      </c>
      <c r="U1992">
        <f>IF([@motiv_anomalie]="","OK","DE INVESTIGAT")</f>
        <v/>
      </c>
      <c r="V1992">
        <f>TEXTJOIN("; ",TRUE,[@flag_oras],[@flag_tva],[@flag_scadenta],[@flag_zi])</f>
        <v/>
      </c>
    </row>
    <row r="1993">
      <c r="A1993" t="inlineStr">
        <is>
          <t>F-2025-01992</t>
        </is>
      </c>
      <c r="B1993" s="12" t="n">
        <v>46027</v>
      </c>
      <c r="C1993" t="inlineStr">
        <is>
          <t>SC METALPLAST INVEST SA</t>
        </is>
      </c>
      <c r="D1993" t="inlineStr">
        <is>
          <t>Cluj</t>
        </is>
      </c>
      <c r="E1993" t="inlineStr">
        <is>
          <t>PRD-007</t>
        </is>
      </c>
      <c r="F1993" t="inlineStr">
        <is>
          <t>Training utilizatori</t>
        </is>
      </c>
      <c r="G1993" t="inlineStr">
        <is>
          <t>Servicii consultanță</t>
        </is>
      </c>
      <c r="H1993" t="n">
        <v>5</v>
      </c>
      <c r="I1993" t="n">
        <v>178.1</v>
      </c>
      <c r="J1993" t="n">
        <v>890.5</v>
      </c>
      <c r="K1993" s="13" t="n">
        <v>0.19</v>
      </c>
      <c r="L1993" t="n">
        <v>169.19</v>
      </c>
      <c r="M1993" t="n">
        <v>1059.69</v>
      </c>
      <c r="N1993" t="inlineStr">
        <is>
          <t>RON</t>
        </is>
      </c>
      <c r="O1993" t="inlineStr">
        <is>
          <t>Turda</t>
        </is>
      </c>
      <c r="P1993" s="12" t="n">
        <v>46072</v>
      </c>
      <c r="Q1993">
        <f>IF(COUNTIF(tbl_Localitati[oras_oficial],[@oras])=0,"ORAS NEALINIAT",IF(XLOOKUP([@oras],tbl_Localitati[oras_oficial],tbl_Localitati[judet],"?")&lt;&gt;[@judet],"JUDET NECORESPUNZATOR",""))</f>
        <v/>
      </c>
      <c r="R1993">
        <f>IF(XLOOKUP([@categorie],tbl_RegulriTVA[categorie],tbl_RegulriTVA[cota_legala],-1)&lt;&gt;[@cota_tva],"TVA GRESIT","")</f>
        <v/>
      </c>
      <c r="S1993">
        <f>IF([@data_scadentei]&lt;[@data_factura],"SCADENTA INAINTEA FACTURII","")</f>
        <v/>
      </c>
      <c r="T1993">
        <f>IF(NETWORKDAYS.INTL([@data_factura],[@data_factura],1,tbl_SarbatoriLegale[data])=0,"ZI NELUCRATOARE","")</f>
        <v/>
      </c>
      <c r="U1993">
        <f>IF([@motiv_anomalie]="","OK","DE INVESTIGAT")</f>
        <v/>
      </c>
      <c r="V1993">
        <f>TEXTJOIN("; ",TRUE,[@flag_oras],[@flag_tva],[@flag_scadenta],[@flag_zi])</f>
        <v/>
      </c>
    </row>
    <row r="1994">
      <c r="A1994" t="inlineStr">
        <is>
          <t>F-2025-01993</t>
        </is>
      </c>
      <c r="B1994" s="12" t="n">
        <v>46190</v>
      </c>
      <c r="C1994" t="inlineStr">
        <is>
          <t>SC METALPLAST INVEST SA</t>
        </is>
      </c>
      <c r="D1994" t="inlineStr">
        <is>
          <t>Cluj</t>
        </is>
      </c>
      <c r="E1994" t="inlineStr">
        <is>
          <t>PRD-002</t>
        </is>
      </c>
      <c r="F1994" t="inlineStr">
        <is>
          <t>Multifunctionala laser</t>
        </is>
      </c>
      <c r="G1994" t="inlineStr">
        <is>
          <t>Echipamente birou</t>
        </is>
      </c>
      <c r="H1994" t="n">
        <v>2</v>
      </c>
      <c r="I1994" t="n">
        <v>1121.34</v>
      </c>
      <c r="J1994" t="n">
        <v>2242.68</v>
      </c>
      <c r="K1994" s="13" t="n">
        <v>0.19</v>
      </c>
      <c r="L1994" t="n">
        <v>426.11</v>
      </c>
      <c r="M1994" t="n">
        <v>2668.79</v>
      </c>
      <c r="N1994" t="inlineStr">
        <is>
          <t>RON</t>
        </is>
      </c>
      <c r="O1994" t="inlineStr">
        <is>
          <t>Turda</t>
        </is>
      </c>
      <c r="P1994" s="12" t="n">
        <v>46220</v>
      </c>
      <c r="Q1994">
        <f>IF(COUNTIF(tbl_Localitati[oras_oficial],[@oras])=0,"ORAS NEALINIAT",IF(XLOOKUP([@oras],tbl_Localitati[oras_oficial],tbl_Localitati[judet],"?")&lt;&gt;[@judet],"JUDET NECORESPUNZATOR",""))</f>
        <v/>
      </c>
      <c r="R1994">
        <f>IF(XLOOKUP([@categorie],tbl_RegulriTVA[categorie],tbl_RegulriTVA[cota_legala],-1)&lt;&gt;[@cota_tva],"TVA GRESIT","")</f>
        <v/>
      </c>
      <c r="S1994">
        <f>IF([@data_scadentei]&lt;[@data_factura],"SCADENTA INAINTEA FACTURII","")</f>
        <v/>
      </c>
      <c r="T1994">
        <f>IF(NETWORKDAYS.INTL([@data_factura],[@data_factura],1,tbl_SarbatoriLegale[data])=0,"ZI NELUCRATOARE","")</f>
        <v/>
      </c>
      <c r="U1994">
        <f>IF([@motiv_anomalie]="","OK","DE INVESTIGAT")</f>
        <v/>
      </c>
      <c r="V1994">
        <f>TEXTJOIN("; ",TRUE,[@flag_oras],[@flag_tva],[@flag_scadenta],[@flag_zi])</f>
        <v/>
      </c>
    </row>
    <row r="1995">
      <c r="A1995" t="inlineStr">
        <is>
          <t>F-2025-01994</t>
        </is>
      </c>
      <c r="B1995" s="12" t="n">
        <v>46108</v>
      </c>
      <c r="C1995" t="inlineStr">
        <is>
          <t>SC SOLARIS ENERGY SRL</t>
        </is>
      </c>
      <c r="D1995" t="inlineStr">
        <is>
          <t>Prahova</t>
        </is>
      </c>
      <c r="E1995" t="inlineStr">
        <is>
          <t>PRD-006</t>
        </is>
      </c>
      <c r="F1995" t="inlineStr">
        <is>
          <t>Training utilizatori</t>
        </is>
      </c>
      <c r="G1995" t="inlineStr">
        <is>
          <t>Servicii consultanță</t>
        </is>
      </c>
      <c r="H1995" t="n">
        <v>10</v>
      </c>
      <c r="I1995" t="n">
        <v>715.15</v>
      </c>
      <c r="J1995" t="n">
        <v>7151.5</v>
      </c>
      <c r="K1995" s="13" t="n">
        <v>0.19</v>
      </c>
      <c r="L1995" t="n">
        <v>1358.79</v>
      </c>
      <c r="M1995" t="n">
        <v>8510.290000000001</v>
      </c>
      <c r="N1995" t="inlineStr">
        <is>
          <t>RON</t>
        </is>
      </c>
      <c r="O1995" t="inlineStr">
        <is>
          <t>Câmpina</t>
        </is>
      </c>
      <c r="P1995" s="12" t="n">
        <v>46123</v>
      </c>
      <c r="Q1995">
        <f>IF(COUNTIF(tbl_Localitati[oras_oficial],[@oras])=0,"ORAS NEALINIAT",IF(XLOOKUP([@oras],tbl_Localitati[oras_oficial],tbl_Localitati[judet],"?")&lt;&gt;[@judet],"JUDET NECORESPUNZATOR",""))</f>
        <v/>
      </c>
      <c r="R1995">
        <f>IF(XLOOKUP([@categorie],tbl_RegulriTVA[categorie],tbl_RegulriTVA[cota_legala],-1)&lt;&gt;[@cota_tva],"TVA GRESIT","")</f>
        <v/>
      </c>
      <c r="S1995">
        <f>IF([@data_scadentei]&lt;[@data_factura],"SCADENTA INAINTEA FACTURII","")</f>
        <v/>
      </c>
      <c r="T1995">
        <f>IF(NETWORKDAYS.INTL([@data_factura],[@data_factura],1,tbl_SarbatoriLegale[data])=0,"ZI NELUCRATOARE","")</f>
        <v/>
      </c>
      <c r="U1995">
        <f>IF([@motiv_anomalie]="","OK","DE INVESTIGAT")</f>
        <v/>
      </c>
      <c r="V1995">
        <f>TEXTJOIN("; ",TRUE,[@flag_oras],[@flag_tva],[@flag_scadenta],[@flag_zi])</f>
        <v/>
      </c>
    </row>
    <row r="1996">
      <c r="A1996" t="inlineStr">
        <is>
          <t>F-2025-01995</t>
        </is>
      </c>
      <c r="B1996" s="12" t="n">
        <v>46328</v>
      </c>
      <c r="C1996" t="inlineStr">
        <is>
          <t>SC INTEGROMED SA</t>
        </is>
      </c>
      <c r="D1996" t="inlineStr">
        <is>
          <t>Cluj</t>
        </is>
      </c>
      <c r="E1996" t="inlineStr">
        <is>
          <t>PRD-008</t>
        </is>
      </c>
      <c r="F1996" t="inlineStr">
        <is>
          <t>Trusa prim ajutor</t>
        </is>
      </c>
      <c r="G1996" t="inlineStr">
        <is>
          <t>Produse farmaceutice</t>
        </is>
      </c>
      <c r="H1996" t="n">
        <v>10</v>
      </c>
      <c r="I1996" t="n">
        <v>430.46</v>
      </c>
      <c r="J1996" t="n">
        <v>4304.6</v>
      </c>
      <c r="K1996" s="13" t="n">
        <v>0.09</v>
      </c>
      <c r="L1996" t="n">
        <v>387.41</v>
      </c>
      <c r="M1996" t="n">
        <v>4692.01</v>
      </c>
      <c r="N1996" t="inlineStr">
        <is>
          <t>RON</t>
        </is>
      </c>
      <c r="O1996" t="inlineStr">
        <is>
          <t>Cluj-Napoca</t>
        </is>
      </c>
      <c r="P1996" s="12" t="n">
        <v>46358</v>
      </c>
      <c r="Q1996">
        <f>IF(COUNTIF(tbl_Localitati[oras_oficial],[@oras])=0,"ORAS NEALINIAT",IF(XLOOKUP([@oras],tbl_Localitati[oras_oficial],tbl_Localitati[judet],"?")&lt;&gt;[@judet],"JUDET NECORESPUNZATOR",""))</f>
        <v/>
      </c>
      <c r="R1996">
        <f>IF(XLOOKUP([@categorie],tbl_RegulriTVA[categorie],tbl_RegulriTVA[cota_legala],-1)&lt;&gt;[@cota_tva],"TVA GRESIT","")</f>
        <v/>
      </c>
      <c r="S1996">
        <f>IF([@data_scadentei]&lt;[@data_factura],"SCADENTA INAINTEA FACTURII","")</f>
        <v/>
      </c>
      <c r="T1996">
        <f>IF(NETWORKDAYS.INTL([@data_factura],[@data_factura],1,tbl_SarbatoriLegale[data])=0,"ZI NELUCRATOARE","")</f>
        <v/>
      </c>
      <c r="U1996">
        <f>IF([@motiv_anomalie]="","OK","DE INVESTIGAT")</f>
        <v/>
      </c>
      <c r="V1996">
        <f>TEXTJOIN("; ",TRUE,[@flag_oras],[@flag_tva],[@flag_scadenta],[@flag_zi])</f>
        <v/>
      </c>
    </row>
    <row r="1997">
      <c r="A1997" t="inlineStr">
        <is>
          <t>F-2025-01996</t>
        </is>
      </c>
      <c r="B1997" s="12" t="n">
        <v>46226</v>
      </c>
      <c r="C1997" t="inlineStr">
        <is>
          <t>SC SOLARIS ENERGY SRL</t>
        </is>
      </c>
      <c r="D1997" t="inlineStr">
        <is>
          <t>Prahova</t>
        </is>
      </c>
      <c r="E1997" t="inlineStr">
        <is>
          <t>PRD-011</t>
        </is>
      </c>
      <c r="F1997" t="inlineStr">
        <is>
          <t>Suport tehnic anual</t>
        </is>
      </c>
      <c r="G1997" t="inlineStr">
        <is>
          <t>Servicii consultanță</t>
        </is>
      </c>
      <c r="H1997" t="n">
        <v>10</v>
      </c>
      <c r="I1997" t="n">
        <v>46.66</v>
      </c>
      <c r="J1997" t="n">
        <v>466.6</v>
      </c>
      <c r="K1997" s="13" t="n">
        <v>0.19</v>
      </c>
      <c r="L1997" t="n">
        <v>88.65000000000001</v>
      </c>
      <c r="M1997" t="n">
        <v>555.25</v>
      </c>
      <c r="N1997" t="inlineStr">
        <is>
          <t>RON</t>
        </is>
      </c>
      <c r="O1997" t="inlineStr">
        <is>
          <t>Câmpina</t>
        </is>
      </c>
      <c r="P1997" s="12" t="n">
        <v>46256</v>
      </c>
      <c r="Q1997">
        <f>IF(COUNTIF(tbl_Localitati[oras_oficial],[@oras])=0,"ORAS NEALINIAT",IF(XLOOKUP([@oras],tbl_Localitati[oras_oficial],tbl_Localitati[judet],"?")&lt;&gt;[@judet],"JUDET NECORESPUNZATOR",""))</f>
        <v/>
      </c>
      <c r="R1997">
        <f>IF(XLOOKUP([@categorie],tbl_RegulriTVA[categorie],tbl_RegulriTVA[cota_legala],-1)&lt;&gt;[@cota_tva],"TVA GRESIT","")</f>
        <v/>
      </c>
      <c r="S1997">
        <f>IF([@data_scadentei]&lt;[@data_factura],"SCADENTA INAINTEA FACTURII","")</f>
        <v/>
      </c>
      <c r="T1997">
        <f>IF(NETWORKDAYS.INTL([@data_factura],[@data_factura],1,tbl_SarbatoriLegale[data])=0,"ZI NELUCRATOARE","")</f>
        <v/>
      </c>
      <c r="U1997">
        <f>IF([@motiv_anomalie]="","OK","DE INVESTIGAT")</f>
        <v/>
      </c>
      <c r="V1997">
        <f>TEXTJOIN("; ",TRUE,[@flag_oras],[@flag_tva],[@flag_scadenta],[@flag_zi])</f>
        <v/>
      </c>
    </row>
    <row r="1998">
      <c r="A1998" t="inlineStr">
        <is>
          <t>F-2025-01997</t>
        </is>
      </c>
      <c r="B1998" s="12" t="n">
        <v>46140</v>
      </c>
      <c r="C1998" t="inlineStr">
        <is>
          <t>SC DACTECH SOLUTIONS SRL</t>
        </is>
      </c>
      <c r="D1998" t="inlineStr">
        <is>
          <t>Argeș</t>
        </is>
      </c>
      <c r="E1998" t="inlineStr">
        <is>
          <t>PRD-007</t>
        </is>
      </c>
      <c r="F1998" t="inlineStr">
        <is>
          <t>Trusa prim ajutor</t>
        </is>
      </c>
      <c r="G1998" t="inlineStr">
        <is>
          <t>Produse farmaceutice</t>
        </is>
      </c>
      <c r="H1998" t="n">
        <v>1</v>
      </c>
      <c r="I1998" t="n">
        <v>185.75</v>
      </c>
      <c r="J1998" t="n">
        <v>185.75</v>
      </c>
      <c r="K1998" s="13" t="n">
        <v>0.09</v>
      </c>
      <c r="L1998" t="n">
        <v>16.72</v>
      </c>
      <c r="M1998" t="n">
        <v>202.47</v>
      </c>
      <c r="N1998" t="inlineStr">
        <is>
          <t>RON</t>
        </is>
      </c>
      <c r="O1998" t="inlineStr">
        <is>
          <t>Pitești</t>
        </is>
      </c>
      <c r="P1998" s="12" t="n">
        <v>46170</v>
      </c>
      <c r="Q1998">
        <f>IF(COUNTIF(tbl_Localitati[oras_oficial],[@oras])=0,"ORAS NEALINIAT",IF(XLOOKUP([@oras],tbl_Localitati[oras_oficial],tbl_Localitati[judet],"?")&lt;&gt;[@judet],"JUDET NECORESPUNZATOR",""))</f>
        <v/>
      </c>
      <c r="R1998">
        <f>IF(XLOOKUP([@categorie],tbl_RegulriTVA[categorie],tbl_RegulriTVA[cota_legala],-1)&lt;&gt;[@cota_tva],"TVA GRESIT","")</f>
        <v/>
      </c>
      <c r="S1998">
        <f>IF([@data_scadentei]&lt;[@data_factura],"SCADENTA INAINTEA FACTURII","")</f>
        <v/>
      </c>
      <c r="T1998">
        <f>IF(NETWORKDAYS.INTL([@data_factura],[@data_factura],1,tbl_SarbatoriLegale[data])=0,"ZI NELUCRATOARE","")</f>
        <v/>
      </c>
      <c r="U1998">
        <f>IF([@motiv_anomalie]="","OK","DE INVESTIGAT")</f>
        <v/>
      </c>
      <c r="V1998">
        <f>TEXTJOIN("; ",TRUE,[@flag_oras],[@flag_tva],[@flag_scadenta],[@flag_zi])</f>
        <v/>
      </c>
    </row>
    <row r="1999">
      <c r="A1999" t="inlineStr">
        <is>
          <t>F-2025-01998</t>
        </is>
      </c>
      <c r="B1999" s="12" t="n">
        <v>46380</v>
      </c>
      <c r="C1999" t="inlineStr">
        <is>
          <t>SC AROMET TRADING SRL</t>
        </is>
      </c>
      <c r="D1999" t="inlineStr">
        <is>
          <t>Alba</t>
        </is>
      </c>
      <c r="E1999" t="inlineStr">
        <is>
          <t>PRD-010</t>
        </is>
      </c>
      <c r="F1999" t="inlineStr">
        <is>
          <t>Cafea boabe 1kg</t>
        </is>
      </c>
      <c r="G1999" t="inlineStr">
        <is>
          <t>Alimente</t>
        </is>
      </c>
      <c r="H1999" t="n">
        <v>10</v>
      </c>
      <c r="I1999" t="n">
        <v>338.64</v>
      </c>
      <c r="J1999" t="n">
        <v>3386.4</v>
      </c>
      <c r="K1999" s="13" t="n">
        <v>0.09</v>
      </c>
      <c r="L1999" t="n">
        <v>304.78</v>
      </c>
      <c r="M1999" t="n">
        <v>3691.18</v>
      </c>
      <c r="N1999" t="inlineStr">
        <is>
          <t>RON</t>
        </is>
      </c>
      <c r="O1999" t="inlineStr">
        <is>
          <t>Alba Iulia</t>
        </is>
      </c>
      <c r="P1999" s="12" t="n">
        <v>46440</v>
      </c>
      <c r="Q1999">
        <f>IF(COUNTIF(tbl_Localitati[oras_oficial],[@oras])=0,"ORAS NEALINIAT",IF(XLOOKUP([@oras],tbl_Localitati[oras_oficial],tbl_Localitati[judet],"?")&lt;&gt;[@judet],"JUDET NECORESPUNZATOR",""))</f>
        <v/>
      </c>
      <c r="R1999">
        <f>IF(XLOOKUP([@categorie],tbl_RegulriTVA[categorie],tbl_RegulriTVA[cota_legala],-1)&lt;&gt;[@cota_tva],"TVA GRESIT","")</f>
        <v/>
      </c>
      <c r="S1999">
        <f>IF([@data_scadentei]&lt;[@data_factura],"SCADENTA INAINTEA FACTURII","")</f>
        <v/>
      </c>
      <c r="T1999">
        <f>IF(NETWORKDAYS.INTL([@data_factura],[@data_factura],1,tbl_SarbatoriLegale[data])=0,"ZI NELUCRATOARE","")</f>
        <v/>
      </c>
      <c r="U1999">
        <f>IF([@motiv_anomalie]="","OK","DE INVESTIGAT")</f>
        <v/>
      </c>
      <c r="V1999">
        <f>TEXTJOIN("; ",TRUE,[@flag_oras],[@flag_tva],[@flag_scadenta],[@flag_zi])</f>
        <v/>
      </c>
    </row>
    <row r="2000">
      <c r="A2000" t="inlineStr">
        <is>
          <t>F-2025-01999</t>
        </is>
      </c>
      <c r="B2000" s="12" t="n">
        <v>46225</v>
      </c>
      <c r="C2000" t="inlineStr">
        <is>
          <t>SC DACTECH SOLUTIONS SRL</t>
        </is>
      </c>
      <c r="D2000" t="inlineStr">
        <is>
          <t>Argeș</t>
        </is>
      </c>
      <c r="E2000" t="inlineStr">
        <is>
          <t>PRD-001</t>
        </is>
      </c>
      <c r="F2000" t="inlineStr">
        <is>
          <t>Licenta Office 365 anuala</t>
        </is>
      </c>
      <c r="G2000" t="inlineStr">
        <is>
          <t>Licențe software</t>
        </is>
      </c>
      <c r="H2000" t="n">
        <v>1</v>
      </c>
      <c r="I2000" t="n">
        <v>2315.98</v>
      </c>
      <c r="J2000" t="n">
        <v>2315.98</v>
      </c>
      <c r="K2000" s="13" t="n">
        <v>0.19</v>
      </c>
      <c r="L2000" t="n">
        <v>440.04</v>
      </c>
      <c r="M2000" t="n">
        <v>2756.02</v>
      </c>
      <c r="N2000" t="inlineStr">
        <is>
          <t>RON</t>
        </is>
      </c>
      <c r="O2000" t="inlineStr">
        <is>
          <t>Pitești</t>
        </is>
      </c>
      <c r="P2000" s="12" t="n">
        <v>46255</v>
      </c>
      <c r="Q2000">
        <f>IF(COUNTIF(tbl_Localitati[oras_oficial],[@oras])=0,"ORAS NEALINIAT",IF(XLOOKUP([@oras],tbl_Localitati[oras_oficial],tbl_Localitati[judet],"?")&lt;&gt;[@judet],"JUDET NECORESPUNZATOR",""))</f>
        <v/>
      </c>
      <c r="R2000">
        <f>IF(XLOOKUP([@categorie],tbl_RegulriTVA[categorie],tbl_RegulriTVA[cota_legala],-1)&lt;&gt;[@cota_tva],"TVA GRESIT","")</f>
        <v/>
      </c>
      <c r="S2000">
        <f>IF([@data_scadentei]&lt;[@data_factura],"SCADENTA INAINTEA FACTURII","")</f>
        <v/>
      </c>
      <c r="T2000">
        <f>IF(NETWORKDAYS.INTL([@data_factura],[@data_factura],1,tbl_SarbatoriLegale[data])=0,"ZI NELUCRATOARE","")</f>
        <v/>
      </c>
      <c r="U2000">
        <f>IF([@motiv_anomalie]="","OK","DE INVESTIGAT")</f>
        <v/>
      </c>
      <c r="V2000">
        <f>TEXTJOIN("; ",TRUE,[@flag_oras],[@flag_tva],[@flag_scadenta],[@flag_zi])</f>
        <v/>
      </c>
    </row>
    <row r="2001">
      <c r="A2001" t="inlineStr">
        <is>
          <t>F-2025-02000</t>
        </is>
      </c>
      <c r="B2001" s="12" t="n">
        <v>46307</v>
      </c>
      <c r="C2001" t="inlineStr">
        <is>
          <t>SC AROMET TRADING SRL</t>
        </is>
      </c>
      <c r="D2001" t="inlineStr">
        <is>
          <t>Alba</t>
        </is>
      </c>
      <c r="E2001" t="inlineStr">
        <is>
          <t>PRD-001</t>
        </is>
      </c>
      <c r="F2001" t="inlineStr">
        <is>
          <t>Tocator documente</t>
        </is>
      </c>
      <c r="G2001" t="inlineStr">
        <is>
          <t>Echipamente birou</t>
        </is>
      </c>
      <c r="H2001" t="n">
        <v>1</v>
      </c>
      <c r="I2001" t="n">
        <v>2325.79</v>
      </c>
      <c r="J2001" t="n">
        <v>2325.79</v>
      </c>
      <c r="K2001" s="13" t="n">
        <v>0.19</v>
      </c>
      <c r="L2001" t="n">
        <v>441.9</v>
      </c>
      <c r="M2001" t="n">
        <v>2767.69</v>
      </c>
      <c r="N2001" t="inlineStr">
        <is>
          <t>RON</t>
        </is>
      </c>
      <c r="O2001" t="inlineStr">
        <is>
          <t>Alba Iulia</t>
        </is>
      </c>
      <c r="P2001" s="12" t="n">
        <v>46337</v>
      </c>
      <c r="Q2001">
        <f>IF(COUNTIF(tbl_Localitati[oras_oficial],[@oras])=0,"ORAS NEALINIAT",IF(XLOOKUP([@oras],tbl_Localitati[oras_oficial],tbl_Localitati[judet],"?")&lt;&gt;[@judet],"JUDET NECORESPUNZATOR",""))</f>
        <v/>
      </c>
      <c r="R2001">
        <f>IF(XLOOKUP([@categorie],tbl_RegulriTVA[categorie],tbl_RegulriTVA[cota_legala],-1)&lt;&gt;[@cota_tva],"TVA GRESIT","")</f>
        <v/>
      </c>
      <c r="S2001">
        <f>IF([@data_scadentei]&lt;[@data_factura],"SCADENTA INAINTEA FACTURII","")</f>
        <v/>
      </c>
      <c r="T2001">
        <f>IF(NETWORKDAYS.INTL([@data_factura],[@data_factura],1,tbl_SarbatoriLegale[data])=0,"ZI NELUCRATOARE","")</f>
        <v/>
      </c>
      <c r="U2001">
        <f>IF([@motiv_anomalie]="","OK","DE INVESTIGAT")</f>
        <v/>
      </c>
      <c r="V2001">
        <f>TEXTJOIN("; ",TRUE,[@flag_oras],[@flag_tva],[@flag_scadenta],[@flag_zi])</f>
        <v/>
      </c>
    </row>
    <row r="2002">
      <c r="A2002" t="inlineStr">
        <is>
          <t>F-2025-01677</t>
        </is>
      </c>
      <c r="B2002" s="12" t="n">
        <v>46232</v>
      </c>
      <c r="C2002" t="inlineStr">
        <is>
          <t>SC NORDIS DISTRIBUTIE SRL</t>
        </is>
      </c>
      <c r="D2002" t="inlineStr">
        <is>
          <t>Constanța</t>
        </is>
      </c>
      <c r="E2002" t="inlineStr">
        <is>
          <t>PRD-003</t>
        </is>
      </c>
      <c r="F2002" t="inlineStr">
        <is>
          <t>Server rack 1U</t>
        </is>
      </c>
      <c r="G2002" t="inlineStr">
        <is>
          <t>Hardware IT</t>
        </is>
      </c>
      <c r="H2002" t="n">
        <v>2</v>
      </c>
      <c r="I2002" t="n">
        <v>4405.68</v>
      </c>
      <c r="J2002" t="n">
        <v>8811.360000000001</v>
      </c>
      <c r="K2002" s="13" t="n">
        <v>0.19</v>
      </c>
      <c r="L2002" t="n">
        <v>1674.16</v>
      </c>
      <c r="M2002" t="n">
        <v>10485.52</v>
      </c>
      <c r="N2002" t="inlineStr">
        <is>
          <t>EUR</t>
        </is>
      </c>
      <c r="O2002" t="inlineStr">
        <is>
          <t>Mangalia</t>
        </is>
      </c>
      <c r="P2002" s="12" t="n">
        <v>46247</v>
      </c>
      <c r="Q2002">
        <f>IF(COUNTIF(tbl_Localitati[oras_oficial],[@oras])=0,"ORAS NEALINIAT",IF(XLOOKUP([@oras],tbl_Localitati[oras_oficial],tbl_Localitati[judet],"?")&lt;&gt;[@judet],"JUDET NECORESPUNZATOR",""))</f>
        <v/>
      </c>
      <c r="R2002">
        <f>IF(XLOOKUP([@categorie],tbl_RegulriTVA[categorie],tbl_RegulriTVA[cota_legala],-1)&lt;&gt;[@cota_tva],"TVA GRESIT","")</f>
        <v/>
      </c>
      <c r="S2002">
        <f>IF([@data_scadentei]&lt;[@data_factura],"SCADENTA INAINTEA FACTURII","")</f>
        <v/>
      </c>
      <c r="T2002">
        <f>IF(NETWORKDAYS.INTL([@data_factura],[@data_factura],1,tbl_SarbatoriLegale[data])=0,"ZI NELUCRATOARE","")</f>
        <v/>
      </c>
      <c r="U2002">
        <f>IF([@motiv_anomalie]="","OK","DE INVESTIGAT")</f>
        <v/>
      </c>
      <c r="V2002">
        <f>TEXTJOIN("; ",TRUE,[@flag_oras],[@flag_tva],[@flag_scadenta],[@flag_zi])</f>
        <v/>
      </c>
    </row>
    <row r="2003">
      <c r="A2003" t="inlineStr">
        <is>
          <t>F-2025-01625</t>
        </is>
      </c>
      <c r="B2003" s="12" t="n">
        <v>46097</v>
      </c>
      <c r="C2003" t="inlineStr">
        <is>
          <t>SC AROMET TRADING SRL</t>
        </is>
      </c>
      <c r="D2003" t="inlineStr">
        <is>
          <t>Alba</t>
        </is>
      </c>
      <c r="E2003" t="inlineStr">
        <is>
          <t>PRD-005</t>
        </is>
      </c>
      <c r="F2003" t="inlineStr">
        <is>
          <t>Ceai cutie 100buc</t>
        </is>
      </c>
      <c r="G2003" t="inlineStr">
        <is>
          <t>Alimente</t>
        </is>
      </c>
      <c r="H2003" t="n">
        <v>2</v>
      </c>
      <c r="I2003" t="n">
        <v>241.21</v>
      </c>
      <c r="J2003" t="n">
        <v>482.42</v>
      </c>
      <c r="K2003" s="13" t="n">
        <v>0.09</v>
      </c>
      <c r="L2003" t="n">
        <v>43.42</v>
      </c>
      <c r="M2003" t="n">
        <v>525.84</v>
      </c>
      <c r="N2003" t="inlineStr">
        <is>
          <t>RON</t>
        </is>
      </c>
      <c r="O2003" t="inlineStr">
        <is>
          <t>Alba Iulia</t>
        </is>
      </c>
      <c r="P2003" s="12" t="n">
        <v>46127</v>
      </c>
      <c r="Q2003">
        <f>IF(COUNTIF(tbl_Localitati[oras_oficial],[@oras])=0,"ORAS NEALINIAT",IF(XLOOKUP([@oras],tbl_Localitati[oras_oficial],tbl_Localitati[judet],"?")&lt;&gt;[@judet],"JUDET NECORESPUNZATOR",""))</f>
        <v/>
      </c>
      <c r="R2003">
        <f>IF(XLOOKUP([@categorie],tbl_RegulriTVA[categorie],tbl_RegulriTVA[cota_legala],-1)&lt;&gt;[@cota_tva],"TVA GRESIT","")</f>
        <v/>
      </c>
      <c r="S2003">
        <f>IF([@data_scadentei]&lt;[@data_factura],"SCADENTA INAINTEA FACTURII","")</f>
        <v/>
      </c>
      <c r="T2003">
        <f>IF(NETWORKDAYS.INTL([@data_factura],[@data_factura],1,tbl_SarbatoriLegale[data])=0,"ZI NELUCRATOARE","")</f>
        <v/>
      </c>
      <c r="U2003">
        <f>IF([@motiv_anomalie]="","OK","DE INVESTIGAT")</f>
        <v/>
      </c>
      <c r="V2003">
        <f>TEXTJOIN("; ",TRUE,[@flag_oras],[@flag_tva],[@flag_scadenta],[@flag_zi])</f>
        <v/>
      </c>
    </row>
    <row r="2004">
      <c r="A2004" t="inlineStr">
        <is>
          <t>F-2025-01873</t>
        </is>
      </c>
      <c r="B2004" s="12" t="n">
        <v>46260</v>
      </c>
      <c r="C2004" t="inlineStr">
        <is>
          <t>SC AROMET TRADING SRL</t>
        </is>
      </c>
      <c r="D2004" t="inlineStr">
        <is>
          <t>Alba</t>
        </is>
      </c>
      <c r="E2004" t="inlineStr">
        <is>
          <t>PRD-010</t>
        </is>
      </c>
      <c r="F2004" t="inlineStr">
        <is>
          <t>Monitor 27" 4K</t>
        </is>
      </c>
      <c r="G2004" t="inlineStr">
        <is>
          <t>Hardware IT</t>
        </is>
      </c>
      <c r="H2004" t="n">
        <v>5</v>
      </c>
      <c r="I2004" t="n">
        <v>362.34</v>
      </c>
      <c r="J2004" t="n">
        <v>1811.7</v>
      </c>
      <c r="K2004" s="13" t="n">
        <v>0.19</v>
      </c>
      <c r="L2004" t="n">
        <v>344.22</v>
      </c>
      <c r="M2004" t="n">
        <v>2155.92</v>
      </c>
      <c r="N2004" t="inlineStr">
        <is>
          <t>RON</t>
        </is>
      </c>
      <c r="O2004" t="inlineStr">
        <is>
          <t>Alba Iulia</t>
        </is>
      </c>
      <c r="P2004" s="12" t="n">
        <v>46320</v>
      </c>
      <c r="Q2004">
        <f>IF(COUNTIF(tbl_Localitati[oras_oficial],[@oras])=0,"ORAS NEALINIAT",IF(XLOOKUP([@oras],tbl_Localitati[oras_oficial],tbl_Localitati[judet],"?")&lt;&gt;[@judet],"JUDET NECORESPUNZATOR",""))</f>
        <v/>
      </c>
      <c r="R2004">
        <f>IF(XLOOKUP([@categorie],tbl_RegulriTVA[categorie],tbl_RegulriTVA[cota_legala],-1)&lt;&gt;[@cota_tva],"TVA GRESIT","")</f>
        <v/>
      </c>
      <c r="S2004">
        <f>IF([@data_scadentei]&lt;[@data_factura],"SCADENTA INAINTEA FACTURII","")</f>
        <v/>
      </c>
      <c r="T2004">
        <f>IF(NETWORKDAYS.INTL([@data_factura],[@data_factura],1,tbl_SarbatoriLegale[data])=0,"ZI NELUCRATOARE","")</f>
        <v/>
      </c>
      <c r="U2004">
        <f>IF([@motiv_anomalie]="","OK","DE INVESTIGAT")</f>
        <v/>
      </c>
      <c r="V2004">
        <f>TEXTJOIN("; ",TRUE,[@flag_oras],[@flag_tva],[@flag_scadenta],[@flag_zi])</f>
        <v/>
      </c>
    </row>
    <row r="2005">
      <c r="A2005" t="inlineStr">
        <is>
          <t>F-2025-00864</t>
        </is>
      </c>
      <c r="B2005" s="12" t="n">
        <v>46058</v>
      </c>
      <c r="C2005" t="inlineStr">
        <is>
          <t>SC NORDIS DISTRIBUTIE SRL</t>
        </is>
      </c>
      <c r="D2005" t="inlineStr">
        <is>
          <t>Constanța</t>
        </is>
      </c>
      <c r="E2005" t="inlineStr">
        <is>
          <t>PRD-002</t>
        </is>
      </c>
      <c r="F2005" t="inlineStr">
        <is>
          <t>Telefon IP birou</t>
        </is>
      </c>
      <c r="G2005" t="inlineStr">
        <is>
          <t>Echipamente birou</t>
        </is>
      </c>
      <c r="H2005" t="n">
        <v>5</v>
      </c>
      <c r="I2005" t="n">
        <v>1046.3</v>
      </c>
      <c r="J2005" t="n">
        <v>5231.5</v>
      </c>
      <c r="K2005" s="13" t="n">
        <v>0.19</v>
      </c>
      <c r="L2005" t="n">
        <v>993.99</v>
      </c>
      <c r="M2005" t="n">
        <v>6225.49</v>
      </c>
      <c r="N2005" t="inlineStr">
        <is>
          <t>RON</t>
        </is>
      </c>
      <c r="O2005" t="inlineStr">
        <is>
          <t>Mangalia</t>
        </is>
      </c>
      <c r="P2005" s="12" t="n">
        <v>46118</v>
      </c>
      <c r="Q2005">
        <f>IF(COUNTIF(tbl_Localitati[oras_oficial],[@oras])=0,"ORAS NEALINIAT",IF(XLOOKUP([@oras],tbl_Localitati[oras_oficial],tbl_Localitati[judet],"?")&lt;&gt;[@judet],"JUDET NECORESPUNZATOR",""))</f>
        <v/>
      </c>
      <c r="R2005">
        <f>IF(XLOOKUP([@categorie],tbl_RegulriTVA[categorie],tbl_RegulriTVA[cota_legala],-1)&lt;&gt;[@cota_tva],"TVA GRESIT","")</f>
        <v/>
      </c>
      <c r="S2005">
        <f>IF([@data_scadentei]&lt;[@data_factura],"SCADENTA INAINTEA FACTURII","")</f>
        <v/>
      </c>
      <c r="T2005">
        <f>IF(NETWORKDAYS.INTL([@data_factura],[@data_factura],1,tbl_SarbatoriLegale[data])=0,"ZI NELUCRATOARE","")</f>
        <v/>
      </c>
      <c r="U2005">
        <f>IF([@motiv_anomalie]="","OK","DE INVESTIGAT")</f>
        <v/>
      </c>
      <c r="V2005">
        <f>TEXTJOIN("; ",TRUE,[@flag_oras],[@flag_tva],[@flag_scadenta],[@flag_zi])</f>
        <v/>
      </c>
    </row>
    <row r="2006">
      <c r="A2006" t="inlineStr">
        <is>
          <t>F-2025-01975</t>
        </is>
      </c>
      <c r="B2006" s="12" t="n">
        <v>46097</v>
      </c>
      <c r="C2006" t="inlineStr">
        <is>
          <t>SC VECTOR CONSULT SRL</t>
        </is>
      </c>
      <c r="D2006" t="inlineStr">
        <is>
          <t>Timiș</t>
        </is>
      </c>
      <c r="E2006" t="inlineStr">
        <is>
          <t>PRD-003</t>
        </is>
      </c>
      <c r="F2006" t="inlineStr">
        <is>
          <t>Trusa prim ajutor</t>
        </is>
      </c>
      <c r="G2006" t="inlineStr">
        <is>
          <t>Produse farmaceutice</t>
        </is>
      </c>
      <c r="H2006" t="n">
        <v>1</v>
      </c>
      <c r="I2006" t="n">
        <v>4260.8</v>
      </c>
      <c r="J2006" t="n">
        <v>4260.8</v>
      </c>
      <c r="K2006" s="13" t="n">
        <v>0.09</v>
      </c>
      <c r="L2006" t="n">
        <v>383.47</v>
      </c>
      <c r="M2006" t="n">
        <v>4644.27</v>
      </c>
      <c r="N2006" t="inlineStr">
        <is>
          <t>RON</t>
        </is>
      </c>
      <c r="O2006" t="inlineStr">
        <is>
          <t>Timișoara</t>
        </is>
      </c>
      <c r="P2006" s="12" t="n">
        <v>46127</v>
      </c>
      <c r="Q2006">
        <f>IF(COUNTIF(tbl_Localitati[oras_oficial],[@oras])=0,"ORAS NEALINIAT",IF(XLOOKUP([@oras],tbl_Localitati[oras_oficial],tbl_Localitati[judet],"?")&lt;&gt;[@judet],"JUDET NECORESPUNZATOR",""))</f>
        <v/>
      </c>
      <c r="R2006">
        <f>IF(XLOOKUP([@categorie],tbl_RegulriTVA[categorie],tbl_RegulriTVA[cota_legala],-1)&lt;&gt;[@cota_tva],"TVA GRESIT","")</f>
        <v/>
      </c>
      <c r="S2006">
        <f>IF([@data_scadentei]&lt;[@data_factura],"SCADENTA INAINTEA FACTURII","")</f>
        <v/>
      </c>
      <c r="T2006">
        <f>IF(NETWORKDAYS.INTL([@data_factura],[@data_factura],1,tbl_SarbatoriLegale[data])=0,"ZI NELUCRATOARE","")</f>
        <v/>
      </c>
      <c r="U2006">
        <f>IF([@motiv_anomalie]="","OK","DE INVESTIGAT")</f>
        <v/>
      </c>
      <c r="V2006">
        <f>TEXTJOIN("; ",TRUE,[@flag_oras],[@flag_tva],[@flag_scadenta],[@flag_zi])</f>
        <v/>
      </c>
    </row>
    <row r="2007">
      <c r="A2007" t="inlineStr">
        <is>
          <t>F-2025-00214</t>
        </is>
      </c>
      <c r="B2007" s="12" t="n">
        <v>46037</v>
      </c>
      <c r="C2007" t="inlineStr">
        <is>
          <t>SC AROMET TRADING SRL</t>
        </is>
      </c>
      <c r="D2007" t="inlineStr">
        <is>
          <t>Alba</t>
        </is>
      </c>
      <c r="E2007" t="inlineStr">
        <is>
          <t>PRD-011</t>
        </is>
      </c>
      <c r="F2007" t="inlineStr">
        <is>
          <t>Switch gigabit 24p</t>
        </is>
      </c>
      <c r="G2007" t="inlineStr">
        <is>
          <t>Hardware IT</t>
        </is>
      </c>
      <c r="H2007" t="n">
        <v>50</v>
      </c>
      <c r="I2007" t="n">
        <v>43.95</v>
      </c>
      <c r="J2007" t="n">
        <v>2197.5</v>
      </c>
      <c r="K2007" s="13" t="n">
        <v>0.19</v>
      </c>
      <c r="L2007" t="n">
        <v>417.52</v>
      </c>
      <c r="M2007" t="n">
        <v>2615.02</v>
      </c>
      <c r="N2007" t="inlineStr">
        <is>
          <t>RON</t>
        </is>
      </c>
      <c r="O2007" t="inlineStr">
        <is>
          <t>Alba Iulia</t>
        </is>
      </c>
      <c r="P2007" s="12" t="n">
        <v>46097</v>
      </c>
      <c r="Q2007">
        <f>IF(COUNTIF(tbl_Localitati[oras_oficial],[@oras])=0,"ORAS NEALINIAT",IF(XLOOKUP([@oras],tbl_Localitati[oras_oficial],tbl_Localitati[judet],"?")&lt;&gt;[@judet],"JUDET NECORESPUNZATOR",""))</f>
        <v/>
      </c>
      <c r="R2007">
        <f>IF(XLOOKUP([@categorie],tbl_RegulriTVA[categorie],tbl_RegulriTVA[cota_legala],-1)&lt;&gt;[@cota_tva],"TVA GRESIT","")</f>
        <v/>
      </c>
      <c r="S2007">
        <f>IF([@data_scadentei]&lt;[@data_factura],"SCADENTA INAINTEA FACTURII","")</f>
        <v/>
      </c>
      <c r="T2007">
        <f>IF(NETWORKDAYS.INTL([@data_factura],[@data_factura],1,tbl_SarbatoriLegale[data])=0,"ZI NELUCRATOARE","")</f>
        <v/>
      </c>
      <c r="U2007">
        <f>IF([@motiv_anomalie]="","OK","DE INVESTIGAT")</f>
        <v/>
      </c>
      <c r="V2007">
        <f>TEXTJOIN("; ",TRUE,[@flag_oras],[@flag_tva],[@flag_scadenta],[@flag_zi])</f>
        <v/>
      </c>
    </row>
    <row r="2008">
      <c r="A2008" t="inlineStr">
        <is>
          <t>F-2025-01716</t>
        </is>
      </c>
      <c r="B2008" s="12" t="n">
        <v>46210</v>
      </c>
      <c r="C2008" t="inlineStr">
        <is>
          <t>SC UNIFOOD DISTRIBUTION SA</t>
        </is>
      </c>
      <c r="D2008" t="inlineStr">
        <is>
          <t>Sibiu</t>
        </is>
      </c>
      <c r="E2008" t="inlineStr">
        <is>
          <t>PRD-001</t>
        </is>
      </c>
      <c r="F2008" t="inlineStr">
        <is>
          <t>Licenta Office 365 anuala</t>
        </is>
      </c>
      <c r="G2008" t="inlineStr">
        <is>
          <t>Licențe software</t>
        </is>
      </c>
      <c r="H2008" t="n">
        <v>2</v>
      </c>
      <c r="I2008" t="n">
        <v>2281.91</v>
      </c>
      <c r="J2008" t="n">
        <v>4563.82</v>
      </c>
      <c r="K2008" s="13" t="n">
        <v>0.19</v>
      </c>
      <c r="L2008" t="n">
        <v>867.13</v>
      </c>
      <c r="M2008" t="n">
        <v>5430.95</v>
      </c>
      <c r="N2008" t="inlineStr">
        <is>
          <t>RON</t>
        </is>
      </c>
      <c r="O2008" t="inlineStr">
        <is>
          <t>Mediaș</t>
        </is>
      </c>
      <c r="P2008" s="12" t="n">
        <v>46240</v>
      </c>
      <c r="Q2008">
        <f>IF(COUNTIF(tbl_Localitati[oras_oficial],[@oras])=0,"ORAS NEALINIAT",IF(XLOOKUP([@oras],tbl_Localitati[oras_oficial],tbl_Localitati[judet],"?")&lt;&gt;[@judet],"JUDET NECORESPUNZATOR",""))</f>
        <v/>
      </c>
      <c r="R2008">
        <f>IF(XLOOKUP([@categorie],tbl_RegulriTVA[categorie],tbl_RegulriTVA[cota_legala],-1)&lt;&gt;[@cota_tva],"TVA GRESIT","")</f>
        <v/>
      </c>
      <c r="S2008">
        <f>IF([@data_scadentei]&lt;[@data_factura],"SCADENTA INAINTEA FACTURII","")</f>
        <v/>
      </c>
      <c r="T2008">
        <f>IF(NETWORKDAYS.INTL([@data_factura],[@data_factura],1,tbl_SarbatoriLegale[data])=0,"ZI NELUCRATOARE","")</f>
        <v/>
      </c>
      <c r="U2008">
        <f>IF([@motiv_anomalie]="","OK","DE INVESTIGAT")</f>
        <v/>
      </c>
      <c r="V2008">
        <f>TEXTJOIN("; ",TRUE,[@flag_oras],[@flag_tva],[@flag_scadenta],[@flag_zi])</f>
        <v/>
      </c>
    </row>
    <row r="2009">
      <c r="A2009" t="inlineStr">
        <is>
          <t>F-2025-00975</t>
        </is>
      </c>
      <c r="B2009" s="12" t="n">
        <v>46265</v>
      </c>
      <c r="C2009" t="inlineStr">
        <is>
          <t>SC METALPLAST INVEST SA</t>
        </is>
      </c>
      <c r="D2009" t="inlineStr">
        <is>
          <t>Cluj</t>
        </is>
      </c>
      <c r="E2009" t="inlineStr">
        <is>
          <t>PRD-002</t>
        </is>
      </c>
      <c r="F2009" t="inlineStr">
        <is>
          <t>Training utilizatori</t>
        </is>
      </c>
      <c r="G2009" t="inlineStr">
        <is>
          <t>Servicii consultanță</t>
        </is>
      </c>
      <c r="H2009" t="n">
        <v>3</v>
      </c>
      <c r="I2009" t="n">
        <v>1108.85</v>
      </c>
      <c r="J2009" t="n">
        <v>3326.55</v>
      </c>
      <c r="K2009" s="13" t="n">
        <v>0.19</v>
      </c>
      <c r="L2009" t="n">
        <v>632.04</v>
      </c>
      <c r="M2009" t="n">
        <v>3958.59</v>
      </c>
      <c r="N2009" t="inlineStr">
        <is>
          <t>RON</t>
        </is>
      </c>
      <c r="O2009" t="inlineStr">
        <is>
          <t>Turda</t>
        </is>
      </c>
      <c r="P2009" s="12" t="n">
        <v>46295</v>
      </c>
      <c r="Q2009">
        <f>IF(COUNTIF(tbl_Localitati[oras_oficial],[@oras])=0,"ORAS NEALINIAT",IF(XLOOKUP([@oras],tbl_Localitati[oras_oficial],tbl_Localitati[judet],"?")&lt;&gt;[@judet],"JUDET NECORESPUNZATOR",""))</f>
        <v/>
      </c>
      <c r="R2009">
        <f>IF(XLOOKUP([@categorie],tbl_RegulriTVA[categorie],tbl_RegulriTVA[cota_legala],-1)&lt;&gt;[@cota_tva],"TVA GRESIT","")</f>
        <v/>
      </c>
      <c r="S2009">
        <f>IF([@data_scadentei]&lt;[@data_factura],"SCADENTA INAINTEA FACTURII","")</f>
        <v/>
      </c>
      <c r="T2009">
        <f>IF(NETWORKDAYS.INTL([@data_factura],[@data_factura],1,tbl_SarbatoriLegale[data])=0,"ZI NELUCRATOARE","")</f>
        <v/>
      </c>
      <c r="U2009">
        <f>IF([@motiv_anomalie]="","OK","DE INVESTIGAT")</f>
        <v/>
      </c>
      <c r="V2009">
        <f>TEXTJOIN("; ",TRUE,[@flag_oras],[@flag_tva],[@flag_scadenta],[@flag_zi])</f>
        <v/>
      </c>
    </row>
    <row r="2010">
      <c r="A2010" t="inlineStr">
        <is>
          <t>F-2025-00813</t>
        </is>
      </c>
      <c r="B2010" s="12" t="n">
        <v>46385</v>
      </c>
      <c r="C2010" t="inlineStr">
        <is>
          <t>SC UNIFOOD DISTRIBUTION SA</t>
        </is>
      </c>
      <c r="D2010" t="inlineStr">
        <is>
          <t>Sibiu</t>
        </is>
      </c>
      <c r="E2010" t="inlineStr">
        <is>
          <t>PRD-002</t>
        </is>
      </c>
      <c r="F2010" t="inlineStr">
        <is>
          <t>Consultanta implementare IT</t>
        </is>
      </c>
      <c r="G2010" t="inlineStr">
        <is>
          <t>Servicii consultanță</t>
        </is>
      </c>
      <c r="H2010" t="n">
        <v>1</v>
      </c>
      <c r="I2010" t="n">
        <v>1100.96</v>
      </c>
      <c r="J2010" t="n">
        <v>1100.96</v>
      </c>
      <c r="K2010" s="13" t="n">
        <v>0.19</v>
      </c>
      <c r="L2010" t="n">
        <v>209.18</v>
      </c>
      <c r="M2010" t="n">
        <v>1310.14</v>
      </c>
      <c r="N2010" t="inlineStr">
        <is>
          <t>RON</t>
        </is>
      </c>
      <c r="O2010" t="inlineStr">
        <is>
          <t>Mediaș</t>
        </is>
      </c>
      <c r="P2010" s="12" t="n">
        <v>46415</v>
      </c>
      <c r="Q2010">
        <f>IF(COUNTIF(tbl_Localitati[oras_oficial],[@oras])=0,"ORAS NEALINIAT",IF(XLOOKUP([@oras],tbl_Localitati[oras_oficial],tbl_Localitati[judet],"?")&lt;&gt;[@judet],"JUDET NECORESPUNZATOR",""))</f>
        <v/>
      </c>
      <c r="R2010">
        <f>IF(XLOOKUP([@categorie],tbl_RegulriTVA[categorie],tbl_RegulriTVA[cota_legala],-1)&lt;&gt;[@cota_tva],"TVA GRESIT","")</f>
        <v/>
      </c>
      <c r="S2010">
        <f>IF([@data_scadentei]&lt;[@data_factura],"SCADENTA INAINTEA FACTURII","")</f>
        <v/>
      </c>
      <c r="T2010">
        <f>IF(NETWORKDAYS.INTL([@data_factura],[@data_factura],1,tbl_SarbatoriLegale[data])=0,"ZI NELUCRATOARE","")</f>
        <v/>
      </c>
      <c r="U2010">
        <f>IF([@motiv_anomalie]="","OK","DE INVESTIGAT")</f>
        <v/>
      </c>
      <c r="V2010">
        <f>TEXTJOIN("; ",TRUE,[@flag_oras],[@flag_tva],[@flag_scadenta],[@flag_zi])</f>
        <v/>
      </c>
    </row>
    <row r="2011">
      <c r="A2011" t="inlineStr">
        <is>
          <t>F-2025-00342</t>
        </is>
      </c>
      <c r="B2011" s="12" t="n">
        <v>46154</v>
      </c>
      <c r="C2011" t="inlineStr">
        <is>
          <t>SC INTEGROMED SA</t>
        </is>
      </c>
      <c r="D2011" t="inlineStr">
        <is>
          <t>Cluj</t>
        </is>
      </c>
      <c r="E2011" t="inlineStr">
        <is>
          <t>PRD-009</t>
        </is>
      </c>
      <c r="F2011" t="inlineStr">
        <is>
          <t>Monitor 27" 4K</t>
        </is>
      </c>
      <c r="G2011" t="inlineStr">
        <is>
          <t>Hardware IT</t>
        </is>
      </c>
      <c r="H2011" t="n">
        <v>10</v>
      </c>
      <c r="I2011" t="n">
        <v>28.2</v>
      </c>
      <c r="J2011" t="n">
        <v>282</v>
      </c>
      <c r="K2011" s="13" t="n">
        <v>0.19</v>
      </c>
      <c r="L2011" t="n">
        <v>53.58</v>
      </c>
      <c r="M2011" t="n">
        <v>335.58</v>
      </c>
      <c r="N2011" t="inlineStr">
        <is>
          <t>RON</t>
        </is>
      </c>
      <c r="O2011" t="inlineStr">
        <is>
          <t>Cluj-Napoca</t>
        </is>
      </c>
      <c r="P2011" s="12" t="n">
        <v>46169</v>
      </c>
      <c r="Q2011">
        <f>IF(COUNTIF(tbl_Localitati[oras_oficial],[@oras])=0,"ORAS NEALINIAT",IF(XLOOKUP([@oras],tbl_Localitati[oras_oficial],tbl_Localitati[judet],"?")&lt;&gt;[@judet],"JUDET NECORESPUNZATOR",""))</f>
        <v/>
      </c>
      <c r="R2011">
        <f>IF(XLOOKUP([@categorie],tbl_RegulriTVA[categorie],tbl_RegulriTVA[cota_legala],-1)&lt;&gt;[@cota_tva],"TVA GRESIT","")</f>
        <v/>
      </c>
      <c r="S2011">
        <f>IF([@data_scadentei]&lt;[@data_factura],"SCADENTA INAINTEA FACTURII","")</f>
        <v/>
      </c>
      <c r="T2011">
        <f>IF(NETWORKDAYS.INTL([@data_factura],[@data_factura],1,tbl_SarbatoriLegale[data])=0,"ZI NELUCRATOARE","")</f>
        <v/>
      </c>
      <c r="U2011">
        <f>IF([@motiv_anomalie]="","OK","DE INVESTIGAT")</f>
        <v/>
      </c>
      <c r="V2011">
        <f>TEXTJOIN("; ",TRUE,[@flag_oras],[@flag_tva],[@flag_scadenta],[@flag_zi])</f>
        <v/>
      </c>
    </row>
  </sheetData>
  <conditionalFormatting sqref="A2:V2011">
    <cfRule type="expression" priority="1" dxfId="0">
      <formula>$U2="DE INVESTIGAT"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id_contact</t>
        </is>
      </c>
      <c r="B1" t="inlineStr">
        <is>
          <t>client_nume</t>
        </is>
      </c>
      <c r="C1" t="inlineStr">
        <is>
          <t>nume_persoana</t>
        </is>
      </c>
      <c r="D1" t="inlineStr">
        <is>
          <t>CNP</t>
        </is>
      </c>
      <c r="E1" t="inlineStr">
        <is>
          <t>Sex</t>
        </is>
      </c>
      <c r="F1" t="inlineStr">
        <is>
          <t>Judet</t>
        </is>
      </c>
      <c r="G1" t="inlineStr">
        <is>
          <t>Data_Nasterii</t>
        </is>
      </c>
      <c r="H1" t="inlineStr">
        <is>
          <t>flag_sex</t>
        </is>
      </c>
      <c r="I1" t="inlineStr">
        <is>
          <t>flag_judet</t>
        </is>
      </c>
      <c r="J1" t="inlineStr">
        <is>
          <t>flag_data</t>
        </is>
      </c>
      <c r="K1" t="inlineStr">
        <is>
          <t>flag_control</t>
        </is>
      </c>
      <c r="L1" t="inlineStr">
        <is>
          <t>status_validare</t>
        </is>
      </c>
      <c r="M1" t="inlineStr">
        <is>
          <t>motiv_anomalie</t>
        </is>
      </c>
    </row>
    <row r="2">
      <c r="A2" t="inlineStr">
        <is>
          <t>CTC-0001</t>
        </is>
      </c>
      <c r="B2" t="inlineStr">
        <is>
          <t>SC AROMET TRADING SRL</t>
        </is>
      </c>
      <c r="C2" t="inlineStr">
        <is>
          <t>Andrei Popescu</t>
        </is>
      </c>
      <c r="D2" s="14" t="inlineStr">
        <is>
          <t>1970603018922</t>
        </is>
      </c>
      <c r="E2" t="inlineStr">
        <is>
          <t>M</t>
        </is>
      </c>
      <c r="F2" t="inlineStr">
        <is>
          <t>Alba</t>
        </is>
      </c>
      <c r="G2" s="12" t="n">
        <v>35584</v>
      </c>
      <c r="H2">
        <f>IF(IF(OR(VALUE(LEFT([@CNP],1))=1,VALUE(LEFT([@CNP],1))=3,VALUE(LEFT([@CNP],1))=5,VALUE(LEFT([@CNP],1))=7),"M","F")&lt;&gt;[@Sex],"SEX CONTRADICTORIU","")</f>
        <v/>
      </c>
      <c r="I2">
        <f>IF(XLOOKUP(MID([@CNP],8,2),tbl_CodJudetCNP[cod],tbl_CodJudetCNP[judet],"?")&lt;&gt;[@Judet],"JUDET CONTRADICTORIU","")</f>
        <v/>
      </c>
      <c r="J2">
        <f>IF(DATE(IF(VALUE(LEFT([@CNP],1))&gt;=5,2000,1900)+VALUE(MID([@CNP],2,2)),VALUE(MID([@CNP],4,2)),VALUE(MID([@CNP],6,2)))&lt;&gt;[@Data_Nasterii],"DATA CONTRADICTORIE","")</f>
        <v/>
      </c>
      <c r="K2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2">
        <f>IF([@motiv_anomalie]="","OK","DE INVESTIGAT")</f>
        <v/>
      </c>
      <c r="M2">
        <f>TEXTJOIN("; ",TRUE,[@flag_sex],[@flag_judet],[@flag_data],[@flag_control])</f>
        <v/>
      </c>
    </row>
    <row r="3">
      <c r="A3" t="inlineStr">
        <is>
          <t>CTC-0002</t>
        </is>
      </c>
      <c r="B3" t="inlineStr">
        <is>
          <t>SC DACTECH SOLUTIONS SRL</t>
        </is>
      </c>
      <c r="C3" t="inlineStr">
        <is>
          <t>Maria Ionescu</t>
        </is>
      </c>
      <c r="D3" s="14" t="inlineStr">
        <is>
          <t>1880819033187</t>
        </is>
      </c>
      <c r="E3" t="inlineStr">
        <is>
          <t>M</t>
        </is>
      </c>
      <c r="F3" t="inlineStr">
        <is>
          <t>Argeș</t>
        </is>
      </c>
      <c r="G3" s="12" t="n">
        <v>32374</v>
      </c>
      <c r="H3">
        <f>IF(IF(OR(VALUE(LEFT([@CNP],1))=1,VALUE(LEFT([@CNP],1))=3,VALUE(LEFT([@CNP],1))=5,VALUE(LEFT([@CNP],1))=7),"M","F")&lt;&gt;[@Sex],"SEX CONTRADICTORIU","")</f>
        <v/>
      </c>
      <c r="I3">
        <f>IF(XLOOKUP(MID([@CNP],8,2),tbl_CodJudetCNP[cod],tbl_CodJudetCNP[judet],"?")&lt;&gt;[@Judet],"JUDET CONTRADICTORIU","")</f>
        <v/>
      </c>
      <c r="J3">
        <f>IF(DATE(IF(VALUE(LEFT([@CNP],1))&gt;=5,2000,1900)+VALUE(MID([@CNP],2,2)),VALUE(MID([@CNP],4,2)),VALUE(MID([@CNP],6,2)))&lt;&gt;[@Data_Nasterii],"DATA CONTRADICTORIE","")</f>
        <v/>
      </c>
      <c r="K3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3">
        <f>IF([@motiv_anomalie]="","OK","DE INVESTIGAT")</f>
        <v/>
      </c>
      <c r="M3">
        <f>TEXTJOIN("; ",TRUE,[@flag_sex],[@flag_judet],[@flag_data],[@flag_control])</f>
        <v/>
      </c>
    </row>
    <row r="4">
      <c r="A4" t="inlineStr">
        <is>
          <t>CTC-0003</t>
        </is>
      </c>
      <c r="B4" t="inlineStr">
        <is>
          <t>SC ELECTROBUILD SRL</t>
        </is>
      </c>
      <c r="C4" t="inlineStr">
        <is>
          <t>Vlad Dumitrescu</t>
        </is>
      </c>
      <c r="D4" s="14" t="inlineStr">
        <is>
          <t>2830716048553</t>
        </is>
      </c>
      <c r="E4" t="inlineStr">
        <is>
          <t>M</t>
        </is>
      </c>
      <c r="F4" t="inlineStr">
        <is>
          <t>Constanța</t>
        </is>
      </c>
      <c r="G4" s="12" t="n">
        <v>30513</v>
      </c>
      <c r="H4">
        <f>IF(IF(OR(VALUE(LEFT([@CNP],1))=1,VALUE(LEFT([@CNP],1))=3,VALUE(LEFT([@CNP],1))=5,VALUE(LEFT([@CNP],1))=7),"M","F")&lt;&gt;[@Sex],"SEX CONTRADICTORIU","")</f>
        <v/>
      </c>
      <c r="I4">
        <f>IF(XLOOKUP(MID([@CNP],8,2),tbl_CodJudetCNP[cod],tbl_CodJudetCNP[judet],"?")&lt;&gt;[@Judet],"JUDET CONTRADICTORIU","")</f>
        <v/>
      </c>
      <c r="J4">
        <f>IF(DATE(IF(VALUE(LEFT([@CNP],1))&gt;=5,2000,1900)+VALUE(MID([@CNP],2,2)),VALUE(MID([@CNP],4,2)),VALUE(MID([@CNP],6,2)))&lt;&gt;[@Data_Nasterii],"DATA CONTRADICTORIE","")</f>
        <v/>
      </c>
      <c r="K4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4">
        <f>IF([@motiv_anomalie]="","OK","DE INVESTIGAT")</f>
        <v/>
      </c>
      <c r="M4">
        <f>TEXTJOIN("; ",TRUE,[@flag_sex],[@flag_judet],[@flag_data],[@flag_control])</f>
        <v/>
      </c>
    </row>
    <row r="5">
      <c r="A5" t="inlineStr">
        <is>
          <t>CTC-0004</t>
        </is>
      </c>
      <c r="B5" t="inlineStr">
        <is>
          <t>SC FARMAVITAL DISTRIBUTIE SA</t>
        </is>
      </c>
      <c r="C5" t="inlineStr">
        <is>
          <t>Elena Stan</t>
        </is>
      </c>
      <c r="D5" s="14" t="inlineStr">
        <is>
          <t>1700921054728</t>
        </is>
      </c>
      <c r="E5" t="inlineStr">
        <is>
          <t>M</t>
        </is>
      </c>
      <c r="F5" t="inlineStr">
        <is>
          <t>Bihor</t>
        </is>
      </c>
      <c r="G5" s="12" t="n">
        <v>26232</v>
      </c>
      <c r="H5">
        <f>IF(IF(OR(VALUE(LEFT([@CNP],1))=1,VALUE(LEFT([@CNP],1))=3,VALUE(LEFT([@CNP],1))=5,VALUE(LEFT([@CNP],1))=7),"M","F")&lt;&gt;[@Sex],"SEX CONTRADICTORIU","")</f>
        <v/>
      </c>
      <c r="I5">
        <f>IF(XLOOKUP(MID([@CNP],8,2),tbl_CodJudetCNP[cod],tbl_CodJudetCNP[judet],"?")&lt;&gt;[@Judet],"JUDET CONTRADICTORIU","")</f>
        <v/>
      </c>
      <c r="J5">
        <f>IF(DATE(IF(VALUE(LEFT([@CNP],1))&gt;=5,2000,1900)+VALUE(MID([@CNP],2,2)),VALUE(MID([@CNP],4,2)),VALUE(MID([@CNP],6,2)))&lt;&gt;[@Data_Nasterii],"DATA CONTRADICTORIE","")</f>
        <v/>
      </c>
      <c r="K5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5">
        <f>IF([@motiv_anomalie]="","OK","DE INVESTIGAT")</f>
        <v/>
      </c>
      <c r="M5">
        <f>TEXTJOIN("; ",TRUE,[@flag_sex],[@flag_judet],[@flag_data],[@flag_control])</f>
        <v/>
      </c>
    </row>
    <row r="6">
      <c r="A6" t="inlineStr">
        <is>
          <t>CTC-0005</t>
        </is>
      </c>
      <c r="B6" t="inlineStr">
        <is>
          <t>SC GHOST COMPANY SRL</t>
        </is>
      </c>
      <c r="C6" t="inlineStr">
        <is>
          <t>Mihai Radu</t>
        </is>
      </c>
      <c r="D6" s="14" t="inlineStr">
        <is>
          <t>2900328087460</t>
        </is>
      </c>
      <c r="E6" t="inlineStr">
        <is>
          <t>M</t>
        </is>
      </c>
      <c r="F6" t="inlineStr">
        <is>
          <t>Constanța</t>
        </is>
      </c>
      <c r="G6" s="12" t="n">
        <v>32960</v>
      </c>
      <c r="H6">
        <f>IF(IF(OR(VALUE(LEFT([@CNP],1))=1,VALUE(LEFT([@CNP],1))=3,VALUE(LEFT([@CNP],1))=5,VALUE(LEFT([@CNP],1))=7),"M","F")&lt;&gt;[@Sex],"SEX CONTRADICTORIU","")</f>
        <v/>
      </c>
      <c r="I6">
        <f>IF(XLOOKUP(MID([@CNP],8,2),tbl_CodJudetCNP[cod],tbl_CodJudetCNP[judet],"?")&lt;&gt;[@Judet],"JUDET CONTRADICTORIU","")</f>
        <v/>
      </c>
      <c r="J6">
        <f>IF(DATE(IF(VALUE(LEFT([@CNP],1))&gt;=5,2000,1900)+VALUE(MID([@CNP],2,2)),VALUE(MID([@CNP],4,2)),VALUE(MID([@CNP],6,2)))&lt;&gt;[@Data_Nasterii],"DATA CONTRADICTORIE","")</f>
        <v/>
      </c>
      <c r="K6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6">
        <f>IF([@motiv_anomalie]="","OK","DE INVESTIGAT")</f>
        <v/>
      </c>
      <c r="M6">
        <f>TEXTJOIN("; ",TRUE,[@flag_sex],[@flag_judet],[@flag_data],[@flag_control])</f>
        <v/>
      </c>
    </row>
    <row r="7">
      <c r="A7" t="inlineStr">
        <is>
          <t>CTC-0006</t>
        </is>
      </c>
      <c r="B7" t="inlineStr">
        <is>
          <t>SC INEXISTENT TRADING SRL</t>
        </is>
      </c>
      <c r="C7" t="inlineStr">
        <is>
          <t>Ana Gheorghe</t>
        </is>
      </c>
      <c r="D7" s="14" t="inlineStr">
        <is>
          <t>2671022086399</t>
        </is>
      </c>
      <c r="E7" t="inlineStr">
        <is>
          <t>F</t>
        </is>
      </c>
      <c r="F7" t="inlineStr">
        <is>
          <t>Cluj</t>
        </is>
      </c>
      <c r="G7" s="12" t="n">
        <v>24767</v>
      </c>
      <c r="H7">
        <f>IF(IF(OR(VALUE(LEFT([@CNP],1))=1,VALUE(LEFT([@CNP],1))=3,VALUE(LEFT([@CNP],1))=5,VALUE(LEFT([@CNP],1))=7),"M","F")&lt;&gt;[@Sex],"SEX CONTRADICTORIU","")</f>
        <v/>
      </c>
      <c r="I7">
        <f>IF(XLOOKUP(MID([@CNP],8,2),tbl_CodJudetCNP[cod],tbl_CodJudetCNP[judet],"?")&lt;&gt;[@Judet],"JUDET CONTRADICTORIU","")</f>
        <v/>
      </c>
      <c r="J7">
        <f>IF(DATE(IF(VALUE(LEFT([@CNP],1))&gt;=5,2000,1900)+VALUE(MID([@CNP],2,2)),VALUE(MID([@CNP],4,2)),VALUE(MID([@CNP],6,2)))&lt;&gt;[@Data_Nasterii],"DATA CONTRADICTORIE","")</f>
        <v/>
      </c>
      <c r="K7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7">
        <f>IF([@motiv_anomalie]="","OK","DE INVESTIGAT")</f>
        <v/>
      </c>
      <c r="M7">
        <f>TEXTJOIN("; ",TRUE,[@flag_sex],[@flag_judet],[@flag_data],[@flag_control])</f>
        <v/>
      </c>
    </row>
    <row r="8">
      <c r="A8" t="inlineStr">
        <is>
          <t>CTC-0007</t>
        </is>
      </c>
      <c r="B8" t="inlineStr">
        <is>
          <t>SC INTEGROMED SA</t>
        </is>
      </c>
      <c r="C8" t="inlineStr">
        <is>
          <t>Cristian Marin</t>
        </is>
      </c>
      <c r="D8" s="14" t="inlineStr">
        <is>
          <t>2860413123488</t>
        </is>
      </c>
      <c r="E8" t="inlineStr">
        <is>
          <t>F</t>
        </is>
      </c>
      <c r="F8" t="inlineStr">
        <is>
          <t>Cluj</t>
        </is>
      </c>
      <c r="G8" s="12" t="n">
        <v>31515</v>
      </c>
      <c r="H8">
        <f>IF(IF(OR(VALUE(LEFT([@CNP],1))=1,VALUE(LEFT([@CNP],1))=3,VALUE(LEFT([@CNP],1))=5,VALUE(LEFT([@CNP],1))=7),"M","F")&lt;&gt;[@Sex],"SEX CONTRADICTORIU","")</f>
        <v/>
      </c>
      <c r="I8">
        <f>IF(XLOOKUP(MID([@CNP],8,2),tbl_CodJudetCNP[cod],tbl_CodJudetCNP[judet],"?")&lt;&gt;[@Judet],"JUDET CONTRADICTORIU","")</f>
        <v/>
      </c>
      <c r="J8">
        <f>IF(DATE(IF(VALUE(LEFT([@CNP],1))&gt;=5,2000,1900)+VALUE(MID([@CNP],2,2)),VALUE(MID([@CNP],4,2)),VALUE(MID([@CNP],6,2)))&lt;&gt;[@Data_Nasterii],"DATA CONTRADICTORIE","")</f>
        <v/>
      </c>
      <c r="K8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8">
        <f>IF([@motiv_anomalie]="","OK","DE INVESTIGAT")</f>
        <v/>
      </c>
      <c r="M8">
        <f>TEXTJOIN("; ",TRUE,[@flag_sex],[@flag_judet],[@flag_data],[@flag_control])</f>
        <v/>
      </c>
    </row>
    <row r="9">
      <c r="A9" t="inlineStr">
        <is>
          <t>CTC-0008</t>
        </is>
      </c>
      <c r="B9" t="inlineStr">
        <is>
          <t>SC METALPLAST INVEST SA</t>
        </is>
      </c>
      <c r="C9" t="inlineStr">
        <is>
          <t>Ioana Tudor</t>
        </is>
      </c>
      <c r="D9" s="14" t="inlineStr">
        <is>
          <t>1901209126627</t>
        </is>
      </c>
      <c r="E9" t="inlineStr">
        <is>
          <t>M</t>
        </is>
      </c>
      <c r="F9" t="inlineStr">
        <is>
          <t>Cluj</t>
        </is>
      </c>
      <c r="G9" s="12" t="n">
        <v>33216</v>
      </c>
      <c r="H9">
        <f>IF(IF(OR(VALUE(LEFT([@CNP],1))=1,VALUE(LEFT([@CNP],1))=3,VALUE(LEFT([@CNP],1))=5,VALUE(LEFT([@CNP],1))=7),"M","F")&lt;&gt;[@Sex],"SEX CONTRADICTORIU","")</f>
        <v/>
      </c>
      <c r="I9">
        <f>IF(XLOOKUP(MID([@CNP],8,2),tbl_CodJudetCNP[cod],tbl_CodJudetCNP[judet],"?")&lt;&gt;[@Judet],"JUDET CONTRADICTORIU","")</f>
        <v/>
      </c>
      <c r="J9">
        <f>IF(DATE(IF(VALUE(LEFT([@CNP],1))&gt;=5,2000,1900)+VALUE(MID([@CNP],2,2)),VALUE(MID([@CNP],4,2)),VALUE(MID([@CNP],6,2)))&lt;&gt;[@Data_Nasterii],"DATA CONTRADICTORIE","")</f>
        <v/>
      </c>
      <c r="K9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9">
        <f>IF([@motiv_anomalie]="","OK","DE INVESTIGAT")</f>
        <v/>
      </c>
      <c r="M9">
        <f>TEXTJOIN("; ",TRUE,[@flag_sex],[@flag_judet],[@flag_data],[@flag_control])</f>
        <v/>
      </c>
    </row>
    <row r="10">
      <c r="A10" t="inlineStr">
        <is>
          <t>CTC-0009</t>
        </is>
      </c>
      <c r="B10" t="inlineStr">
        <is>
          <t>SC NOMINAL VOID SRL</t>
        </is>
      </c>
      <c r="C10" t="inlineStr">
        <is>
          <t>George Stoica</t>
        </is>
      </c>
      <c r="D10" s="14" t="inlineStr">
        <is>
          <t>1721201135861</t>
        </is>
      </c>
      <c r="E10" t="inlineStr">
        <is>
          <t>M</t>
        </is>
      </c>
      <c r="F10" t="inlineStr">
        <is>
          <t>Constanța</t>
        </is>
      </c>
      <c r="G10" s="12" t="n">
        <v>26634</v>
      </c>
      <c r="H10">
        <f>IF(IF(OR(VALUE(LEFT([@CNP],1))=1,VALUE(LEFT([@CNP],1))=3,VALUE(LEFT([@CNP],1))=5,VALUE(LEFT([@CNP],1))=7),"M","F")&lt;&gt;[@Sex],"SEX CONTRADICTORIU","")</f>
        <v/>
      </c>
      <c r="I10">
        <f>IF(XLOOKUP(MID([@CNP],8,2),tbl_CodJudetCNP[cod],tbl_CodJudetCNP[judet],"?")&lt;&gt;[@Judet],"JUDET CONTRADICTORIU","")</f>
        <v/>
      </c>
      <c r="J10">
        <f>IF(DATE(IF(VALUE(LEFT([@CNP],1))&gt;=5,2000,1900)+VALUE(MID([@CNP],2,2)),VALUE(MID([@CNP],4,2)),VALUE(MID([@CNP],6,2)))&lt;&gt;[@Data_Nasterii],"DATA CONTRADICTORIE","")</f>
        <v/>
      </c>
      <c r="K10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10">
        <f>IF([@motiv_anomalie]="","OK","DE INVESTIGAT")</f>
        <v/>
      </c>
      <c r="M10">
        <f>TEXTJOIN("; ",TRUE,[@flag_sex],[@flag_judet],[@flag_data],[@flag_control])</f>
        <v/>
      </c>
    </row>
    <row r="11">
      <c r="A11" t="inlineStr">
        <is>
          <t>CTC-0010</t>
        </is>
      </c>
      <c r="B11" t="inlineStr">
        <is>
          <t>SC NORDIS DISTRIBUTIE SRL</t>
        </is>
      </c>
      <c r="C11" t="inlineStr">
        <is>
          <t>Diana Florea</t>
        </is>
      </c>
      <c r="D11" s="14" t="inlineStr">
        <is>
          <t>2971104136601</t>
        </is>
      </c>
      <c r="E11" t="inlineStr">
        <is>
          <t>F</t>
        </is>
      </c>
      <c r="F11" t="inlineStr">
        <is>
          <t>Brașov</t>
        </is>
      </c>
      <c r="G11" s="12" t="n">
        <v>35738</v>
      </c>
      <c r="H11">
        <f>IF(IF(OR(VALUE(LEFT([@CNP],1))=1,VALUE(LEFT([@CNP],1))=3,VALUE(LEFT([@CNP],1))=5,VALUE(LEFT([@CNP],1))=7),"M","F")&lt;&gt;[@Sex],"SEX CONTRADICTORIU","")</f>
        <v/>
      </c>
      <c r="I11">
        <f>IF(XLOOKUP(MID([@CNP],8,2),tbl_CodJudetCNP[cod],tbl_CodJudetCNP[judet],"?")&lt;&gt;[@Judet],"JUDET CONTRADICTORIU","")</f>
        <v/>
      </c>
      <c r="J11">
        <f>IF(DATE(IF(VALUE(LEFT([@CNP],1))&gt;=5,2000,1900)+VALUE(MID([@CNP],2,2)),VALUE(MID([@CNP],4,2)),VALUE(MID([@CNP],6,2)))&lt;&gt;[@Data_Nasterii],"DATA CONTRADICTORIE","")</f>
        <v/>
      </c>
      <c r="K11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11">
        <f>IF([@motiv_anomalie]="","OK","DE INVESTIGAT")</f>
        <v/>
      </c>
      <c r="M11">
        <f>TEXTJOIN("; ",TRUE,[@flag_sex],[@flag_judet],[@flag_data],[@flag_control])</f>
        <v/>
      </c>
    </row>
    <row r="12">
      <c r="A12" t="inlineStr">
        <is>
          <t>CTC-0011</t>
        </is>
      </c>
      <c r="B12" t="inlineStr">
        <is>
          <t>SC OMEGA SOFT SRL</t>
        </is>
      </c>
      <c r="C12" t="inlineStr">
        <is>
          <t>Razvan Barbu</t>
        </is>
      </c>
      <c r="D12" s="14" t="inlineStr">
        <is>
          <t>1741018165910</t>
        </is>
      </c>
      <c r="E12" t="inlineStr">
        <is>
          <t>F</t>
        </is>
      </c>
      <c r="F12" t="inlineStr">
        <is>
          <t>Sibiu</t>
        </is>
      </c>
      <c r="G12" s="12" t="n">
        <v>27320</v>
      </c>
      <c r="H12">
        <f>IF(IF(OR(VALUE(LEFT([@CNP],1))=1,VALUE(LEFT([@CNP],1))=3,VALUE(LEFT([@CNP],1))=5,VALUE(LEFT([@CNP],1))=7),"M","F")&lt;&gt;[@Sex],"SEX CONTRADICTORIU","")</f>
        <v/>
      </c>
      <c r="I12">
        <f>IF(XLOOKUP(MID([@CNP],8,2),tbl_CodJudetCNP[cod],tbl_CodJudetCNP[judet],"?")&lt;&gt;[@Judet],"JUDET CONTRADICTORIU","")</f>
        <v/>
      </c>
      <c r="J12">
        <f>IF(DATE(IF(VALUE(LEFT([@CNP],1))&gt;=5,2000,1900)+VALUE(MID([@CNP],2,2)),VALUE(MID([@CNP],4,2)),VALUE(MID([@CNP],6,2)))&lt;&gt;[@Data_Nasterii],"DATA CONTRADICTORIE","")</f>
        <v/>
      </c>
      <c r="K12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12">
        <f>IF([@motiv_anomalie]="","OK","DE INVESTIGAT")</f>
        <v/>
      </c>
      <c r="M12">
        <f>TEXTJOIN("; ",TRUE,[@flag_sex],[@flag_judet],[@flag_data],[@flag_control])</f>
        <v/>
      </c>
    </row>
    <row r="13">
      <c r="A13" t="inlineStr">
        <is>
          <t>CTC-0012</t>
        </is>
      </c>
      <c r="B13" t="inlineStr">
        <is>
          <t>SC ORPHAN RECORDS SRL</t>
        </is>
      </c>
      <c r="C13" t="inlineStr">
        <is>
          <t>Carmen Nistor</t>
        </is>
      </c>
      <c r="D13" s="14" t="inlineStr">
        <is>
          <t>1980907177697</t>
        </is>
      </c>
      <c r="E13" t="inlineStr">
        <is>
          <t>M</t>
        </is>
      </c>
      <c r="F13" t="inlineStr">
        <is>
          <t>Galați</t>
        </is>
      </c>
      <c r="G13" s="12" t="n">
        <v>36045</v>
      </c>
      <c r="H13">
        <f>IF(IF(OR(VALUE(LEFT([@CNP],1))=1,VALUE(LEFT([@CNP],1))=3,VALUE(LEFT([@CNP],1))=5,VALUE(LEFT([@CNP],1))=7),"M","F")&lt;&gt;[@Sex],"SEX CONTRADICTORIU","")</f>
        <v/>
      </c>
      <c r="I13">
        <f>IF(XLOOKUP(MID([@CNP],8,2),tbl_CodJudetCNP[cod],tbl_CodJudetCNP[judet],"?")&lt;&gt;[@Judet],"JUDET CONTRADICTORIU","")</f>
        <v/>
      </c>
      <c r="J13">
        <f>IF(DATE(IF(VALUE(LEFT([@CNP],1))&gt;=5,2000,1900)+VALUE(MID([@CNP],2,2)),VALUE(MID([@CNP],4,2)),VALUE(MID([@CNP],6,2)))&lt;&gt;[@Data_Nasterii],"DATA CONTRADICTORIE","")</f>
        <v/>
      </c>
      <c r="K13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13">
        <f>IF([@motiv_anomalie]="","OK","DE INVESTIGAT")</f>
        <v/>
      </c>
      <c r="M13">
        <f>TEXTJOIN("; ",TRUE,[@flag_sex],[@flag_judet],[@flag_data],[@flag_control])</f>
        <v/>
      </c>
    </row>
    <row r="14">
      <c r="A14" t="inlineStr">
        <is>
          <t>CTC-0013</t>
        </is>
      </c>
      <c r="B14" t="inlineStr">
        <is>
          <t>SC PHANTOM LTD</t>
        </is>
      </c>
      <c r="C14" t="inlineStr">
        <is>
          <t>Adrian Pop</t>
        </is>
      </c>
      <c r="D14" s="14" t="inlineStr">
        <is>
          <t>2940104226759</t>
        </is>
      </c>
      <c r="E14" t="inlineStr">
        <is>
          <t>F</t>
        </is>
      </c>
      <c r="F14" t="inlineStr">
        <is>
          <t>Iași</t>
        </is>
      </c>
      <c r="G14" s="12" t="n">
        <v>34338</v>
      </c>
      <c r="H14">
        <f>IF(IF(OR(VALUE(LEFT([@CNP],1))=1,VALUE(LEFT([@CNP],1))=3,VALUE(LEFT([@CNP],1))=5,VALUE(LEFT([@CNP],1))=7),"M","F")&lt;&gt;[@Sex],"SEX CONTRADICTORIU","")</f>
        <v/>
      </c>
      <c r="I14">
        <f>IF(XLOOKUP(MID([@CNP],8,2),tbl_CodJudetCNP[cod],tbl_CodJudetCNP[judet],"?")&lt;&gt;[@Judet],"JUDET CONTRADICTORIU","")</f>
        <v/>
      </c>
      <c r="J14">
        <f>IF(DATE(IF(VALUE(LEFT([@CNP],1))&gt;=5,2000,1900)+VALUE(MID([@CNP],2,2)),VALUE(MID([@CNP],4,2)),VALUE(MID([@CNP],6,2)))&lt;&gt;[@Data_Nasterii],"DATA CONTRADICTORIE","")</f>
        <v/>
      </c>
      <c r="K14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14">
        <f>IF([@motiv_anomalie]="","OK","DE INVESTIGAT")</f>
        <v/>
      </c>
      <c r="M14">
        <f>TEXTJOIN("; ",TRUE,[@flag_sex],[@flag_judet],[@flag_data],[@flag_control])</f>
        <v/>
      </c>
    </row>
    <row r="15">
      <c r="A15" t="inlineStr">
        <is>
          <t>CTC-0014</t>
        </is>
      </c>
      <c r="B15" t="inlineStr">
        <is>
          <t>SC PROVITA MEDICAL SRL</t>
        </is>
      </c>
      <c r="C15" t="inlineStr">
        <is>
          <t>Laura Constantin</t>
        </is>
      </c>
      <c r="D15" s="14" t="inlineStr">
        <is>
          <t>1630526262111</t>
        </is>
      </c>
      <c r="E15" t="inlineStr">
        <is>
          <t>F</t>
        </is>
      </c>
      <c r="F15" t="inlineStr">
        <is>
          <t>Constanța</t>
        </is>
      </c>
      <c r="G15" s="12" t="n">
        <v>23157</v>
      </c>
      <c r="H15">
        <f>IF(IF(OR(VALUE(LEFT([@CNP],1))=1,VALUE(LEFT([@CNP],1))=3,VALUE(LEFT([@CNP],1))=5,VALUE(LEFT([@CNP],1))=7),"M","F")&lt;&gt;[@Sex],"SEX CONTRADICTORIU","")</f>
        <v/>
      </c>
      <c r="I15">
        <f>IF(XLOOKUP(MID([@CNP],8,2),tbl_CodJudetCNP[cod],tbl_CodJudetCNP[judet],"?")&lt;&gt;[@Judet],"JUDET CONTRADICTORIU","")</f>
        <v/>
      </c>
      <c r="J15">
        <f>IF(DATE(IF(VALUE(LEFT([@CNP],1))&gt;=5,2000,1900)+VALUE(MID([@CNP],2,2)),VALUE(MID([@CNP],4,2)),VALUE(MID([@CNP],6,2)))&lt;&gt;[@Data_Nasterii],"DATA CONTRADICTORIE","")</f>
        <v/>
      </c>
      <c r="K15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15">
        <f>IF([@motiv_anomalie]="","OK","DE INVESTIGAT")</f>
        <v/>
      </c>
      <c r="M15">
        <f>TEXTJOIN("; ",TRUE,[@flag_sex],[@flag_judet],[@flag_data],[@flag_control])</f>
        <v/>
      </c>
    </row>
    <row r="16">
      <c r="A16" t="inlineStr">
        <is>
          <t>CTC-0015</t>
        </is>
      </c>
      <c r="B16" t="inlineStr">
        <is>
          <t>SC RAPID LOGISTIC SA</t>
        </is>
      </c>
      <c r="C16" t="inlineStr">
        <is>
          <t>Bogdan Dinu</t>
        </is>
      </c>
      <c r="D16" s="14" t="inlineStr">
        <is>
          <t>1990803298271</t>
        </is>
      </c>
      <c r="E16" t="inlineStr">
        <is>
          <t>M</t>
        </is>
      </c>
      <c r="F16" t="inlineStr">
        <is>
          <t>Prahova</t>
        </is>
      </c>
      <c r="G16" s="12" t="n">
        <v>36375</v>
      </c>
      <c r="H16">
        <f>IF(IF(OR(VALUE(LEFT([@CNP],1))=1,VALUE(LEFT([@CNP],1))=3,VALUE(LEFT([@CNP],1))=5,VALUE(LEFT([@CNP],1))=7),"M","F")&lt;&gt;[@Sex],"SEX CONTRADICTORIU","")</f>
        <v/>
      </c>
      <c r="I16">
        <f>IF(XLOOKUP(MID([@CNP],8,2),tbl_CodJudetCNP[cod],tbl_CodJudetCNP[judet],"?")&lt;&gt;[@Judet],"JUDET CONTRADICTORIU","")</f>
        <v/>
      </c>
      <c r="J16">
        <f>IF(DATE(IF(VALUE(LEFT([@CNP],1))&gt;=5,2000,1900)+VALUE(MID([@CNP],2,2)),VALUE(MID([@CNP],4,2)),VALUE(MID([@CNP],6,2)))&lt;&gt;[@Data_Nasterii],"DATA CONTRADICTORIE","")</f>
        <v/>
      </c>
      <c r="K16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16">
        <f>IF([@motiv_anomalie]="","OK","DE INVESTIGAT")</f>
        <v/>
      </c>
      <c r="M16">
        <f>TEXTJOIN("; ",TRUE,[@flag_sex],[@flag_judet],[@flag_data],[@flag_control])</f>
        <v/>
      </c>
    </row>
    <row r="17">
      <c r="A17" t="inlineStr">
        <is>
          <t>CTC-0016</t>
        </is>
      </c>
      <c r="B17" t="inlineStr">
        <is>
          <t>SC SOLARIS ENERGY SRL</t>
        </is>
      </c>
      <c r="C17" t="inlineStr">
        <is>
          <t>Simona Lazar</t>
        </is>
      </c>
      <c r="D17" s="14" t="inlineStr">
        <is>
          <t>2871002295045</t>
        </is>
      </c>
      <c r="E17" t="inlineStr">
        <is>
          <t>F</t>
        </is>
      </c>
      <c r="F17" t="inlineStr">
        <is>
          <t>Prahova</t>
        </is>
      </c>
      <c r="G17" s="12" t="n">
        <v>32452</v>
      </c>
      <c r="H17">
        <f>IF(IF(OR(VALUE(LEFT([@CNP],1))=1,VALUE(LEFT([@CNP],1))=3,VALUE(LEFT([@CNP],1))=5,VALUE(LEFT([@CNP],1))=7),"M","F")&lt;&gt;[@Sex],"SEX CONTRADICTORIU","")</f>
        <v/>
      </c>
      <c r="I17">
        <f>IF(XLOOKUP(MID([@CNP],8,2),tbl_CodJudetCNP[cod],tbl_CodJudetCNP[judet],"?")&lt;&gt;[@Judet],"JUDET CONTRADICTORIU","")</f>
        <v/>
      </c>
      <c r="J17">
        <f>IF(DATE(IF(VALUE(LEFT([@CNP],1))&gt;=5,2000,1900)+VALUE(MID([@CNP],2,2)),VALUE(MID([@CNP],4,2)),VALUE(MID([@CNP],6,2)))&lt;&gt;[@Data_Nasterii],"DATA CONTRADICTORIE","")</f>
        <v/>
      </c>
      <c r="K17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17">
        <f>IF([@motiv_anomalie]="","OK","DE INVESTIGAT")</f>
        <v/>
      </c>
      <c r="M17">
        <f>TEXTJOIN("; ",TRUE,[@flag_sex],[@flag_judet],[@flag_data],[@flag_control])</f>
        <v/>
      </c>
    </row>
    <row r="18">
      <c r="A18" t="inlineStr">
        <is>
          <t>CTC-0017</t>
        </is>
      </c>
      <c r="B18" t="inlineStr">
        <is>
          <t>SC TEHNOPLUS SERVICE SRL</t>
        </is>
      </c>
      <c r="C18" t="inlineStr">
        <is>
          <t>Florin Matei</t>
        </is>
      </c>
      <c r="D18" s="14" t="inlineStr">
        <is>
          <t>1830706324259</t>
        </is>
      </c>
      <c r="E18" t="inlineStr">
        <is>
          <t>F</t>
        </is>
      </c>
      <c r="F18" t="inlineStr">
        <is>
          <t>Sibiu</t>
        </is>
      </c>
      <c r="G18" s="12" t="n">
        <v>30503</v>
      </c>
      <c r="H18">
        <f>IF(IF(OR(VALUE(LEFT([@CNP],1))=1,VALUE(LEFT([@CNP],1))=3,VALUE(LEFT([@CNP],1))=5,VALUE(LEFT([@CNP],1))=7),"M","F")&lt;&gt;[@Sex],"SEX CONTRADICTORIU","")</f>
        <v/>
      </c>
      <c r="I18">
        <f>IF(XLOOKUP(MID([@CNP],8,2),tbl_CodJudetCNP[cod],tbl_CodJudetCNP[judet],"?")&lt;&gt;[@Judet],"JUDET CONTRADICTORIU","")</f>
        <v/>
      </c>
      <c r="J18">
        <f>IF(DATE(IF(VALUE(LEFT([@CNP],1))&gt;=5,2000,1900)+VALUE(MID([@CNP],2,2)),VALUE(MID([@CNP],4,2)),VALUE(MID([@CNP],6,2)))&lt;&gt;[@Data_Nasterii],"DATA CONTRADICTORIE","")</f>
        <v/>
      </c>
      <c r="K18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18">
        <f>IF([@motiv_anomalie]="","OK","DE INVESTIGAT")</f>
        <v/>
      </c>
      <c r="M18">
        <f>TEXTJOIN("; ",TRUE,[@flag_sex],[@flag_judet],[@flag_data],[@flag_control])</f>
        <v/>
      </c>
    </row>
    <row r="19">
      <c r="A19" t="inlineStr">
        <is>
          <t>CTC-0018</t>
        </is>
      </c>
      <c r="B19" t="inlineStr">
        <is>
          <t>SC UNIFOOD DISTRIBUTION SA</t>
        </is>
      </c>
      <c r="C19" t="inlineStr">
        <is>
          <t>Roxana Voicu</t>
        </is>
      </c>
      <c r="D19" s="14" t="inlineStr">
        <is>
          <t>1950613322649</t>
        </is>
      </c>
      <c r="E19" t="inlineStr">
        <is>
          <t>M</t>
        </is>
      </c>
      <c r="F19" t="inlineStr">
        <is>
          <t>Brașov</t>
        </is>
      </c>
      <c r="G19" s="12" t="n">
        <v>34863</v>
      </c>
      <c r="H19">
        <f>IF(IF(OR(VALUE(LEFT([@CNP],1))=1,VALUE(LEFT([@CNP],1))=3,VALUE(LEFT([@CNP],1))=5,VALUE(LEFT([@CNP],1))=7),"M","F")&lt;&gt;[@Sex],"SEX CONTRADICTORIU","")</f>
        <v/>
      </c>
      <c r="I19">
        <f>IF(XLOOKUP(MID([@CNP],8,2),tbl_CodJudetCNP[cod],tbl_CodJudetCNP[judet],"?")&lt;&gt;[@Judet],"JUDET CONTRADICTORIU","")</f>
        <v/>
      </c>
      <c r="J19">
        <f>IF(DATE(IF(VALUE(LEFT([@CNP],1))&gt;=5,2000,1900)+VALUE(MID([@CNP],2,2)),VALUE(MID([@CNP],4,2)),VALUE(MID([@CNP],6,2)))&lt;&gt;[@Data_Nasterii],"DATA CONTRADICTORIE","")</f>
        <v/>
      </c>
      <c r="K19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19">
        <f>IF([@motiv_anomalie]="","OK","DE INVESTIGAT")</f>
        <v/>
      </c>
      <c r="M19">
        <f>TEXTJOIN("; ",TRUE,[@flag_sex],[@flag_judet],[@flag_data],[@flag_control])</f>
        <v/>
      </c>
    </row>
    <row r="20">
      <c r="A20" t="inlineStr">
        <is>
          <t>CTC-0019</t>
        </is>
      </c>
      <c r="B20" t="inlineStr">
        <is>
          <t>SC VECTOR CONSULT SRL</t>
        </is>
      </c>
      <c r="C20" t="inlineStr">
        <is>
          <t>Catalin Serban</t>
        </is>
      </c>
      <c r="D20" s="14" t="inlineStr">
        <is>
          <t>1690218351732</t>
        </is>
      </c>
      <c r="E20" t="inlineStr">
        <is>
          <t>M</t>
        </is>
      </c>
      <c r="F20" t="inlineStr">
        <is>
          <t>Timiș</t>
        </is>
      </c>
      <c r="G20" s="12" t="n">
        <v>25252</v>
      </c>
      <c r="H20">
        <f>IF(IF(OR(VALUE(LEFT([@CNP],1))=1,VALUE(LEFT([@CNP],1))=3,VALUE(LEFT([@CNP],1))=5,VALUE(LEFT([@CNP],1))=7),"M","F")&lt;&gt;[@Sex],"SEX CONTRADICTORIU","")</f>
        <v/>
      </c>
      <c r="I20">
        <f>IF(XLOOKUP(MID([@CNP],8,2),tbl_CodJudetCNP[cod],tbl_CodJudetCNP[judet],"?")&lt;&gt;[@Judet],"JUDET CONTRADICTORIU","")</f>
        <v/>
      </c>
      <c r="J20">
        <f>IF(DATE(IF(VALUE(LEFT([@CNP],1))&gt;=5,2000,1900)+VALUE(MID([@CNP],2,2)),VALUE(MID([@CNP],4,2)),VALUE(MID([@CNP],6,2)))&lt;&gt;[@Data_Nasterii],"DATA CONTRADICTORIE","")</f>
        <v/>
      </c>
      <c r="K20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20">
        <f>IF([@motiv_anomalie]="","OK","DE INVESTIGAT")</f>
        <v/>
      </c>
      <c r="M20">
        <f>TEXTJOIN("; ",TRUE,[@flag_sex],[@flag_judet],[@flag_data],[@flag_control])</f>
        <v/>
      </c>
    </row>
    <row r="21">
      <c r="A21" t="inlineStr">
        <is>
          <t>CTC-0020</t>
        </is>
      </c>
      <c r="B21" t="inlineStr">
        <is>
          <t>SC ZENITH AUTO SRL</t>
        </is>
      </c>
      <c r="C21" t="inlineStr">
        <is>
          <t>Gabriela Ene</t>
        </is>
      </c>
      <c r="D21" s="14" t="inlineStr">
        <is>
          <t>2710309407872</t>
        </is>
      </c>
      <c r="E21" t="inlineStr">
        <is>
          <t>F</t>
        </is>
      </c>
      <c r="F21" t="inlineStr">
        <is>
          <t>București</t>
        </is>
      </c>
      <c r="G21" s="12" t="n">
        <v>26001</v>
      </c>
      <c r="H21">
        <f>IF(IF(OR(VALUE(LEFT([@CNP],1))=1,VALUE(LEFT([@CNP],1))=3,VALUE(LEFT([@CNP],1))=5,VALUE(LEFT([@CNP],1))=7),"M","F")&lt;&gt;[@Sex],"SEX CONTRADICTORIU","")</f>
        <v/>
      </c>
      <c r="I21">
        <f>IF(XLOOKUP(MID([@CNP],8,2),tbl_CodJudetCNP[cod],tbl_CodJudetCNP[judet],"?")&lt;&gt;[@Judet],"JUDET CONTRADICTORIU","")</f>
        <v/>
      </c>
      <c r="J21">
        <f>IF(DATE(IF(VALUE(LEFT([@CNP],1))&gt;=5,2000,1900)+VALUE(MID([@CNP],2,2)),VALUE(MID([@CNP],4,2)),VALUE(MID([@CNP],6,2)))&lt;&gt;[@Data_Nasterii],"DATA CONTRADICTORIE","")</f>
        <v/>
      </c>
      <c r="K21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21">
        <f>IF([@motiv_anomalie]="","OK","DE INVESTIGAT")</f>
        <v/>
      </c>
      <c r="M21">
        <f>TEXTJOIN("; ",TRUE,[@flag_sex],[@flag_judet],[@flag_data],[@flag_control])</f>
        <v/>
      </c>
    </row>
    <row r="22">
      <c r="A22" t="inlineStr">
        <is>
          <t>CTC-0021</t>
        </is>
      </c>
      <c r="B22" t="inlineStr">
        <is>
          <t>SC AROMET TRADING SRL</t>
        </is>
      </c>
      <c r="C22" t="inlineStr">
        <is>
          <t>Andrei Popescu</t>
        </is>
      </c>
      <c r="D22" s="14" t="inlineStr">
        <is>
          <t>1710514016956</t>
        </is>
      </c>
      <c r="E22" t="inlineStr">
        <is>
          <t>M</t>
        </is>
      </c>
      <c r="F22" t="inlineStr">
        <is>
          <t>Alba</t>
        </is>
      </c>
      <c r="G22" s="12" t="n">
        <v>26467</v>
      </c>
      <c r="H22">
        <f>IF(IF(OR(VALUE(LEFT([@CNP],1))=1,VALUE(LEFT([@CNP],1))=3,VALUE(LEFT([@CNP],1))=5,VALUE(LEFT([@CNP],1))=7),"M","F")&lt;&gt;[@Sex],"SEX CONTRADICTORIU","")</f>
        <v/>
      </c>
      <c r="I22">
        <f>IF(XLOOKUP(MID([@CNP],8,2),tbl_CodJudetCNP[cod],tbl_CodJudetCNP[judet],"?")&lt;&gt;[@Judet],"JUDET CONTRADICTORIU","")</f>
        <v/>
      </c>
      <c r="J22">
        <f>IF(DATE(IF(VALUE(LEFT([@CNP],1))&gt;=5,2000,1900)+VALUE(MID([@CNP],2,2)),VALUE(MID([@CNP],4,2)),VALUE(MID([@CNP],6,2)))&lt;&gt;[@Data_Nasterii],"DATA CONTRADICTORIE","")</f>
        <v/>
      </c>
      <c r="K22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22">
        <f>IF([@motiv_anomalie]="","OK","DE INVESTIGAT")</f>
        <v/>
      </c>
      <c r="M22">
        <f>TEXTJOIN("; ",TRUE,[@flag_sex],[@flag_judet],[@flag_data],[@flag_control])</f>
        <v/>
      </c>
    </row>
    <row r="23">
      <c r="A23" t="inlineStr">
        <is>
          <t>CTC-0022</t>
        </is>
      </c>
      <c r="B23" t="inlineStr">
        <is>
          <t>SC DACTECH SOLUTIONS SRL</t>
        </is>
      </c>
      <c r="C23" t="inlineStr">
        <is>
          <t>Maria Ionescu</t>
        </is>
      </c>
      <c r="D23" s="14" t="inlineStr">
        <is>
          <t>1651011031864</t>
        </is>
      </c>
      <c r="E23" t="inlineStr">
        <is>
          <t>M</t>
        </is>
      </c>
      <c r="F23" t="inlineStr">
        <is>
          <t>Argeș</t>
        </is>
      </c>
      <c r="G23" s="12" t="n">
        <v>24026</v>
      </c>
      <c r="H23">
        <f>IF(IF(OR(VALUE(LEFT([@CNP],1))=1,VALUE(LEFT([@CNP],1))=3,VALUE(LEFT([@CNP],1))=5,VALUE(LEFT([@CNP],1))=7),"M","F")&lt;&gt;[@Sex],"SEX CONTRADICTORIU","")</f>
        <v/>
      </c>
      <c r="I23">
        <f>IF(XLOOKUP(MID([@CNP],8,2),tbl_CodJudetCNP[cod],tbl_CodJudetCNP[judet],"?")&lt;&gt;[@Judet],"JUDET CONTRADICTORIU","")</f>
        <v/>
      </c>
      <c r="J23">
        <f>IF(DATE(IF(VALUE(LEFT([@CNP],1))&gt;=5,2000,1900)+VALUE(MID([@CNP],2,2)),VALUE(MID([@CNP],4,2)),VALUE(MID([@CNP],6,2)))&lt;&gt;[@Data_Nasterii],"DATA CONTRADICTORIE","")</f>
        <v/>
      </c>
      <c r="K23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23">
        <f>IF([@motiv_anomalie]="","OK","DE INVESTIGAT")</f>
        <v/>
      </c>
      <c r="M23">
        <f>TEXTJOIN("; ",TRUE,[@flag_sex],[@flag_judet],[@flag_data],[@flag_control])</f>
        <v/>
      </c>
    </row>
    <row r="24">
      <c r="A24" t="inlineStr">
        <is>
          <t>CTC-0023</t>
        </is>
      </c>
      <c r="B24" t="inlineStr">
        <is>
          <t>SC ELECTROBUILD SRL</t>
        </is>
      </c>
      <c r="C24" t="inlineStr">
        <is>
          <t>Vlad Dumitrescu</t>
        </is>
      </c>
      <c r="D24" s="14" t="inlineStr">
        <is>
          <t>1650513041020</t>
        </is>
      </c>
      <c r="E24" t="inlineStr">
        <is>
          <t>M</t>
        </is>
      </c>
      <c r="F24" t="inlineStr">
        <is>
          <t>Bacău</t>
        </is>
      </c>
      <c r="G24" s="12" t="n">
        <v>23875</v>
      </c>
      <c r="H24">
        <f>IF(IF(OR(VALUE(LEFT([@CNP],1))=1,VALUE(LEFT([@CNP],1))=3,VALUE(LEFT([@CNP],1))=5,VALUE(LEFT([@CNP],1))=7),"M","F")&lt;&gt;[@Sex],"SEX CONTRADICTORIU","")</f>
        <v/>
      </c>
      <c r="I24">
        <f>IF(XLOOKUP(MID([@CNP],8,2),tbl_CodJudetCNP[cod],tbl_CodJudetCNP[judet],"?")&lt;&gt;[@Judet],"JUDET CONTRADICTORIU","")</f>
        <v/>
      </c>
      <c r="J24">
        <f>IF(DATE(IF(VALUE(LEFT([@CNP],1))&gt;=5,2000,1900)+VALUE(MID([@CNP],2,2)),VALUE(MID([@CNP],4,2)),VALUE(MID([@CNP],6,2)))&lt;&gt;[@Data_Nasterii],"DATA CONTRADICTORIE","")</f>
        <v/>
      </c>
      <c r="K24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24">
        <f>IF([@motiv_anomalie]="","OK","DE INVESTIGAT")</f>
        <v/>
      </c>
      <c r="M24">
        <f>TEXTJOIN("; ",TRUE,[@flag_sex],[@flag_judet],[@flag_data],[@flag_control])</f>
        <v/>
      </c>
    </row>
    <row r="25">
      <c r="A25" t="inlineStr">
        <is>
          <t>CTC-0024</t>
        </is>
      </c>
      <c r="B25" t="inlineStr">
        <is>
          <t>SC FARMAVITAL DISTRIBUTIE SA</t>
        </is>
      </c>
      <c r="C25" t="inlineStr">
        <is>
          <t>Elena Stan</t>
        </is>
      </c>
      <c r="D25" s="14" t="inlineStr">
        <is>
          <t>2710711052651</t>
        </is>
      </c>
      <c r="E25" t="inlineStr">
        <is>
          <t>F</t>
        </is>
      </c>
      <c r="F25" t="inlineStr">
        <is>
          <t>Bihor</t>
        </is>
      </c>
      <c r="G25" s="12" t="n">
        <v>26125</v>
      </c>
      <c r="H25">
        <f>IF(IF(OR(VALUE(LEFT([@CNP],1))=1,VALUE(LEFT([@CNP],1))=3,VALUE(LEFT([@CNP],1))=5,VALUE(LEFT([@CNP],1))=7),"M","F")&lt;&gt;[@Sex],"SEX CONTRADICTORIU","")</f>
        <v/>
      </c>
      <c r="I25">
        <f>IF(XLOOKUP(MID([@CNP],8,2),tbl_CodJudetCNP[cod],tbl_CodJudetCNP[judet],"?")&lt;&gt;[@Judet],"JUDET CONTRADICTORIU","")</f>
        <v/>
      </c>
      <c r="J25">
        <f>IF(DATE(IF(VALUE(LEFT([@CNP],1))&gt;=5,2000,1900)+VALUE(MID([@CNP],2,2)),VALUE(MID([@CNP],4,2)),VALUE(MID([@CNP],6,2)))&lt;&gt;[@Data_Nasterii],"DATA CONTRADICTORIE","")</f>
        <v/>
      </c>
      <c r="K25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25">
        <f>IF([@motiv_anomalie]="","OK","DE INVESTIGAT")</f>
        <v/>
      </c>
      <c r="M25">
        <f>TEXTJOIN("; ",TRUE,[@flag_sex],[@flag_judet],[@flag_data],[@flag_control])</f>
        <v/>
      </c>
    </row>
    <row r="26">
      <c r="A26" t="inlineStr">
        <is>
          <t>CTC-0025</t>
        </is>
      </c>
      <c r="B26" t="inlineStr">
        <is>
          <t>SC GHOST COMPANY SRL</t>
        </is>
      </c>
      <c r="C26" t="inlineStr">
        <is>
          <t>Mihai Radu</t>
        </is>
      </c>
      <c r="D26" s="14" t="inlineStr">
        <is>
          <t>2690107082465</t>
        </is>
      </c>
      <c r="E26" t="inlineStr">
        <is>
          <t>F</t>
        </is>
      </c>
      <c r="F26" t="inlineStr">
        <is>
          <t>Brașov</t>
        </is>
      </c>
      <c r="G26" s="12" t="n">
        <v>25210</v>
      </c>
      <c r="H26">
        <f>IF(IF(OR(VALUE(LEFT([@CNP],1))=1,VALUE(LEFT([@CNP],1))=3,VALUE(LEFT([@CNP],1))=5,VALUE(LEFT([@CNP],1))=7),"M","F")&lt;&gt;[@Sex],"SEX CONTRADICTORIU","")</f>
        <v/>
      </c>
      <c r="I26">
        <f>IF(XLOOKUP(MID([@CNP],8,2),tbl_CodJudetCNP[cod],tbl_CodJudetCNP[judet],"?")&lt;&gt;[@Judet],"JUDET CONTRADICTORIU","")</f>
        <v/>
      </c>
      <c r="J26">
        <f>IF(DATE(IF(VALUE(LEFT([@CNP],1))&gt;=5,2000,1900)+VALUE(MID([@CNP],2,2)),VALUE(MID([@CNP],4,2)),VALUE(MID([@CNP],6,2)))&lt;&gt;[@Data_Nasterii],"DATA CONTRADICTORIE","")</f>
        <v/>
      </c>
      <c r="K26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26">
        <f>IF([@motiv_anomalie]="","OK","DE INVESTIGAT")</f>
        <v/>
      </c>
      <c r="M26">
        <f>TEXTJOIN("; ",TRUE,[@flag_sex],[@flag_judet],[@flag_data],[@flag_control])</f>
        <v/>
      </c>
    </row>
    <row r="27">
      <c r="A27" t="inlineStr">
        <is>
          <t>CTC-0026</t>
        </is>
      </c>
      <c r="B27" t="inlineStr">
        <is>
          <t>SC INEXISTENT TRADING SRL</t>
        </is>
      </c>
      <c r="C27" t="inlineStr">
        <is>
          <t>Ana Gheorghe</t>
        </is>
      </c>
      <c r="D27" s="14" t="inlineStr">
        <is>
          <t>1930925085173</t>
        </is>
      </c>
      <c r="E27" t="inlineStr">
        <is>
          <t>M</t>
        </is>
      </c>
      <c r="F27" t="inlineStr">
        <is>
          <t>Brașov</t>
        </is>
      </c>
      <c r="G27" s="12" t="n">
        <v>34237</v>
      </c>
      <c r="H27">
        <f>IF(IF(OR(VALUE(LEFT([@CNP],1))=1,VALUE(LEFT([@CNP],1))=3,VALUE(LEFT([@CNP],1))=5,VALUE(LEFT([@CNP],1))=7),"M","F")&lt;&gt;[@Sex],"SEX CONTRADICTORIU","")</f>
        <v/>
      </c>
      <c r="I27">
        <f>IF(XLOOKUP(MID([@CNP],8,2),tbl_CodJudetCNP[cod],tbl_CodJudetCNP[judet],"?")&lt;&gt;[@Judet],"JUDET CONTRADICTORIU","")</f>
        <v/>
      </c>
      <c r="J27">
        <f>IF(DATE(IF(VALUE(LEFT([@CNP],1))&gt;=5,2000,1900)+VALUE(MID([@CNP],2,2)),VALUE(MID([@CNP],4,2)),VALUE(MID([@CNP],6,2)))&lt;&gt;[@Data_Nasterii],"DATA CONTRADICTORIE","")</f>
        <v/>
      </c>
      <c r="K27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27">
        <f>IF([@motiv_anomalie]="","OK","DE INVESTIGAT")</f>
        <v/>
      </c>
      <c r="M27">
        <f>TEXTJOIN("; ",TRUE,[@flag_sex],[@flag_judet],[@flag_data],[@flag_control])</f>
        <v/>
      </c>
    </row>
    <row r="28">
      <c r="A28" t="inlineStr">
        <is>
          <t>CTC-0027</t>
        </is>
      </c>
      <c r="B28" t="inlineStr">
        <is>
          <t>SC INTEGROMED SA</t>
        </is>
      </c>
      <c r="C28" t="inlineStr">
        <is>
          <t>Cristian Marin</t>
        </is>
      </c>
      <c r="D28" s="14" t="inlineStr">
        <is>
          <t>2690502123266</t>
        </is>
      </c>
      <c r="E28" t="inlineStr">
        <is>
          <t>F</t>
        </is>
      </c>
      <c r="F28" t="inlineStr">
        <is>
          <t>Bacău</t>
        </is>
      </c>
      <c r="G28" s="12" t="n">
        <v>25325</v>
      </c>
      <c r="H28">
        <f>IF(IF(OR(VALUE(LEFT([@CNP],1))=1,VALUE(LEFT([@CNP],1))=3,VALUE(LEFT([@CNP],1))=5,VALUE(LEFT([@CNP],1))=7),"M","F")&lt;&gt;[@Sex],"SEX CONTRADICTORIU","")</f>
        <v/>
      </c>
      <c r="I28">
        <f>IF(XLOOKUP(MID([@CNP],8,2),tbl_CodJudetCNP[cod],tbl_CodJudetCNP[judet],"?")&lt;&gt;[@Judet],"JUDET CONTRADICTORIU","")</f>
        <v/>
      </c>
      <c r="J28">
        <f>IF(DATE(IF(VALUE(LEFT([@CNP],1))&gt;=5,2000,1900)+VALUE(MID([@CNP],2,2)),VALUE(MID([@CNP],4,2)),VALUE(MID([@CNP],6,2)))&lt;&gt;[@Data_Nasterii],"DATA CONTRADICTORIE","")</f>
        <v/>
      </c>
      <c r="K28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28">
        <f>IF([@motiv_anomalie]="","OK","DE INVESTIGAT")</f>
        <v/>
      </c>
      <c r="M28">
        <f>TEXTJOIN("; ",TRUE,[@flag_sex],[@flag_judet],[@flag_data],[@flag_control])</f>
        <v/>
      </c>
    </row>
    <row r="29">
      <c r="A29" t="inlineStr">
        <is>
          <t>CTC-0028</t>
        </is>
      </c>
      <c r="B29" t="inlineStr">
        <is>
          <t>SC METALPLAST INVEST SA</t>
        </is>
      </c>
      <c r="C29" t="inlineStr">
        <is>
          <t>Ioana Tudor</t>
        </is>
      </c>
      <c r="D29" s="14" t="inlineStr">
        <is>
          <t>2970703124966</t>
        </is>
      </c>
      <c r="E29" t="inlineStr">
        <is>
          <t>F</t>
        </is>
      </c>
      <c r="F29" t="inlineStr">
        <is>
          <t>Cluj</t>
        </is>
      </c>
      <c r="G29" s="12" t="n">
        <v>35614</v>
      </c>
      <c r="H29">
        <f>IF(IF(OR(VALUE(LEFT([@CNP],1))=1,VALUE(LEFT([@CNP],1))=3,VALUE(LEFT([@CNP],1))=5,VALUE(LEFT([@CNP],1))=7),"M","F")&lt;&gt;[@Sex],"SEX CONTRADICTORIU","")</f>
        <v/>
      </c>
      <c r="I29">
        <f>IF(XLOOKUP(MID([@CNP],8,2),tbl_CodJudetCNP[cod],tbl_CodJudetCNP[judet],"?")&lt;&gt;[@Judet],"JUDET CONTRADICTORIU","")</f>
        <v/>
      </c>
      <c r="J29">
        <f>IF(DATE(IF(VALUE(LEFT([@CNP],1))&gt;=5,2000,1900)+VALUE(MID([@CNP],2,2)),VALUE(MID([@CNP],4,2)),VALUE(MID([@CNP],6,2)))&lt;&gt;[@Data_Nasterii],"DATA CONTRADICTORIE","")</f>
        <v/>
      </c>
      <c r="K29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29">
        <f>IF([@motiv_anomalie]="","OK","DE INVESTIGAT")</f>
        <v/>
      </c>
      <c r="M29">
        <f>TEXTJOIN("; ",TRUE,[@flag_sex],[@flag_judet],[@flag_data],[@flag_control])</f>
        <v/>
      </c>
    </row>
    <row r="30">
      <c r="A30" t="inlineStr">
        <is>
          <t>CTC-0029</t>
        </is>
      </c>
      <c r="B30" t="inlineStr">
        <is>
          <t>SC NOMINAL VOID SRL</t>
        </is>
      </c>
      <c r="C30" t="inlineStr">
        <is>
          <t>George Stoica</t>
        </is>
      </c>
      <c r="D30" s="14" t="inlineStr">
        <is>
          <t>1881108130204</t>
        </is>
      </c>
      <c r="E30" t="inlineStr">
        <is>
          <t>M</t>
        </is>
      </c>
      <c r="F30" t="inlineStr">
        <is>
          <t>Constanța</t>
        </is>
      </c>
      <c r="G30" s="12" t="n">
        <v>32455</v>
      </c>
      <c r="H30">
        <f>IF(IF(OR(VALUE(LEFT([@CNP],1))=1,VALUE(LEFT([@CNP],1))=3,VALUE(LEFT([@CNP],1))=5,VALUE(LEFT([@CNP],1))=7),"M","F")&lt;&gt;[@Sex],"SEX CONTRADICTORIU","")</f>
        <v/>
      </c>
      <c r="I30">
        <f>IF(XLOOKUP(MID([@CNP],8,2),tbl_CodJudetCNP[cod],tbl_CodJudetCNP[judet],"?")&lt;&gt;[@Judet],"JUDET CONTRADICTORIU","")</f>
        <v/>
      </c>
      <c r="J30">
        <f>IF(DATE(IF(VALUE(LEFT([@CNP],1))&gt;=5,2000,1900)+VALUE(MID([@CNP],2,2)),VALUE(MID([@CNP],4,2)),VALUE(MID([@CNP],6,2)))&lt;&gt;[@Data_Nasterii],"DATA CONTRADICTORIE","")</f>
        <v/>
      </c>
      <c r="K30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30">
        <f>IF([@motiv_anomalie]="","OK","DE INVESTIGAT")</f>
        <v/>
      </c>
      <c r="M30">
        <f>TEXTJOIN("; ",TRUE,[@flag_sex],[@flag_judet],[@flag_data],[@flag_control])</f>
        <v/>
      </c>
    </row>
    <row r="31">
      <c r="A31" t="inlineStr">
        <is>
          <t>CTC-0030</t>
        </is>
      </c>
      <c r="B31" t="inlineStr">
        <is>
          <t>SC NORDIS DISTRIBUTIE SRL</t>
        </is>
      </c>
      <c r="C31" t="inlineStr">
        <is>
          <t>Diana Florea</t>
        </is>
      </c>
      <c r="D31" s="14" t="inlineStr">
        <is>
          <t>2971022131047</t>
        </is>
      </c>
      <c r="E31" t="inlineStr">
        <is>
          <t>F</t>
        </is>
      </c>
      <c r="F31" t="inlineStr">
        <is>
          <t>Constanța</t>
        </is>
      </c>
      <c r="G31" s="12" t="n">
        <v>35725</v>
      </c>
      <c r="H31">
        <f>IF(IF(OR(VALUE(LEFT([@CNP],1))=1,VALUE(LEFT([@CNP],1))=3,VALUE(LEFT([@CNP],1))=5,VALUE(LEFT([@CNP],1))=7),"M","F")&lt;&gt;[@Sex],"SEX CONTRADICTORIU","")</f>
        <v/>
      </c>
      <c r="I31">
        <f>IF(XLOOKUP(MID([@CNP],8,2),tbl_CodJudetCNP[cod],tbl_CodJudetCNP[judet],"?")&lt;&gt;[@Judet],"JUDET CONTRADICTORIU","")</f>
        <v/>
      </c>
      <c r="J31">
        <f>IF(DATE(IF(VALUE(LEFT([@CNP],1))&gt;=5,2000,1900)+VALUE(MID([@CNP],2,2)),VALUE(MID([@CNP],4,2)),VALUE(MID([@CNP],6,2)))&lt;&gt;[@Data_Nasterii],"DATA CONTRADICTORIE","")</f>
        <v/>
      </c>
      <c r="K31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31">
        <f>IF([@motiv_anomalie]="","OK","DE INVESTIGAT")</f>
        <v/>
      </c>
      <c r="M31">
        <f>TEXTJOIN("; ",TRUE,[@flag_sex],[@flag_judet],[@flag_data],[@flag_control])</f>
        <v/>
      </c>
    </row>
    <row r="32">
      <c r="A32" t="inlineStr">
        <is>
          <t>CTC-0031</t>
        </is>
      </c>
      <c r="B32" t="inlineStr">
        <is>
          <t>SC OMEGA SOFT SRL</t>
        </is>
      </c>
      <c r="C32" t="inlineStr">
        <is>
          <t>Razvan Barbu</t>
        </is>
      </c>
      <c r="D32" s="14" t="inlineStr">
        <is>
          <t>1971126161295</t>
        </is>
      </c>
      <c r="E32" t="inlineStr">
        <is>
          <t>M</t>
        </is>
      </c>
      <c r="F32" t="inlineStr">
        <is>
          <t>Bacău</t>
        </is>
      </c>
      <c r="G32" s="12" t="n">
        <v>35760</v>
      </c>
      <c r="H32">
        <f>IF(IF(OR(VALUE(LEFT([@CNP],1))=1,VALUE(LEFT([@CNP],1))=3,VALUE(LEFT([@CNP],1))=5,VALUE(LEFT([@CNP],1))=7),"M","F")&lt;&gt;[@Sex],"SEX CONTRADICTORIU","")</f>
        <v/>
      </c>
      <c r="I32">
        <f>IF(XLOOKUP(MID([@CNP],8,2),tbl_CodJudetCNP[cod],tbl_CodJudetCNP[judet],"?")&lt;&gt;[@Judet],"JUDET CONTRADICTORIU","")</f>
        <v/>
      </c>
      <c r="J32">
        <f>IF(DATE(IF(VALUE(LEFT([@CNP],1))&gt;=5,2000,1900)+VALUE(MID([@CNP],2,2)),VALUE(MID([@CNP],4,2)),VALUE(MID([@CNP],6,2)))&lt;&gt;[@Data_Nasterii],"DATA CONTRADICTORIE","")</f>
        <v/>
      </c>
      <c r="K32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32">
        <f>IF([@motiv_anomalie]="","OK","DE INVESTIGAT")</f>
        <v/>
      </c>
      <c r="M32">
        <f>TEXTJOIN("; ",TRUE,[@flag_sex],[@flag_judet],[@flag_data],[@flag_control])</f>
        <v/>
      </c>
    </row>
    <row r="33">
      <c r="A33" t="inlineStr">
        <is>
          <t>CTC-0032</t>
        </is>
      </c>
      <c r="B33" t="inlineStr">
        <is>
          <t>SC ORPHAN RECORDS SRL</t>
        </is>
      </c>
      <c r="C33" t="inlineStr">
        <is>
          <t>Carmen Nistor</t>
        </is>
      </c>
      <c r="D33" s="14" t="inlineStr">
        <is>
          <t>2980715170867</t>
        </is>
      </c>
      <c r="E33" t="inlineStr">
        <is>
          <t>M</t>
        </is>
      </c>
      <c r="F33" t="inlineStr">
        <is>
          <t>Galați</t>
        </is>
      </c>
      <c r="G33" s="12" t="n">
        <v>35991</v>
      </c>
      <c r="H33">
        <f>IF(IF(OR(VALUE(LEFT([@CNP],1))=1,VALUE(LEFT([@CNP],1))=3,VALUE(LEFT([@CNP],1))=5,VALUE(LEFT([@CNP],1))=7),"M","F")&lt;&gt;[@Sex],"SEX CONTRADICTORIU","")</f>
        <v/>
      </c>
      <c r="I33">
        <f>IF(XLOOKUP(MID([@CNP],8,2),tbl_CodJudetCNP[cod],tbl_CodJudetCNP[judet],"?")&lt;&gt;[@Judet],"JUDET CONTRADICTORIU","")</f>
        <v/>
      </c>
      <c r="J33">
        <f>IF(DATE(IF(VALUE(LEFT([@CNP],1))&gt;=5,2000,1900)+VALUE(MID([@CNP],2,2)),VALUE(MID([@CNP],4,2)),VALUE(MID([@CNP],6,2)))&lt;&gt;[@Data_Nasterii],"DATA CONTRADICTORIE","")</f>
        <v/>
      </c>
      <c r="K33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33">
        <f>IF([@motiv_anomalie]="","OK","DE INVESTIGAT")</f>
        <v/>
      </c>
      <c r="M33">
        <f>TEXTJOIN("; ",TRUE,[@flag_sex],[@flag_judet],[@flag_data],[@flag_control])</f>
        <v/>
      </c>
    </row>
    <row r="34">
      <c r="A34" t="inlineStr">
        <is>
          <t>CTC-0033</t>
        </is>
      </c>
      <c r="B34" t="inlineStr">
        <is>
          <t>SC PHANTOM LTD</t>
        </is>
      </c>
      <c r="C34" t="inlineStr">
        <is>
          <t>Adrian Pop</t>
        </is>
      </c>
      <c r="D34" s="14" t="inlineStr">
        <is>
          <t>1710618221739</t>
        </is>
      </c>
      <c r="E34" t="inlineStr">
        <is>
          <t>M</t>
        </is>
      </c>
      <c r="F34" t="inlineStr">
        <is>
          <t>Iași</t>
        </is>
      </c>
      <c r="G34" s="12" t="n">
        <v>26502</v>
      </c>
      <c r="H34">
        <f>IF(IF(OR(VALUE(LEFT([@CNP],1))=1,VALUE(LEFT([@CNP],1))=3,VALUE(LEFT([@CNP],1))=5,VALUE(LEFT([@CNP],1))=7),"M","F")&lt;&gt;[@Sex],"SEX CONTRADICTORIU","")</f>
        <v/>
      </c>
      <c r="I34">
        <f>IF(XLOOKUP(MID([@CNP],8,2),tbl_CodJudetCNP[cod],tbl_CodJudetCNP[judet],"?")&lt;&gt;[@Judet],"JUDET CONTRADICTORIU","")</f>
        <v/>
      </c>
      <c r="J34">
        <f>IF(DATE(IF(VALUE(LEFT([@CNP],1))&gt;=5,2000,1900)+VALUE(MID([@CNP],2,2)),VALUE(MID([@CNP],4,2)),VALUE(MID([@CNP],6,2)))&lt;&gt;[@Data_Nasterii],"DATA CONTRADICTORIE","")</f>
        <v/>
      </c>
      <c r="K34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34">
        <f>IF([@motiv_anomalie]="","OK","DE INVESTIGAT")</f>
        <v/>
      </c>
      <c r="M34">
        <f>TEXTJOIN("; ",TRUE,[@flag_sex],[@flag_judet],[@flag_data],[@flag_control])</f>
        <v/>
      </c>
    </row>
    <row r="35">
      <c r="A35" t="inlineStr">
        <is>
          <t>CTC-0034</t>
        </is>
      </c>
      <c r="B35" t="inlineStr">
        <is>
          <t>SC PROVITA MEDICAL SRL</t>
        </is>
      </c>
      <c r="C35" t="inlineStr">
        <is>
          <t>Laura Constantin</t>
        </is>
      </c>
      <c r="D35" s="14" t="inlineStr">
        <is>
          <t>1960718264634</t>
        </is>
      </c>
      <c r="E35" t="inlineStr">
        <is>
          <t>M</t>
        </is>
      </c>
      <c r="F35" t="inlineStr">
        <is>
          <t>București</t>
        </is>
      </c>
      <c r="G35" s="12" t="n">
        <v>35264</v>
      </c>
      <c r="H35">
        <f>IF(IF(OR(VALUE(LEFT([@CNP],1))=1,VALUE(LEFT([@CNP],1))=3,VALUE(LEFT([@CNP],1))=5,VALUE(LEFT([@CNP],1))=7),"M","F")&lt;&gt;[@Sex],"SEX CONTRADICTORIU","")</f>
        <v/>
      </c>
      <c r="I35">
        <f>IF(XLOOKUP(MID([@CNP],8,2),tbl_CodJudetCNP[cod],tbl_CodJudetCNP[judet],"?")&lt;&gt;[@Judet],"JUDET CONTRADICTORIU","")</f>
        <v/>
      </c>
      <c r="J35">
        <f>IF(DATE(IF(VALUE(LEFT([@CNP],1))&gt;=5,2000,1900)+VALUE(MID([@CNP],2,2)),VALUE(MID([@CNP],4,2)),VALUE(MID([@CNP],6,2)))&lt;&gt;[@Data_Nasterii],"DATA CONTRADICTORIE","")</f>
        <v/>
      </c>
      <c r="K35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35">
        <f>IF([@motiv_anomalie]="","OK","DE INVESTIGAT")</f>
        <v/>
      </c>
      <c r="M35">
        <f>TEXTJOIN("; ",TRUE,[@flag_sex],[@flag_judet],[@flag_data],[@flag_control])</f>
        <v/>
      </c>
    </row>
    <row r="36">
      <c r="A36" t="inlineStr">
        <is>
          <t>CTC-0035</t>
        </is>
      </c>
      <c r="B36" t="inlineStr">
        <is>
          <t>SC RAPID LOGISTIC SA</t>
        </is>
      </c>
      <c r="C36" t="inlineStr">
        <is>
          <t>Bogdan Dinu</t>
        </is>
      </c>
      <c r="D36" s="14" t="inlineStr">
        <is>
          <t>1620827296362</t>
        </is>
      </c>
      <c r="E36" t="inlineStr">
        <is>
          <t>M</t>
        </is>
      </c>
      <c r="F36" t="inlineStr">
        <is>
          <t>Prahova</t>
        </is>
      </c>
      <c r="G36" s="12" t="n">
        <v>22885</v>
      </c>
      <c r="H36">
        <f>IF(IF(OR(VALUE(LEFT([@CNP],1))=1,VALUE(LEFT([@CNP],1))=3,VALUE(LEFT([@CNP],1))=5,VALUE(LEFT([@CNP],1))=7),"M","F")&lt;&gt;[@Sex],"SEX CONTRADICTORIU","")</f>
        <v/>
      </c>
      <c r="I36">
        <f>IF(XLOOKUP(MID([@CNP],8,2),tbl_CodJudetCNP[cod],tbl_CodJudetCNP[judet],"?")&lt;&gt;[@Judet],"JUDET CONTRADICTORIU","")</f>
        <v/>
      </c>
      <c r="J36">
        <f>IF(DATE(IF(VALUE(LEFT([@CNP],1))&gt;=5,2000,1900)+VALUE(MID([@CNP],2,2)),VALUE(MID([@CNP],4,2)),VALUE(MID([@CNP],6,2)))&lt;&gt;[@Data_Nasterii],"DATA CONTRADICTORIE","")</f>
        <v/>
      </c>
      <c r="K36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36">
        <f>IF([@motiv_anomalie]="","OK","DE INVESTIGAT")</f>
        <v/>
      </c>
      <c r="M36">
        <f>TEXTJOIN("; ",TRUE,[@flag_sex],[@flag_judet],[@flag_data],[@flag_control])</f>
        <v/>
      </c>
    </row>
    <row r="37">
      <c r="A37" t="inlineStr">
        <is>
          <t>CTC-0036</t>
        </is>
      </c>
      <c r="B37" t="inlineStr">
        <is>
          <t>SC SOLARIS ENERGY SRL</t>
        </is>
      </c>
      <c r="C37" t="inlineStr">
        <is>
          <t>Simona Lazar</t>
        </is>
      </c>
      <c r="D37" s="14" t="inlineStr">
        <is>
          <t>2720102294946</t>
        </is>
      </c>
      <c r="E37" t="inlineStr">
        <is>
          <t>F</t>
        </is>
      </c>
      <c r="F37" t="inlineStr">
        <is>
          <t>Prahova</t>
        </is>
      </c>
      <c r="G37" s="12" t="n">
        <v>26700</v>
      </c>
      <c r="H37">
        <f>IF(IF(OR(VALUE(LEFT([@CNP],1))=1,VALUE(LEFT([@CNP],1))=3,VALUE(LEFT([@CNP],1))=5,VALUE(LEFT([@CNP],1))=7),"M","F")&lt;&gt;[@Sex],"SEX CONTRADICTORIU","")</f>
        <v/>
      </c>
      <c r="I37">
        <f>IF(XLOOKUP(MID([@CNP],8,2),tbl_CodJudetCNP[cod],tbl_CodJudetCNP[judet],"?")&lt;&gt;[@Judet],"JUDET CONTRADICTORIU","")</f>
        <v/>
      </c>
      <c r="J37">
        <f>IF(DATE(IF(VALUE(LEFT([@CNP],1))&gt;=5,2000,1900)+VALUE(MID([@CNP],2,2)),VALUE(MID([@CNP],4,2)),VALUE(MID([@CNP],6,2)))&lt;&gt;[@Data_Nasterii],"DATA CONTRADICTORIE","")</f>
        <v/>
      </c>
      <c r="K37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37">
        <f>IF([@motiv_anomalie]="","OK","DE INVESTIGAT")</f>
        <v/>
      </c>
      <c r="M37">
        <f>TEXTJOIN("; ",TRUE,[@flag_sex],[@flag_judet],[@flag_data],[@flag_control])</f>
        <v/>
      </c>
    </row>
    <row r="38">
      <c r="A38" t="inlineStr">
        <is>
          <t>CTC-0037</t>
        </is>
      </c>
      <c r="B38" t="inlineStr">
        <is>
          <t>SC TEHNOPLUS SERVICE SRL</t>
        </is>
      </c>
      <c r="C38" t="inlineStr">
        <is>
          <t>Florin Matei</t>
        </is>
      </c>
      <c r="D38" s="14" t="inlineStr">
        <is>
          <t>6000527326973</t>
        </is>
      </c>
      <c r="E38" t="inlineStr">
        <is>
          <t>F</t>
        </is>
      </c>
      <c r="F38" t="inlineStr">
        <is>
          <t>Sibiu</t>
        </is>
      </c>
      <c r="G38" s="12" t="n">
        <v>37073</v>
      </c>
      <c r="H38">
        <f>IF(IF(OR(VALUE(LEFT([@CNP],1))=1,VALUE(LEFT([@CNP],1))=3,VALUE(LEFT([@CNP],1))=5,VALUE(LEFT([@CNP],1))=7),"M","F")&lt;&gt;[@Sex],"SEX CONTRADICTORIU","")</f>
        <v/>
      </c>
      <c r="I38">
        <f>IF(XLOOKUP(MID([@CNP],8,2),tbl_CodJudetCNP[cod],tbl_CodJudetCNP[judet],"?")&lt;&gt;[@Judet],"JUDET CONTRADICTORIU","")</f>
        <v/>
      </c>
      <c r="J38">
        <f>IF(DATE(IF(VALUE(LEFT([@CNP],1))&gt;=5,2000,1900)+VALUE(MID([@CNP],2,2)),VALUE(MID([@CNP],4,2)),VALUE(MID([@CNP],6,2)))&lt;&gt;[@Data_Nasterii],"DATA CONTRADICTORIE","")</f>
        <v/>
      </c>
      <c r="K38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38">
        <f>IF([@motiv_anomalie]="","OK","DE INVESTIGAT")</f>
        <v/>
      </c>
      <c r="M38">
        <f>TEXTJOIN("; ",TRUE,[@flag_sex],[@flag_judet],[@flag_data],[@flag_control])</f>
        <v/>
      </c>
    </row>
    <row r="39">
      <c r="A39" t="inlineStr">
        <is>
          <t>CTC-0038</t>
        </is>
      </c>
      <c r="B39" t="inlineStr">
        <is>
          <t>SC UNIFOOD DISTRIBUTION SA</t>
        </is>
      </c>
      <c r="C39" t="inlineStr">
        <is>
          <t>Roxana Voicu</t>
        </is>
      </c>
      <c r="D39" s="14" t="inlineStr">
        <is>
          <t>2841107326001</t>
        </is>
      </c>
      <c r="E39" t="inlineStr">
        <is>
          <t>F</t>
        </is>
      </c>
      <c r="F39" t="inlineStr">
        <is>
          <t>Sibiu</t>
        </is>
      </c>
      <c r="G39" s="12" t="n">
        <v>30993</v>
      </c>
      <c r="H39">
        <f>IF(IF(OR(VALUE(LEFT([@CNP],1))=1,VALUE(LEFT([@CNP],1))=3,VALUE(LEFT([@CNP],1))=5,VALUE(LEFT([@CNP],1))=7),"M","F")&lt;&gt;[@Sex],"SEX CONTRADICTORIU","")</f>
        <v/>
      </c>
      <c r="I39">
        <f>IF(XLOOKUP(MID([@CNP],8,2),tbl_CodJudetCNP[cod],tbl_CodJudetCNP[judet],"?")&lt;&gt;[@Judet],"JUDET CONTRADICTORIU","")</f>
        <v/>
      </c>
      <c r="J39">
        <f>IF(DATE(IF(VALUE(LEFT([@CNP],1))&gt;=5,2000,1900)+VALUE(MID([@CNP],2,2)),VALUE(MID([@CNP],4,2)),VALUE(MID([@CNP],6,2)))&lt;&gt;[@Data_Nasterii],"DATA CONTRADICTORIE","")</f>
        <v/>
      </c>
      <c r="K39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39">
        <f>IF([@motiv_anomalie]="","OK","DE INVESTIGAT")</f>
        <v/>
      </c>
      <c r="M39">
        <f>TEXTJOIN("; ",TRUE,[@flag_sex],[@flag_judet],[@flag_data],[@flag_control])</f>
        <v/>
      </c>
    </row>
    <row r="40">
      <c r="A40" t="inlineStr">
        <is>
          <t>CTC-0039</t>
        </is>
      </c>
      <c r="B40" t="inlineStr">
        <is>
          <t>SC VECTOR CONSULT SRL</t>
        </is>
      </c>
      <c r="C40" t="inlineStr">
        <is>
          <t>Catalin Serban</t>
        </is>
      </c>
      <c r="D40" s="14" t="inlineStr">
        <is>
          <t>2640324355471</t>
        </is>
      </c>
      <c r="E40" t="inlineStr">
        <is>
          <t>F</t>
        </is>
      </c>
      <c r="F40" t="inlineStr">
        <is>
          <t>Timiș</t>
        </is>
      </c>
      <c r="G40" s="12" t="n">
        <v>23460</v>
      </c>
      <c r="H40">
        <f>IF(IF(OR(VALUE(LEFT([@CNP],1))=1,VALUE(LEFT([@CNP],1))=3,VALUE(LEFT([@CNP],1))=5,VALUE(LEFT([@CNP],1))=7),"M","F")&lt;&gt;[@Sex],"SEX CONTRADICTORIU","")</f>
        <v/>
      </c>
      <c r="I40">
        <f>IF(XLOOKUP(MID([@CNP],8,2),tbl_CodJudetCNP[cod],tbl_CodJudetCNP[judet],"?")&lt;&gt;[@Judet],"JUDET CONTRADICTORIU","")</f>
        <v/>
      </c>
      <c r="J40">
        <f>IF(DATE(IF(VALUE(LEFT([@CNP],1))&gt;=5,2000,1900)+VALUE(MID([@CNP],2,2)),VALUE(MID([@CNP],4,2)),VALUE(MID([@CNP],6,2)))&lt;&gt;[@Data_Nasterii],"DATA CONTRADICTORIE","")</f>
        <v/>
      </c>
      <c r="K40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40">
        <f>IF([@motiv_anomalie]="","OK","DE INVESTIGAT")</f>
        <v/>
      </c>
      <c r="M40">
        <f>TEXTJOIN("; ",TRUE,[@flag_sex],[@flag_judet],[@flag_data],[@flag_control])</f>
        <v/>
      </c>
    </row>
    <row r="41">
      <c r="A41" t="inlineStr">
        <is>
          <t>CTC-0040</t>
        </is>
      </c>
      <c r="B41" t="inlineStr">
        <is>
          <t>SC ZENITH AUTO SRL</t>
        </is>
      </c>
      <c r="C41" t="inlineStr">
        <is>
          <t>Gabriela Ene</t>
        </is>
      </c>
      <c r="D41" s="14" t="inlineStr">
        <is>
          <t>1810213407169</t>
        </is>
      </c>
      <c r="E41" t="inlineStr">
        <is>
          <t>M</t>
        </is>
      </c>
      <c r="F41" t="inlineStr">
        <is>
          <t>București</t>
        </is>
      </c>
      <c r="G41" s="12" t="n">
        <v>29630</v>
      </c>
      <c r="H41">
        <f>IF(IF(OR(VALUE(LEFT([@CNP],1))=1,VALUE(LEFT([@CNP],1))=3,VALUE(LEFT([@CNP],1))=5,VALUE(LEFT([@CNP],1))=7),"M","F")&lt;&gt;[@Sex],"SEX CONTRADICTORIU","")</f>
        <v/>
      </c>
      <c r="I41">
        <f>IF(XLOOKUP(MID([@CNP],8,2),tbl_CodJudetCNP[cod],tbl_CodJudetCNP[judet],"?")&lt;&gt;[@Judet],"JUDET CONTRADICTORIU","")</f>
        <v/>
      </c>
      <c r="J41">
        <f>IF(DATE(IF(VALUE(LEFT([@CNP],1))&gt;=5,2000,1900)+VALUE(MID([@CNP],2,2)),VALUE(MID([@CNP],4,2)),VALUE(MID([@CNP],6,2)))&lt;&gt;[@Data_Nasterii],"DATA CONTRADICTORIE","")</f>
        <v/>
      </c>
      <c r="K41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41">
        <f>IF([@motiv_anomalie]="","OK","DE INVESTIGAT")</f>
        <v/>
      </c>
      <c r="M41">
        <f>TEXTJOIN("; ",TRUE,[@flag_sex],[@flag_judet],[@flag_data],[@flag_control])</f>
        <v/>
      </c>
    </row>
    <row r="42">
      <c r="A42" t="inlineStr">
        <is>
          <t>CTC-0041</t>
        </is>
      </c>
      <c r="B42" t="inlineStr">
        <is>
          <t>SC AROMET TRADING SRL</t>
        </is>
      </c>
      <c r="C42" t="inlineStr">
        <is>
          <t>Andrei Popescu</t>
        </is>
      </c>
      <c r="D42" s="14" t="inlineStr">
        <is>
          <t>1701218012871</t>
        </is>
      </c>
      <c r="E42" t="inlineStr">
        <is>
          <t>M</t>
        </is>
      </c>
      <c r="F42" t="inlineStr">
        <is>
          <t>Alba</t>
        </is>
      </c>
      <c r="G42" s="12" t="n">
        <v>25920</v>
      </c>
      <c r="H42">
        <f>IF(IF(OR(VALUE(LEFT([@CNP],1))=1,VALUE(LEFT([@CNP],1))=3,VALUE(LEFT([@CNP],1))=5,VALUE(LEFT([@CNP],1))=7),"M","F")&lt;&gt;[@Sex],"SEX CONTRADICTORIU","")</f>
        <v/>
      </c>
      <c r="I42">
        <f>IF(XLOOKUP(MID([@CNP],8,2),tbl_CodJudetCNP[cod],tbl_CodJudetCNP[judet],"?")&lt;&gt;[@Judet],"JUDET CONTRADICTORIU","")</f>
        <v/>
      </c>
      <c r="J42">
        <f>IF(DATE(IF(VALUE(LEFT([@CNP],1))&gt;=5,2000,1900)+VALUE(MID([@CNP],2,2)),VALUE(MID([@CNP],4,2)),VALUE(MID([@CNP],6,2)))&lt;&gt;[@Data_Nasterii],"DATA CONTRADICTORIE","")</f>
        <v/>
      </c>
      <c r="K42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42">
        <f>IF([@motiv_anomalie]="","OK","DE INVESTIGAT")</f>
        <v/>
      </c>
      <c r="M42">
        <f>TEXTJOIN("; ",TRUE,[@flag_sex],[@flag_judet],[@flag_data],[@flag_control])</f>
        <v/>
      </c>
    </row>
    <row r="43">
      <c r="A43" t="inlineStr">
        <is>
          <t>CTC-0042</t>
        </is>
      </c>
      <c r="B43" t="inlineStr">
        <is>
          <t>SC DACTECH SOLUTIONS SRL</t>
        </is>
      </c>
      <c r="C43" t="inlineStr">
        <is>
          <t>Maria Ionescu</t>
        </is>
      </c>
      <c r="D43" s="14" t="inlineStr">
        <is>
          <t>2751017038220</t>
        </is>
      </c>
      <c r="E43" t="inlineStr">
        <is>
          <t>F</t>
        </is>
      </c>
      <c r="F43" t="inlineStr">
        <is>
          <t>Argeș</t>
        </is>
      </c>
      <c r="G43" s="12" t="n">
        <v>27684</v>
      </c>
      <c r="H43">
        <f>IF(IF(OR(VALUE(LEFT([@CNP],1))=1,VALUE(LEFT([@CNP],1))=3,VALUE(LEFT([@CNP],1))=5,VALUE(LEFT([@CNP],1))=7),"M","F")&lt;&gt;[@Sex],"SEX CONTRADICTORIU","")</f>
        <v/>
      </c>
      <c r="I43">
        <f>IF(XLOOKUP(MID([@CNP],8,2),tbl_CodJudetCNP[cod],tbl_CodJudetCNP[judet],"?")&lt;&gt;[@Judet],"JUDET CONTRADICTORIU","")</f>
        <v/>
      </c>
      <c r="J43">
        <f>IF(DATE(IF(VALUE(LEFT([@CNP],1))&gt;=5,2000,1900)+VALUE(MID([@CNP],2,2)),VALUE(MID([@CNP],4,2)),VALUE(MID([@CNP],6,2)))&lt;&gt;[@Data_Nasterii],"DATA CONTRADICTORIE","")</f>
        <v/>
      </c>
      <c r="K43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43">
        <f>IF([@motiv_anomalie]="","OK","DE INVESTIGAT")</f>
        <v/>
      </c>
      <c r="M43">
        <f>TEXTJOIN("; ",TRUE,[@flag_sex],[@flag_judet],[@flag_data],[@flag_control])</f>
        <v/>
      </c>
    </row>
    <row r="44">
      <c r="A44" t="inlineStr">
        <is>
          <t>CTC-0043</t>
        </is>
      </c>
      <c r="B44" t="inlineStr">
        <is>
          <t>SC ELECTROBUILD SRL</t>
        </is>
      </c>
      <c r="C44" t="inlineStr">
        <is>
          <t>Vlad Dumitrescu</t>
        </is>
      </c>
      <c r="D44" s="14" t="inlineStr">
        <is>
          <t>2831109047713</t>
        </is>
      </c>
      <c r="E44" t="inlineStr">
        <is>
          <t>F</t>
        </is>
      </c>
      <c r="F44" t="inlineStr">
        <is>
          <t>Bacău</t>
        </is>
      </c>
      <c r="G44" s="12" t="n">
        <v>30629</v>
      </c>
      <c r="H44">
        <f>IF(IF(OR(VALUE(LEFT([@CNP],1))=1,VALUE(LEFT([@CNP],1))=3,VALUE(LEFT([@CNP],1))=5,VALUE(LEFT([@CNP],1))=7),"M","F")&lt;&gt;[@Sex],"SEX CONTRADICTORIU","")</f>
        <v/>
      </c>
      <c r="I44">
        <f>IF(XLOOKUP(MID([@CNP],8,2),tbl_CodJudetCNP[cod],tbl_CodJudetCNP[judet],"?")&lt;&gt;[@Judet],"JUDET CONTRADICTORIU","")</f>
        <v/>
      </c>
      <c r="J44">
        <f>IF(DATE(IF(VALUE(LEFT([@CNP],1))&gt;=5,2000,1900)+VALUE(MID([@CNP],2,2)),VALUE(MID([@CNP],4,2)),VALUE(MID([@CNP],6,2)))&lt;&gt;[@Data_Nasterii],"DATA CONTRADICTORIE","")</f>
        <v/>
      </c>
      <c r="K44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44">
        <f>IF([@motiv_anomalie]="","OK","DE INVESTIGAT")</f>
        <v/>
      </c>
      <c r="M44">
        <f>TEXTJOIN("; ",TRUE,[@flag_sex],[@flag_judet],[@flag_data],[@flag_control])</f>
        <v/>
      </c>
    </row>
    <row r="45">
      <c r="A45" t="inlineStr">
        <is>
          <t>CTC-0044</t>
        </is>
      </c>
      <c r="B45" t="inlineStr">
        <is>
          <t>SC FARMAVITAL DISTRIBUTIE SA</t>
        </is>
      </c>
      <c r="C45" t="inlineStr">
        <is>
          <t>Elena Stan</t>
        </is>
      </c>
      <c r="D45" s="14" t="inlineStr">
        <is>
          <t>2790422053304</t>
        </is>
      </c>
      <c r="E45" t="inlineStr">
        <is>
          <t>F</t>
        </is>
      </c>
      <c r="F45" t="inlineStr">
        <is>
          <t>Bihor</t>
        </is>
      </c>
      <c r="G45" s="12" t="n">
        <v>28967</v>
      </c>
      <c r="H45">
        <f>IF(IF(OR(VALUE(LEFT([@CNP],1))=1,VALUE(LEFT([@CNP],1))=3,VALUE(LEFT([@CNP],1))=5,VALUE(LEFT([@CNP],1))=7),"M","F")&lt;&gt;[@Sex],"SEX CONTRADICTORIU","")</f>
        <v/>
      </c>
      <c r="I45">
        <f>IF(XLOOKUP(MID([@CNP],8,2),tbl_CodJudetCNP[cod],tbl_CodJudetCNP[judet],"?")&lt;&gt;[@Judet],"JUDET CONTRADICTORIU","")</f>
        <v/>
      </c>
      <c r="J45">
        <f>IF(DATE(IF(VALUE(LEFT([@CNP],1))&gt;=5,2000,1900)+VALUE(MID([@CNP],2,2)),VALUE(MID([@CNP],4,2)),VALUE(MID([@CNP],6,2)))&lt;&gt;[@Data_Nasterii],"DATA CONTRADICTORIE","")</f>
        <v/>
      </c>
      <c r="K45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45">
        <f>IF([@motiv_anomalie]="","OK","DE INVESTIGAT")</f>
        <v/>
      </c>
      <c r="M45">
        <f>TEXTJOIN("; ",TRUE,[@flag_sex],[@flag_judet],[@flag_data],[@flag_control])</f>
        <v/>
      </c>
    </row>
    <row r="46">
      <c r="A46" t="inlineStr">
        <is>
          <t>CTC-0045</t>
        </is>
      </c>
      <c r="B46" t="inlineStr">
        <is>
          <t>SC GHOST COMPANY SRL</t>
        </is>
      </c>
      <c r="C46" t="inlineStr">
        <is>
          <t>Mihai Radu</t>
        </is>
      </c>
      <c r="D46" s="14" t="inlineStr">
        <is>
          <t>2750820083371</t>
        </is>
      </c>
      <c r="E46" t="inlineStr">
        <is>
          <t>F</t>
        </is>
      </c>
      <c r="F46" t="inlineStr">
        <is>
          <t>Brașov</t>
        </is>
      </c>
      <c r="G46" s="12" t="n">
        <v>27626</v>
      </c>
      <c r="H46">
        <f>IF(IF(OR(VALUE(LEFT([@CNP],1))=1,VALUE(LEFT([@CNP],1))=3,VALUE(LEFT([@CNP],1))=5,VALUE(LEFT([@CNP],1))=7),"M","F")&lt;&gt;[@Sex],"SEX CONTRADICTORIU","")</f>
        <v/>
      </c>
      <c r="I46">
        <f>IF(XLOOKUP(MID([@CNP],8,2),tbl_CodJudetCNP[cod],tbl_CodJudetCNP[judet],"?")&lt;&gt;[@Judet],"JUDET CONTRADICTORIU","")</f>
        <v/>
      </c>
      <c r="J46">
        <f>IF(DATE(IF(VALUE(LEFT([@CNP],1))&gt;=5,2000,1900)+VALUE(MID([@CNP],2,2)),VALUE(MID([@CNP],4,2)),VALUE(MID([@CNP],6,2)))&lt;&gt;[@Data_Nasterii],"DATA CONTRADICTORIE","")</f>
        <v/>
      </c>
      <c r="K46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46">
        <f>IF([@motiv_anomalie]="","OK","DE INVESTIGAT")</f>
        <v/>
      </c>
      <c r="M46">
        <f>TEXTJOIN("; ",TRUE,[@flag_sex],[@flag_judet],[@flag_data],[@flag_control])</f>
        <v/>
      </c>
    </row>
    <row r="47">
      <c r="A47" t="inlineStr">
        <is>
          <t>CTC-0046</t>
        </is>
      </c>
      <c r="B47" t="inlineStr">
        <is>
          <t>SC INEXISTENT TRADING SRL</t>
        </is>
      </c>
      <c r="C47" t="inlineStr">
        <is>
          <t>Ana Gheorghe</t>
        </is>
      </c>
      <c r="D47" s="14" t="inlineStr">
        <is>
          <t>1701101086249</t>
        </is>
      </c>
      <c r="E47" t="inlineStr">
        <is>
          <t>M</t>
        </is>
      </c>
      <c r="F47" t="inlineStr">
        <is>
          <t>Brașov</t>
        </is>
      </c>
      <c r="G47" s="12" t="n">
        <v>25873</v>
      </c>
      <c r="H47">
        <f>IF(IF(OR(VALUE(LEFT([@CNP],1))=1,VALUE(LEFT([@CNP],1))=3,VALUE(LEFT([@CNP],1))=5,VALUE(LEFT([@CNP],1))=7),"M","F")&lt;&gt;[@Sex],"SEX CONTRADICTORIU","")</f>
        <v/>
      </c>
      <c r="I47">
        <f>IF(XLOOKUP(MID([@CNP],8,2),tbl_CodJudetCNP[cod],tbl_CodJudetCNP[judet],"?")&lt;&gt;[@Judet],"JUDET CONTRADICTORIU","")</f>
        <v/>
      </c>
      <c r="J47">
        <f>IF(DATE(IF(VALUE(LEFT([@CNP],1))&gt;=5,2000,1900)+VALUE(MID([@CNP],2,2)),VALUE(MID([@CNP],4,2)),VALUE(MID([@CNP],6,2)))&lt;&gt;[@Data_Nasterii],"DATA CONTRADICTORIE","")</f>
        <v/>
      </c>
      <c r="K47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47">
        <f>IF([@motiv_anomalie]="","OK","DE INVESTIGAT")</f>
        <v/>
      </c>
      <c r="M47">
        <f>TEXTJOIN("; ",TRUE,[@flag_sex],[@flag_judet],[@flag_data],[@flag_control])</f>
        <v/>
      </c>
    </row>
    <row r="48">
      <c r="A48" t="inlineStr">
        <is>
          <t>CTC-0047</t>
        </is>
      </c>
      <c r="B48" t="inlineStr">
        <is>
          <t>SC INTEGROMED SA</t>
        </is>
      </c>
      <c r="C48" t="inlineStr">
        <is>
          <t>Cristian Marin</t>
        </is>
      </c>
      <c r="D48" s="14" t="inlineStr">
        <is>
          <t>2620122121781</t>
        </is>
      </c>
      <c r="E48" t="inlineStr">
        <is>
          <t>F</t>
        </is>
      </c>
      <c r="F48" t="inlineStr">
        <is>
          <t>Cluj</t>
        </is>
      </c>
      <c r="G48" s="12" t="n">
        <v>22668</v>
      </c>
      <c r="H48">
        <f>IF(IF(OR(VALUE(LEFT([@CNP],1))=1,VALUE(LEFT([@CNP],1))=3,VALUE(LEFT([@CNP],1))=5,VALUE(LEFT([@CNP],1))=7),"M","F")&lt;&gt;[@Sex],"SEX CONTRADICTORIU","")</f>
        <v/>
      </c>
      <c r="I48">
        <f>IF(XLOOKUP(MID([@CNP],8,2),tbl_CodJudetCNP[cod],tbl_CodJudetCNP[judet],"?")&lt;&gt;[@Judet],"JUDET CONTRADICTORIU","")</f>
        <v/>
      </c>
      <c r="J48">
        <f>IF(DATE(IF(VALUE(LEFT([@CNP],1))&gt;=5,2000,1900)+VALUE(MID([@CNP],2,2)),VALUE(MID([@CNP],4,2)),VALUE(MID([@CNP],6,2)))&lt;&gt;[@Data_Nasterii],"DATA CONTRADICTORIE","")</f>
        <v/>
      </c>
      <c r="K48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48">
        <f>IF([@motiv_anomalie]="","OK","DE INVESTIGAT")</f>
        <v/>
      </c>
      <c r="M48">
        <f>TEXTJOIN("; ",TRUE,[@flag_sex],[@flag_judet],[@flag_data],[@flag_control])</f>
        <v/>
      </c>
    </row>
    <row r="49">
      <c r="A49" t="inlineStr">
        <is>
          <t>CTC-0048</t>
        </is>
      </c>
      <c r="B49" t="inlineStr">
        <is>
          <t>SC METALPLAST INVEST SA</t>
        </is>
      </c>
      <c r="C49" t="inlineStr">
        <is>
          <t>Ioana Tudor</t>
        </is>
      </c>
      <c r="D49" s="14" t="inlineStr">
        <is>
          <t>2971223125012</t>
        </is>
      </c>
      <c r="E49" t="inlineStr">
        <is>
          <t>M</t>
        </is>
      </c>
      <c r="F49" t="inlineStr">
        <is>
          <t>Constanța</t>
        </is>
      </c>
      <c r="G49" s="12" t="n">
        <v>35787</v>
      </c>
      <c r="H49">
        <f>IF(IF(OR(VALUE(LEFT([@CNP],1))=1,VALUE(LEFT([@CNP],1))=3,VALUE(LEFT([@CNP],1))=5,VALUE(LEFT([@CNP],1))=7),"M","F")&lt;&gt;[@Sex],"SEX CONTRADICTORIU","")</f>
        <v/>
      </c>
      <c r="I49">
        <f>IF(XLOOKUP(MID([@CNP],8,2),tbl_CodJudetCNP[cod],tbl_CodJudetCNP[judet],"?")&lt;&gt;[@Judet],"JUDET CONTRADICTORIU","")</f>
        <v/>
      </c>
      <c r="J49">
        <f>IF(DATE(IF(VALUE(LEFT([@CNP],1))&gt;=5,2000,1900)+VALUE(MID([@CNP],2,2)),VALUE(MID([@CNP],4,2)),VALUE(MID([@CNP],6,2)))&lt;&gt;[@Data_Nasterii],"DATA CONTRADICTORIE","")</f>
        <v/>
      </c>
      <c r="K49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49">
        <f>IF([@motiv_anomalie]="","OK","DE INVESTIGAT")</f>
        <v/>
      </c>
      <c r="M49">
        <f>TEXTJOIN("; ",TRUE,[@flag_sex],[@flag_judet],[@flag_data],[@flag_control])</f>
        <v/>
      </c>
    </row>
    <row r="50">
      <c r="A50" t="inlineStr">
        <is>
          <t>CTC-0049</t>
        </is>
      </c>
      <c r="B50" t="inlineStr">
        <is>
          <t>SC NOMINAL VOID SRL</t>
        </is>
      </c>
      <c r="C50" t="inlineStr">
        <is>
          <t>George Stoica</t>
        </is>
      </c>
      <c r="D50" s="14" t="inlineStr">
        <is>
          <t>2960226138989</t>
        </is>
      </c>
      <c r="E50" t="inlineStr">
        <is>
          <t>F</t>
        </is>
      </c>
      <c r="F50" t="inlineStr">
        <is>
          <t>Constanța</t>
        </is>
      </c>
      <c r="G50" s="12" t="n">
        <v>35121</v>
      </c>
      <c r="H50">
        <f>IF(IF(OR(VALUE(LEFT([@CNP],1))=1,VALUE(LEFT([@CNP],1))=3,VALUE(LEFT([@CNP],1))=5,VALUE(LEFT([@CNP],1))=7),"M","F")&lt;&gt;[@Sex],"SEX CONTRADICTORIU","")</f>
        <v/>
      </c>
      <c r="I50">
        <f>IF(XLOOKUP(MID([@CNP],8,2),tbl_CodJudetCNP[cod],tbl_CodJudetCNP[judet],"?")&lt;&gt;[@Judet],"JUDET CONTRADICTORIU","")</f>
        <v/>
      </c>
      <c r="J50">
        <f>IF(DATE(IF(VALUE(LEFT([@CNP],1))&gt;=5,2000,1900)+VALUE(MID([@CNP],2,2)),VALUE(MID([@CNP],4,2)),VALUE(MID([@CNP],6,2)))&lt;&gt;[@Data_Nasterii],"DATA CONTRADICTORIE","")</f>
        <v/>
      </c>
      <c r="K50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50">
        <f>IF([@motiv_anomalie]="","OK","DE INVESTIGAT")</f>
        <v/>
      </c>
      <c r="M50">
        <f>TEXTJOIN("; ",TRUE,[@flag_sex],[@flag_judet],[@flag_data],[@flag_control])</f>
        <v/>
      </c>
    </row>
    <row r="51">
      <c r="A51" t="inlineStr">
        <is>
          <t>CTC-0050</t>
        </is>
      </c>
      <c r="B51" t="inlineStr">
        <is>
          <t>SC NORDIS DISTRIBUTIE SRL</t>
        </is>
      </c>
      <c r="C51" t="inlineStr">
        <is>
          <t>Diana Florea</t>
        </is>
      </c>
      <c r="D51" s="14" t="inlineStr">
        <is>
          <t>1960127138361</t>
        </is>
      </c>
      <c r="E51" t="inlineStr">
        <is>
          <t>M</t>
        </is>
      </c>
      <c r="F51" t="inlineStr">
        <is>
          <t>Constanța</t>
        </is>
      </c>
      <c r="G51" s="12" t="n">
        <v>35091</v>
      </c>
      <c r="H51">
        <f>IF(IF(OR(VALUE(LEFT([@CNP],1))=1,VALUE(LEFT([@CNP],1))=3,VALUE(LEFT([@CNP],1))=5,VALUE(LEFT([@CNP],1))=7),"M","F")&lt;&gt;[@Sex],"SEX CONTRADICTORIU","")</f>
        <v/>
      </c>
      <c r="I51">
        <f>IF(XLOOKUP(MID([@CNP],8,2),tbl_CodJudetCNP[cod],tbl_CodJudetCNP[judet],"?")&lt;&gt;[@Judet],"JUDET CONTRADICTORIU","")</f>
        <v/>
      </c>
      <c r="J51">
        <f>IF(DATE(IF(VALUE(LEFT([@CNP],1))&gt;=5,2000,1900)+VALUE(MID([@CNP],2,2)),VALUE(MID([@CNP],4,2)),VALUE(MID([@CNP],6,2)))&lt;&gt;[@Data_Nasterii],"DATA CONTRADICTORIE","")</f>
        <v/>
      </c>
      <c r="K51">
        <f>IF(IF(MOD(SUMPRODUCT(VALUE(MID([@CNP],{1;2;3;4;5;6;7;8;9;10;11;12},1)),{2;7;9;1;4;6;3;5;8;2;7;9}),11)=10,1,MOD(SUMPRODUCT(VALUE(MID([@CNP],{1;2;3;4;5;6;7;8;9;10;11;12},1)),{2;7;9;1;4;6;3;5;8;2;7;9}),11))&lt;&gt;VALUE(MID([@CNP],13,1)),"CIFRA CONTROL GRESITA","")</f>
        <v/>
      </c>
      <c r="L51">
        <f>IF([@motiv_anomalie]="","OK","DE INVESTIGAT")</f>
        <v/>
      </c>
      <c r="M51">
        <f>TEXTJOIN("; ",TRUE,[@flag_sex],[@flag_judet],[@flag_data],[@flag_control])</f>
        <v/>
      </c>
    </row>
  </sheetData>
  <conditionalFormatting sqref="A2:M51">
    <cfRule type="expression" priority="1" dxfId="0">
      <formula>$L2="DE INVESTIGAT"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oras_oficial</t>
        </is>
      </c>
      <c r="B1" t="inlineStr">
        <is>
          <t>judet</t>
        </is>
      </c>
    </row>
    <row r="2">
      <c r="A2" t="inlineStr">
        <is>
          <t>Alba Iulia</t>
        </is>
      </c>
      <c r="B2" t="inlineStr">
        <is>
          <t>Alba</t>
        </is>
      </c>
    </row>
    <row r="3">
      <c r="A3" t="inlineStr">
        <is>
          <t>Pitești</t>
        </is>
      </c>
      <c r="B3" t="inlineStr">
        <is>
          <t>Argeș</t>
        </is>
      </c>
    </row>
    <row r="4">
      <c r="A4" t="inlineStr">
        <is>
          <t>Bacău</t>
        </is>
      </c>
      <c r="B4" t="inlineStr">
        <is>
          <t>Bacău</t>
        </is>
      </c>
    </row>
    <row r="5">
      <c r="A5" t="inlineStr">
        <is>
          <t>Oradea</t>
        </is>
      </c>
      <c r="B5" t="inlineStr">
        <is>
          <t>Bihor</t>
        </is>
      </c>
    </row>
    <row r="6">
      <c r="A6" t="inlineStr">
        <is>
          <t>Brașov</t>
        </is>
      </c>
      <c r="B6" t="inlineStr">
        <is>
          <t>Brașov</t>
        </is>
      </c>
    </row>
    <row r="7">
      <c r="A7" t="inlineStr">
        <is>
          <t>Făgăraș</t>
        </is>
      </c>
      <c r="B7" t="inlineStr">
        <is>
          <t>Brașov</t>
        </is>
      </c>
    </row>
    <row r="8">
      <c r="A8" t="inlineStr">
        <is>
          <t>Cluj-Napoca</t>
        </is>
      </c>
      <c r="B8" t="inlineStr">
        <is>
          <t>Cluj</t>
        </is>
      </c>
    </row>
    <row r="9">
      <c r="A9" t="inlineStr">
        <is>
          <t>Turda</t>
        </is>
      </c>
      <c r="B9" t="inlineStr">
        <is>
          <t>Cluj</t>
        </is>
      </c>
    </row>
    <row r="10">
      <c r="A10" t="inlineStr">
        <is>
          <t>Constanța</t>
        </is>
      </c>
      <c r="B10" t="inlineStr">
        <is>
          <t>Constanța</t>
        </is>
      </c>
    </row>
    <row r="11">
      <c r="A11" t="inlineStr">
        <is>
          <t>Mangalia</t>
        </is>
      </c>
      <c r="B11" t="inlineStr">
        <is>
          <t>Constanța</t>
        </is>
      </c>
    </row>
    <row r="12">
      <c r="A12" t="inlineStr">
        <is>
          <t>Craiova</t>
        </is>
      </c>
      <c r="B12" t="inlineStr">
        <is>
          <t>Dolj</t>
        </is>
      </c>
    </row>
    <row r="13">
      <c r="A13" t="inlineStr">
        <is>
          <t>Galați</t>
        </is>
      </c>
      <c r="B13" t="inlineStr">
        <is>
          <t>Galați</t>
        </is>
      </c>
    </row>
    <row r="14">
      <c r="A14" t="inlineStr">
        <is>
          <t>Iași</t>
        </is>
      </c>
      <c r="B14" t="inlineStr">
        <is>
          <t>Iași</t>
        </is>
      </c>
    </row>
    <row r="15">
      <c r="A15" t="inlineStr">
        <is>
          <t>Târgu Mureș</t>
        </is>
      </c>
      <c r="B15" t="inlineStr">
        <is>
          <t>Mureș</t>
        </is>
      </c>
    </row>
    <row r="16">
      <c r="A16" t="inlineStr">
        <is>
          <t>Ploiești</t>
        </is>
      </c>
      <c r="B16" t="inlineStr">
        <is>
          <t>Prahova</t>
        </is>
      </c>
    </row>
    <row r="17">
      <c r="A17" t="inlineStr">
        <is>
          <t>Câmpina</t>
        </is>
      </c>
      <c r="B17" t="inlineStr">
        <is>
          <t>Prahova</t>
        </is>
      </c>
    </row>
    <row r="18">
      <c r="A18" t="inlineStr">
        <is>
          <t>Sibiu</t>
        </is>
      </c>
      <c r="B18" t="inlineStr">
        <is>
          <t>Sibiu</t>
        </is>
      </c>
    </row>
    <row r="19">
      <c r="A19" t="inlineStr">
        <is>
          <t>Mediaș</t>
        </is>
      </c>
      <c r="B19" t="inlineStr">
        <is>
          <t>Sibiu</t>
        </is>
      </c>
    </row>
    <row r="20">
      <c r="A20" t="inlineStr">
        <is>
          <t>Timișoara</t>
        </is>
      </c>
      <c r="B20" t="inlineStr">
        <is>
          <t>Timiș</t>
        </is>
      </c>
    </row>
    <row r="21">
      <c r="A21" t="inlineStr">
        <is>
          <t>București</t>
        </is>
      </c>
      <c r="B21" t="inlineStr">
        <is>
          <t>București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cota_legala</t>
        </is>
      </c>
    </row>
    <row r="2">
      <c r="A2" t="inlineStr">
        <is>
          <t>Hardware IT</t>
        </is>
      </c>
      <c r="B2" s="13" t="n">
        <v>0.19</v>
      </c>
    </row>
    <row r="3">
      <c r="A3" t="inlineStr">
        <is>
          <t>Licențe software</t>
        </is>
      </c>
      <c r="B3" s="13" t="n">
        <v>0.19</v>
      </c>
    </row>
    <row r="4">
      <c r="A4" t="inlineStr">
        <is>
          <t>Servicii consultanță</t>
        </is>
      </c>
      <c r="B4" s="13" t="n">
        <v>0.19</v>
      </c>
    </row>
    <row r="5">
      <c r="A5" t="inlineStr">
        <is>
          <t>Echipamente birou</t>
        </is>
      </c>
      <c r="B5" s="13" t="n">
        <v>0.19</v>
      </c>
    </row>
    <row r="6">
      <c r="A6" t="inlineStr">
        <is>
          <t>Alimente</t>
        </is>
      </c>
      <c r="B6" s="13" t="n">
        <v>0.09</v>
      </c>
    </row>
    <row r="7">
      <c r="A7" t="inlineStr">
        <is>
          <t>Produse farmaceutice</t>
        </is>
      </c>
      <c r="B7" s="13" t="n">
        <v>0.09</v>
      </c>
    </row>
    <row r="8">
      <c r="A8" t="inlineStr">
        <is>
          <t>Cărți și manuale</t>
        </is>
      </c>
      <c r="B8" s="13" t="n">
        <v>0.05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denumire</t>
        </is>
      </c>
    </row>
    <row r="2">
      <c r="A2" s="12" t="n">
        <v>46023</v>
      </c>
      <c r="B2" t="inlineStr">
        <is>
          <t>Anul Nou</t>
        </is>
      </c>
    </row>
    <row r="3">
      <c r="A3" s="12" t="n">
        <v>46024</v>
      </c>
      <c r="B3" t="inlineStr">
        <is>
          <t>Anul Nou</t>
        </is>
      </c>
    </row>
    <row r="4">
      <c r="A4" s="12" t="n">
        <v>46028</v>
      </c>
      <c r="B4" t="inlineStr">
        <is>
          <t>Boboteaza</t>
        </is>
      </c>
    </row>
    <row r="5">
      <c r="A5" s="12" t="n">
        <v>46029</v>
      </c>
      <c r="B5" t="inlineStr">
        <is>
          <t>Sfântul Ioan</t>
        </is>
      </c>
    </row>
    <row r="6">
      <c r="A6" s="12" t="n">
        <v>46046</v>
      </c>
      <c r="B6" t="inlineStr">
        <is>
          <t>Unirea Principatelor Române</t>
        </is>
      </c>
    </row>
    <row r="7">
      <c r="A7" s="12" t="n">
        <v>46122</v>
      </c>
      <c r="B7" t="inlineStr">
        <is>
          <t>Vinerea Mare</t>
        </is>
      </c>
    </row>
    <row r="8">
      <c r="A8" s="12" t="n">
        <v>46124</v>
      </c>
      <c r="B8" t="inlineStr">
        <is>
          <t>Paștele</t>
        </is>
      </c>
    </row>
    <row r="9">
      <c r="A9" s="12" t="n">
        <v>46125</v>
      </c>
      <c r="B9" t="inlineStr">
        <is>
          <t>A doua zi de Paște</t>
        </is>
      </c>
    </row>
    <row r="10">
      <c r="A10" s="12" t="n">
        <v>46143</v>
      </c>
      <c r="B10" t="inlineStr">
        <is>
          <t>Ziua Muncii</t>
        </is>
      </c>
    </row>
    <row r="11">
      <c r="A11" s="12" t="n">
        <v>46173</v>
      </c>
      <c r="B11" t="inlineStr">
        <is>
          <t>Rusalii</t>
        </is>
      </c>
    </row>
    <row r="12">
      <c r="A12" s="12" t="n">
        <v>46174</v>
      </c>
      <c r="B12" t="inlineStr">
        <is>
          <t>A doua zi de Rusalii / Ziua Copilului</t>
        </is>
      </c>
    </row>
    <row r="13">
      <c r="A13" s="12" t="n">
        <v>46249</v>
      </c>
      <c r="B13" t="inlineStr">
        <is>
          <t>Adormirea Maicii Domnului</t>
        </is>
      </c>
    </row>
    <row r="14">
      <c r="A14" s="12" t="n">
        <v>46356</v>
      </c>
      <c r="B14" t="inlineStr">
        <is>
          <t>Sfântul Andrei</t>
        </is>
      </c>
    </row>
    <row r="15">
      <c r="A15" s="12" t="n">
        <v>46357</v>
      </c>
      <c r="B15" t="inlineStr">
        <is>
          <t>Ziua Națională</t>
        </is>
      </c>
    </row>
    <row r="16">
      <c r="A16" s="12" t="n">
        <v>46381</v>
      </c>
      <c r="B16" t="inlineStr">
        <is>
          <t>Crăciunul</t>
        </is>
      </c>
    </row>
    <row r="17">
      <c r="A17" s="12" t="n">
        <v>46382</v>
      </c>
      <c r="B17" t="inlineStr">
        <is>
          <t>A doua zi de Crăciun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judet</t>
        </is>
      </c>
    </row>
    <row r="2">
      <c r="A2" s="14" t="inlineStr">
        <is>
          <t>01</t>
        </is>
      </c>
      <c r="B2" t="inlineStr">
        <is>
          <t>Alba</t>
        </is>
      </c>
    </row>
    <row r="3">
      <c r="A3" s="14" t="inlineStr">
        <is>
          <t>03</t>
        </is>
      </c>
      <c r="B3" t="inlineStr">
        <is>
          <t>Argeș</t>
        </is>
      </c>
    </row>
    <row r="4">
      <c r="A4" s="14" t="inlineStr">
        <is>
          <t>04</t>
        </is>
      </c>
      <c r="B4" t="inlineStr">
        <is>
          <t>Bacău</t>
        </is>
      </c>
    </row>
    <row r="5">
      <c r="A5" s="14" t="inlineStr">
        <is>
          <t>05</t>
        </is>
      </c>
      <c r="B5" t="inlineStr">
        <is>
          <t>Bihor</t>
        </is>
      </c>
    </row>
    <row r="6">
      <c r="A6" s="14" t="inlineStr">
        <is>
          <t>08</t>
        </is>
      </c>
      <c r="B6" t="inlineStr">
        <is>
          <t>Brașov</t>
        </is>
      </c>
    </row>
    <row r="7">
      <c r="A7" s="14" t="inlineStr">
        <is>
          <t>12</t>
        </is>
      </c>
      <c r="B7" t="inlineStr">
        <is>
          <t>Cluj</t>
        </is>
      </c>
    </row>
    <row r="8">
      <c r="A8" s="14" t="inlineStr">
        <is>
          <t>13</t>
        </is>
      </c>
      <c r="B8" t="inlineStr">
        <is>
          <t>Constanța</t>
        </is>
      </c>
    </row>
    <row r="9">
      <c r="A9" s="14" t="inlineStr">
        <is>
          <t>16</t>
        </is>
      </c>
      <c r="B9" t="inlineStr">
        <is>
          <t>Dolj</t>
        </is>
      </c>
    </row>
    <row r="10">
      <c r="A10" s="14" t="inlineStr">
        <is>
          <t>17</t>
        </is>
      </c>
      <c r="B10" t="inlineStr">
        <is>
          <t>Galați</t>
        </is>
      </c>
    </row>
    <row r="11">
      <c r="A11" s="14" t="inlineStr">
        <is>
          <t>22</t>
        </is>
      </c>
      <c r="B11" t="inlineStr">
        <is>
          <t>Iași</t>
        </is>
      </c>
    </row>
    <row r="12">
      <c r="A12" s="14" t="inlineStr">
        <is>
          <t>26</t>
        </is>
      </c>
      <c r="B12" t="inlineStr">
        <is>
          <t>Mureș</t>
        </is>
      </c>
    </row>
    <row r="13">
      <c r="A13" s="14" t="inlineStr">
        <is>
          <t>29</t>
        </is>
      </c>
      <c r="B13" t="inlineStr">
        <is>
          <t>Prahova</t>
        </is>
      </c>
    </row>
    <row r="14">
      <c r="A14" s="14" t="inlineStr">
        <is>
          <t>32</t>
        </is>
      </c>
      <c r="B14" t="inlineStr">
        <is>
          <t>Sibiu</t>
        </is>
      </c>
    </row>
    <row r="15">
      <c r="A15" s="14" t="inlineStr">
        <is>
          <t>35</t>
        </is>
      </c>
      <c r="B15" t="inlineStr">
        <is>
          <t>Timiș</t>
        </is>
      </c>
    </row>
    <row r="16">
      <c r="A16" s="14" t="inlineStr">
        <is>
          <t>40</t>
        </is>
      </c>
      <c r="B16" t="inlineStr">
        <is>
          <t>București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5" t="inlineStr">
        <is>
          <t>C02 CONTROL - SINTEZA SEMNALIZARII (anomalii de realitate)</t>
        </is>
      </c>
    </row>
    <row r="3">
      <c r="A3" s="7" t="inlineStr">
        <is>
          <t>Fenomen</t>
        </is>
      </c>
      <c r="B3" s="7" t="inlineStr">
        <is>
          <t>Plantate</t>
        </is>
      </c>
      <c r="C3" s="7" t="inlineStr">
        <is>
          <t>Detectate (live)</t>
        </is>
      </c>
    </row>
    <row r="4">
      <c r="A4" t="inlineStr">
        <is>
          <t>C02.01 Orase nealiniate</t>
        </is>
      </c>
      <c r="B4" t="n">
        <v>50</v>
      </c>
      <c r="C4">
        <f>COUNTIF(tbl_Vanzari[flag_oras],"ORAS NEALINIAT")+COUNTIF(tbl_Vanzari[flag_oras],"JUDET NECORESPUNZATOR")</f>
        <v/>
      </c>
    </row>
    <row r="5">
      <c r="A5" t="inlineStr">
        <is>
          <t>C02.02 TVA gresit</t>
        </is>
      </c>
      <c r="B5" t="n">
        <v>47</v>
      </c>
      <c r="C5">
        <f>COUNTIF(tbl_Vanzari[flag_tva],"TVA GRESIT")</f>
        <v/>
      </c>
    </row>
    <row r="6">
      <c r="A6" t="inlineStr">
        <is>
          <t>C02.03 Scadenta &lt; Factura</t>
        </is>
      </c>
      <c r="B6" t="n">
        <v>25</v>
      </c>
      <c r="C6">
        <f>COUNTIF(tbl_Vanzari[flag_scadenta],"SCADENTA INAINTEA FACTURII")</f>
        <v/>
      </c>
    </row>
    <row r="7">
      <c r="A7" t="inlineStr">
        <is>
          <t>C02.04 Zi nelucratoare</t>
        </is>
      </c>
      <c r="B7" t="n">
        <v>20</v>
      </c>
      <c r="C7">
        <f>COUNTIF(tbl_Vanzari[flag_zi],"ZI NELUCRATOARE")</f>
        <v/>
      </c>
    </row>
    <row r="8">
      <c r="A8" t="inlineStr">
        <is>
          <t>C02.05 CNP contradictoriu (contacte)</t>
        </is>
      </c>
      <c r="B8" t="n">
        <v>25</v>
      </c>
      <c r="C8">
        <f>COUNTIF(tbl_Contacte[status_validare],"DE INVESTIGAT")</f>
        <v/>
      </c>
    </row>
    <row r="10">
      <c r="A10" s="7" t="inlineStr">
        <is>
          <t>Randuri Vanzari de investigat (total)</t>
        </is>
      </c>
      <c r="C10">
        <f>COUNTIF(tbl_Vanzari[status_validare],"DE INVESTIGAT")</f>
        <v/>
      </c>
    </row>
    <row r="11">
      <c r="A11" t="inlineStr">
        <is>
          <t>Suma valoare_neta (neatinsa de semnalizare)</t>
        </is>
      </c>
      <c r="C11">
        <f>SUM(tbl_Vanzari[valoare_neta])</f>
        <v/>
      </c>
    </row>
    <row r="13">
      <c r="A13" t="inlineStr">
        <is>
          <t>Nota: semnalizarea MARCHEAZA, nu corecteaza. Valorile sursa raman neatinse (R-MET-1).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</cols>
  <sheetData>
    <row r="1">
      <c r="A1" s="5" t="inlineStr">
        <is>
          <t>cod_client</t>
        </is>
      </c>
      <c r="B1" s="5" t="inlineStr">
        <is>
          <t>nume_client</t>
        </is>
      </c>
      <c r="C1" s="5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  <c r="D1" s="5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DATE_MASTER-INITIAL.XLSX</t>
        </is>
      </c>
    </row>
    <row r="3">
      <c r="A3" t="inlineStr">
        <is>
          <t>Acesta este universul de date canonic Trainity Pack 02 Excel.</t>
        </is>
      </c>
    </row>
    <row r="4">
      <c r="A4" t="inlineStr">
        <is>
          <t>Punct de plecare pentru toate constructiile C01-C08 (Treapta 1 + Treapta 2).</t>
        </is>
      </c>
    </row>
    <row r="6">
      <c r="A6" s="7" t="inlineStr">
        <is>
          <t>CONTINUT:</t>
        </is>
      </c>
    </row>
    <row r="7">
      <c r="A7" t="inlineStr">
        <is>
          <t xml:space="preserve">  - Sheet Vanzari: 2000 facturi pe 12 luni (iun 2025 - mai 2026)</t>
        </is>
      </c>
    </row>
    <row r="8">
      <c r="A8" t="inlineStr">
        <is>
          <t xml:space="preserve">  - Schema: 14 coloane canonice (R-V03.47)</t>
        </is>
      </c>
    </row>
    <row r="9">
      <c r="A9" t="inlineStr">
        <is>
          <t xml:space="preserve">  - Sheet CLIENTI: 15 clienti realistici</t>
        </is>
      </c>
    </row>
    <row r="10">
      <c r="A10" t="inlineStr">
        <is>
          <t xml:space="preserve">  - Sheet PRODUSE: 13 produse, 4 categorii</t>
        </is>
      </c>
    </row>
    <row r="11">
      <c r="A11" t="inlineStr">
        <is>
          <t xml:space="preserve">  - Sheet AGENTI: 6 agenti</t>
        </is>
      </c>
    </row>
    <row r="12">
      <c r="A12" t="inlineStr">
        <is>
          <t xml:space="preserve">  - Sheet DEPOZITE: 5 depozite</t>
        </is>
      </c>
    </row>
    <row r="14">
      <c r="A14" s="7" t="inlineStr">
        <is>
          <t>SUME REFERINTA (utilizate de gate V19 pentru validare):</t>
        </is>
      </c>
    </row>
    <row r="15">
      <c r="A15" t="inlineStr">
        <is>
          <t xml:space="preserve">  Suma valoare_neta:   7,986,019.38 lei</t>
        </is>
      </c>
    </row>
    <row r="16">
      <c r="A16" t="inlineStr">
        <is>
          <t xml:space="preserve">  Suma valoare_tva:    1,465,950.95 lei</t>
        </is>
      </c>
    </row>
    <row r="17">
      <c r="A17" t="inlineStr">
        <is>
          <t xml:space="preserve">  Suma valoare_totala: 9,451,970.33 lei</t>
        </is>
      </c>
    </row>
    <row r="19">
      <c r="A19" s="7" t="inlineStr">
        <is>
          <t>DISTRIBUTII:</t>
        </is>
      </c>
    </row>
    <row r="20">
      <c r="A20" t="inlineStr">
        <is>
          <t xml:space="preserve">  Clienti: top 3 = ~42% facturi, mid 7 = ~44%, mic 5 = ~14%</t>
        </is>
      </c>
    </row>
    <row r="21">
      <c r="A21" t="inlineStr">
        <is>
          <t xml:space="preserve">  Categorii: Hardware ~47%, Software ~24%, Consumabile ~27%, Servicii ~2%</t>
        </is>
      </c>
    </row>
    <row r="22">
      <c r="A22" t="inlineStr">
        <is>
          <t xml:space="preserve">  Cota TVA: 19% (~85%), 9% (~10%), 5% (~5%)</t>
        </is>
      </c>
    </row>
    <row r="23">
      <c r="A23" t="inlineStr">
        <is>
          <t xml:space="preserve">  Moneda: RON 95%, EUR 4%, USD 1%</t>
        </is>
      </c>
    </row>
    <row r="24">
      <c r="A24" t="inlineStr">
        <is>
          <t xml:space="preserve">  Sezonier: varf nov-dec (Black Friday+sarbatori), valle iul-aug (concedii)</t>
        </is>
      </c>
    </row>
    <row r="26">
      <c r="A26" s="7" t="inlineStr">
        <is>
          <t>UTILIZARE PE CONSTRUCTIE:</t>
        </is>
      </c>
    </row>
    <row r="27">
      <c r="A27" t="inlineStr">
        <is>
          <t xml:space="preserve">  Fiecare chat CONSTRUCTIE NN citeste acest fisier ca punct de plecare,</t>
        </is>
      </c>
    </row>
    <row r="28">
      <c r="A28" t="inlineStr">
        <is>
          <t xml:space="preserve">  aplica modificari specifice SPEC C{NN}, livreaza Date_MASTER-C{NN}.xlsx.</t>
        </is>
      </c>
    </row>
    <row r="30">
      <c r="A30" t="inlineStr">
        <is>
          <t xml:space="preserve">  T1 SCAN (C01-C04): planteaza contaminari/anomalii, demonstreaza curatare</t>
        </is>
      </c>
    </row>
    <row r="31">
      <c r="A31" t="inlineStr">
        <is>
          <t xml:space="preserve">    C01 STRUCTURA: adauga antet ERP brut, subtotale, blank-uri false</t>
        </is>
      </c>
    </row>
    <row r="32">
      <c r="A32" t="inlineStr">
        <is>
          <t xml:space="preserve">    C02 CONTROL: planteaza anomalii logice (date viitor, cod necunoscut)</t>
        </is>
      </c>
    </row>
    <row r="33">
      <c r="A33" t="inlineStr">
        <is>
          <t xml:space="preserve">    C03 AUDIT: planteaza contaminari invizibile (spatii, ZWSP, SHY)</t>
        </is>
      </c>
    </row>
    <row r="34">
      <c r="A34" t="inlineStr">
        <is>
          <t xml:space="preserve">    C04 NORMALIZARE: consolideaza T1 in flux refresh idempotent</t>
        </is>
      </c>
    </row>
    <row r="36">
      <c r="A36" t="inlineStr">
        <is>
          <t xml:space="preserve">  T2 CALCUL (C05-C08): construieste KPI, clasificari, logica temporala</t>
        </is>
      </c>
    </row>
    <row r="37">
      <c r="A37" t="inlineStr">
        <is>
          <t xml:space="preserve">    C05 CLASIFICAREA: adauga coloane segment_client, prioritate_produs</t>
        </is>
      </c>
    </row>
    <row r="38">
      <c r="A38" t="inlineStr">
        <is>
          <t xml:space="preserve">    C06 KPI &amp; CALCULE: marja, ASP, frecventa, ratie</t>
        </is>
      </c>
    </row>
    <row r="39">
      <c r="A39" t="inlineStr">
        <is>
          <t xml:space="preserve">    C07 LOGICA TEMPORALA: agregari lunare, YoY, sezoniere</t>
        </is>
      </c>
    </row>
    <row r="40">
      <c r="A40" t="inlineStr">
        <is>
          <t xml:space="preserve">    C08 (TBD in SPEC)</t>
        </is>
      </c>
    </row>
    <row r="42">
      <c r="A42" t="inlineStr">
        <is>
          <t>NOTA TEHNICA: datele sunt sintetice, generate determinist (seed=42).</t>
        </is>
      </c>
    </row>
    <row r="43">
      <c r="A43" t="inlineStr">
        <is>
          <t>Nu reprezinta o firma reala. Numele sunt fictive.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22" customWidth="1" min="3" max="3"/>
  </cols>
  <sheetData>
    <row r="1">
      <c r="A1" s="10" t="inlineStr">
        <is>
          <t>CONTROL FINAL · C02 CONTROLUL DATELOR</t>
        </is>
      </c>
    </row>
    <row r="3">
      <c r="A3" s="7" t="inlineStr">
        <is>
          <t>Distributie pe status_validare</t>
        </is>
      </c>
    </row>
    <row r="4">
      <c r="A4" s="7" t="inlineStr">
        <is>
          <t>Status</t>
        </is>
      </c>
      <c r="B4" s="7" t="inlineStr">
        <is>
          <t>Numar randuri</t>
        </is>
      </c>
      <c r="C4" s="7" t="inlineStr">
        <is>
          <t>Suma valoare_neta</t>
        </is>
      </c>
    </row>
    <row r="5">
      <c r="A5" t="inlineStr">
        <is>
          <t>VALID</t>
        </is>
      </c>
      <c r="B5">
        <f>COUNTIF(Vanzari_Controlate[status_validare],"VALID")</f>
        <v/>
      </c>
      <c r="C5" s="3">
        <f>SUMIF(Vanzari_Controlate[status_validare],"VALID",Vanzari_Controlate[valoare_neta])</f>
        <v/>
      </c>
    </row>
    <row r="6">
      <c r="A6" t="inlineStr">
        <is>
          <t>DE VERIFICAT</t>
        </is>
      </c>
      <c r="B6">
        <f>COUNTIF(Vanzari_Controlate[status_validare],"DE VERIFICAT")</f>
        <v/>
      </c>
      <c r="C6" s="3">
        <f>SUMIF(Vanzari_Controlate[status_validare],"DE VERIFICAT",Vanzari_Controlate[valoare_neta])</f>
        <v/>
      </c>
    </row>
    <row r="7">
      <c r="A7" t="inlineStr">
        <is>
          <t>EXCLUS</t>
        </is>
      </c>
      <c r="B7">
        <f>COUNTIF(Vanzari_Controlate[status_validare],"EXCLUS")</f>
        <v/>
      </c>
      <c r="C7" s="3">
        <f>SUMIF(Vanzari_Controlate[status_validare],"EXCLUS",Vanzari_Controlate[valoare_neta])</f>
        <v/>
      </c>
    </row>
    <row r="8">
      <c r="A8" s="7" t="inlineStr">
        <is>
          <t>TOTAL</t>
        </is>
      </c>
      <c r="B8" s="7">
        <f>SUM(B5:B7)</f>
        <v/>
      </c>
      <c r="C8" s="11">
        <f>SUM(C5:C7)</f>
        <v/>
      </c>
    </row>
    <row r="10">
      <c r="A10" s="7" t="inlineStr">
        <is>
          <t>Distributie pe motiv_anomalie</t>
        </is>
      </c>
    </row>
    <row r="11">
      <c r="A11" s="7" t="inlineStr">
        <is>
          <t>Motiv</t>
        </is>
      </c>
      <c r="B11" s="7" t="inlineStr">
        <is>
          <t>Numar</t>
        </is>
      </c>
    </row>
    <row r="12">
      <c r="A12" t="inlineStr">
        <is>
          <t>Data in viitor</t>
        </is>
      </c>
      <c r="B12">
        <f>COUNTIF(Vanzari_Controlate[motiv_anomalie],"Data in viitor")</f>
        <v/>
      </c>
    </row>
    <row r="13">
      <c r="A13" t="inlineStr">
        <is>
          <t>Cod client inexistent in nomenclator</t>
        </is>
      </c>
      <c r="B13">
        <f>COUNTIF(Vanzari_Controlate[motiv_anomalie],"Cod client inexistent in nomenclator")</f>
        <v/>
      </c>
    </row>
    <row r="14">
      <c r="A14" t="inlineStr">
        <is>
          <t>Duplicat exact (rand sursa)</t>
        </is>
      </c>
      <c r="B14">
        <f>COUNTIF(Vanzari_Controlate[motiv_anomalie],"Duplicat exact (rand sursa)")</f>
        <v/>
      </c>
    </row>
    <row r="15">
      <c r="A15" t="inlineStr">
        <is>
          <t>Duplicat exact (rand copie)</t>
        </is>
      </c>
      <c r="B15">
        <f>COUNTIF(Vanzari_Controlate[motiv_anomalie],"Duplicat exact (rand copie)")</f>
        <v/>
      </c>
    </row>
    <row r="16">
      <c r="A16" t="inlineStr">
        <is>
          <t>Tranzactie in week-end pe filiala L-V</t>
        </is>
      </c>
      <c r="B16">
        <f>COUNTIF(Vanzari_Controlate[motiv_anomalie],"Tranzactie in week-end pe filiala L-V")</f>
        <v/>
      </c>
    </row>
    <row r="17">
      <c r="A17" t="inlineStr">
        <is>
          <t>Camp obligatoriu gol (cod_client sau cod_produs)</t>
        </is>
      </c>
      <c r="B17">
        <f>COUNTIF(Vanzari_Controlate[motiv_anomalie],"Camp obligatoriu gol (cod_client sau cod_produs)")</f>
        <v/>
      </c>
    </row>
    <row r="19">
      <c r="A19" s="7" t="inlineStr">
        <is>
          <t>Verificare conservare suma fizica</t>
        </is>
      </c>
    </row>
    <row r="20">
      <c r="A20" t="inlineStr">
        <is>
          <t>Suma totala valoare_neta (toate randurile):</t>
        </is>
      </c>
      <c r="C20" s="3">
        <f>SUM(Vanzari_Controlate[valoare_neta])</f>
        <v/>
      </c>
    </row>
    <row r="21">
      <c r="A21" t="inlineStr">
        <is>
          <t>Suma raport oficial (status = VALID):</t>
        </is>
      </c>
      <c r="C21" s="3">
        <f>SUMIF(Vanzari_Controlate[status_validare],"VALID",Vanzari_Controlate[valoare_neta])</f>
        <v/>
      </c>
    </row>
    <row r="22">
      <c r="A22" t="inlineStr">
        <is>
          <t>Total randuri:</t>
        </is>
      </c>
      <c r="C22">
        <f>COUNTA(Vanzari_Controlate[nr_factura])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2026-05-25T16:55:20Z</dcterms:created>
  <dcterms:modified xsi:type="dcterms:W3CDTF">2026-06-01T10:17:30Z</dcterms:modified>
</cp:coreProperties>
</file>