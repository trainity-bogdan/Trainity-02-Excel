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_SISTEM" sheetId="2" state="visible" r:id="rId2"/>
    <sheet xmlns:r="http://schemas.openxmlformats.org/officeDocument/2006/relationships" name="Vanzari" sheetId="3" state="visible" r:id="rId3"/>
    <sheet xmlns:r="http://schemas.openxmlformats.org/officeDocument/2006/relationships" name="PRODUSE" sheetId="4" state="visible" r:id="rId4"/>
    <sheet xmlns:r="http://schemas.openxmlformats.org/officeDocument/2006/relationships" name="CLIENTI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AGENTI" sheetId="7" state="hidden" r:id="rId7"/>
    <sheet xmlns:r="http://schemas.openxmlformats.org/officeDocument/2006/relationships" name="DEPOZITE" sheetId="8" state="hidden" r:id="rId8"/>
    <sheet xmlns:r="http://schemas.openxmlformats.org/officeDocument/2006/relationships" name="Regiuni" sheetId="9" state="hidden" r:id="rId9"/>
    <sheet xmlns:r="http://schemas.openxmlformats.org/officeDocument/2006/relationships" name="Masuri" sheetId="10" state="visible" r:id="rId10"/>
    <sheet xmlns:r="http://schemas.openxmlformats.org/officeDocument/2006/relationships" name="Masuri_Context" sheetId="11" state="visible" r:id="rId11"/>
    <sheet xmlns:r="http://schemas.openxmlformats.org/officeDocument/2006/relationships" name="Comparatii" sheetId="12" state="visible" r:id="rId12"/>
    <sheet xmlns:r="http://schemas.openxmlformats.org/officeDocument/2006/relationships" name="Interpretare" sheetId="13" state="visible" r:id="rId13"/>
    <sheet xmlns:r="http://schemas.openxmlformats.org/officeDocument/2006/relationships" name="Vizualizare" sheetId="14" state="visible" r:id="rId14"/>
    <sheet xmlns:r="http://schemas.openxmlformats.org/officeDocument/2006/relationships" name="Compunere" sheetId="15" state="visible" r:id="rId15"/>
    <sheet xmlns:r="http://schemas.openxmlformats.org/officeDocument/2006/relationships" name="Sinteza" sheetId="16" state="visible" r:id="rId16"/>
    <sheet xmlns:r="http://schemas.openxmlformats.org/officeDocument/2006/relationships" name="Livrare" sheetId="17" state="visible" r:id="rId17"/>
  </sheets>
  <definedNames>
    <definedName name="SRC_VANZARI">Vanzari!$A$2:$O$2001</definedName>
    <definedName name="PARAM_SURSA_CANONICA">_SISTEM!$B$43</definedName>
    <definedName name="PARAM_CATEGORIE_FOCUS">_SISTEM!$B$44</definedName>
    <definedName name="PARAM_FOAIE_FINALA">_SISTEM!$B$45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C17 · SISTEMATIZARE · munca devine un sistem pe care altcineva il porneste</t>
        </is>
      </c>
    </row>
    <row r="3">
      <c r="A3" s="2" t="inlineStr">
        <is>
          <t>Ideea mare:</t>
        </is>
      </c>
    </row>
    <row r="4">
      <c r="A4" t="inlineStr">
        <is>
          <t>Raportul e gata (T4). Dar l-ai facut tu, o data. In concediu, munca se opreste:</t>
        </is>
      </c>
    </row>
    <row r="5">
      <c r="A5" t="inlineStr">
        <is>
          <t>tu esti ocazia. C17 nu mai face raportul - face MUNCA reluabila de altcineva.</t>
        </is>
      </c>
    </row>
    <row r="6">
      <c r="A6" t="inlineStr">
        <is>
          <t>O munca facuta de doua ori nu mai e o livrare. E un sistem ascuns in workbook.</t>
        </is>
      </c>
    </row>
    <row r="7">
      <c r="A7" t="inlineStr">
        <is>
          <t>Raport gata (C16)  -&gt;  harta reluabila (_SISTEM)  -&gt;  altcineva porneste, fara mine.</t>
        </is>
      </c>
    </row>
    <row r="9">
      <c r="A9" t="inlineStr">
        <is>
          <t>AHA: O munca facuta de doua ori nu mai e o livrare. E un sistem ascuns in workbook.</t>
        </is>
      </c>
    </row>
    <row r="10">
      <c r="A10" t="inlineStr">
        <is>
          <t>MANTRA: Nu o fac din nou. O fac sistem.</t>
        </is>
      </c>
    </row>
    <row r="11">
      <c r="A11" t="inlineStr">
        <is>
          <t>MOTTO: Pleci, si munca o reia altcineva.</t>
        </is>
      </c>
    </row>
    <row r="13">
      <c r="A13" s="2" t="inlineStr">
        <is>
          <t>Ce ai in acest fisier:</t>
        </is>
      </c>
    </row>
    <row r="14">
      <c r="A14" t="inlineStr">
        <is>
          <t xml:space="preserve">  Vanzari        tabelul fact (neatins, suma conservata cap-coada)</t>
        </is>
      </c>
    </row>
    <row r="15">
      <c r="A15" t="inlineStr">
        <is>
          <t xml:space="preserve">  ... (foile C09-C16)   procesul care a produs raportul de decizie</t>
        </is>
      </c>
    </row>
    <row r="16">
      <c r="A16" t="inlineStr">
        <is>
          <t xml:space="preserve">  _SISTEM        harta functionala: componente reale + surse + ordine de reluare</t>
        </is>
      </c>
    </row>
    <row r="18">
      <c r="A18" s="2" t="inlineStr">
        <is>
          <t>_SISTEM (harta reluabila a muncii):</t>
        </is>
      </c>
    </row>
    <row r="19">
      <c r="A19" t="inlineStr">
        <is>
          <t xml:space="preserve">  A COMPONENTE   foile reale, prin HYPERLINK + cate randuri au (oglinda vie)</t>
        </is>
      </c>
    </row>
    <row r="20">
      <c r="A20" t="inlineStr">
        <is>
          <t xml:space="preserve">  B SURSE        o singura sursa de adevar per intrare (named range SRC_)</t>
        </is>
      </c>
    </row>
    <row r="21">
      <c r="A21" t="inlineStr">
        <is>
          <t xml:space="preserve">  C PASI         ordinea de reluare, fiecare pas legat de obiectul real</t>
        </is>
      </c>
    </row>
    <row r="22">
      <c r="A22" t="inlineStr">
        <is>
          <t xml:space="preserve">  D CINE RELUA   profilul de competenta care poate porni (nu numele tau)</t>
        </is>
      </c>
    </row>
    <row r="23">
      <c r="A23" t="inlineStr">
        <is>
          <t xml:space="preserve">  E PARAMETRI    convenstiile scoase din cap, ca named ranges PARAM_</t>
        </is>
      </c>
    </row>
    <row r="24">
      <c r="A24" t="inlineStr">
        <is>
          <t xml:space="preserve">  F PORNIRE      START AICI + punct de reluare + granita C17-&gt;C18 + test anti-SOP</t>
        </is>
      </c>
    </row>
    <row r="26">
      <c r="A26" t="inlineStr">
        <is>
          <t>Garda OGLINDA: _SISTEM oglindeste, leaga si navigheaza. Nu executa (C18),</t>
        </is>
      </c>
    </row>
    <row r="27">
      <c r="A27" t="inlineStr">
        <is>
          <t>nu judeca praguri (C19), nu muta proprietatea (C20). Harta, nu motor, nu gardian.</t>
        </is>
      </c>
    </row>
    <row r="28">
      <c r="A28" t="inlineStr">
        <is>
          <t>Test anti-SOP: stergi celelalte foi -&gt; _SISTEM se umple de #REF!. Moare scoasa</t>
        </is>
      </c>
    </row>
    <row r="29">
      <c r="A29" t="inlineStr">
        <is>
          <t>din workbook, fiindca e legata de componentele reale. Nu e o procedura de citit.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0" customWidth="1" min="3" max="3"/>
    <col width="34" customWidth="1" min="4" max="4"/>
  </cols>
  <sheetData>
    <row r="1">
      <c r="A1" s="1" t="inlineStr">
        <is>
          <t>_SISTEM C17 · harta functionala reluabila a muncii (nativ-Excel, se rupe scoasa din workbook)</t>
        </is>
      </c>
    </row>
    <row r="3">
      <c r="A3" t="inlineStr">
        <is>
          <t>START AICI:</t>
        </is>
      </c>
      <c r="B3">
        <f>HYPERLINK("#_SISTEM!A1","mergi la inceputul hartii")</f>
        <v/>
      </c>
      <c r="C3" t="inlineStr">
        <is>
          <t>(intri de aici la fiecare reluare)</t>
        </is>
      </c>
    </row>
    <row r="4">
      <c r="A4" s="2" t="n"/>
    </row>
    <row r="5">
      <c r="A5" t="inlineStr">
        <is>
          <t>A) COMPONENTE · foile reale ale workbook-ului (navigabile, vii)</t>
        </is>
      </c>
    </row>
    <row r="6">
      <c r="A6" s="3" t="inlineStr">
        <is>
          <t>componenta (deschide)</t>
        </is>
      </c>
      <c r="B6" s="3" t="inlineStr">
        <is>
          <t>rol in proces</t>
        </is>
      </c>
      <c r="C6" s="3" t="inlineStr">
        <is>
          <t>randuri completate (oglinda live)</t>
        </is>
      </c>
    </row>
    <row r="7">
      <c r="A7">
        <f>HYPERLINK("#'Vanzari'!A1","Vanzari")</f>
        <v/>
      </c>
      <c r="B7" t="inlineStr">
        <is>
          <t>sursa (fact)</t>
        </is>
      </c>
      <c r="C7">
        <f>COUNTA('Vanzari'!A:A)</f>
        <v/>
      </c>
    </row>
    <row r="8">
      <c r="A8">
        <f>HYPERLINK("#'PRODUSE'!A1","PRODUSE")</f>
        <v/>
      </c>
      <c r="B8" t="inlineStr">
        <is>
          <t>sursa (dimensiune)</t>
        </is>
      </c>
      <c r="C8">
        <f>COUNTA('PRODUSE'!A:A)</f>
        <v/>
      </c>
    </row>
    <row r="9">
      <c r="A9">
        <f>HYPERLINK("#'CLIENTI'!A1","CLIENTI")</f>
        <v/>
      </c>
      <c r="B9" t="inlineStr">
        <is>
          <t>sursa (dimensiune)</t>
        </is>
      </c>
      <c r="C9">
        <f>COUNTA('CLIENTI'!A:A)</f>
        <v/>
      </c>
    </row>
    <row r="10">
      <c r="A10">
        <f>HYPERLINK("#'Calendar'!A1","Calendar")</f>
        <v/>
      </c>
      <c r="B10" t="inlineStr">
        <is>
          <t>sursa (dimensiune)</t>
        </is>
      </c>
      <c r="C10">
        <f>COUNTA('Calendar'!A:A)</f>
        <v/>
      </c>
    </row>
    <row r="11">
      <c r="A11">
        <f>HYPERLINK("#'AGENTI'!A1","AGENTI")</f>
        <v/>
      </c>
      <c r="B11" t="inlineStr">
        <is>
          <t>sursa (dimensiune)</t>
        </is>
      </c>
      <c r="C11">
        <f>COUNTA('AGENTI'!A:A)</f>
        <v/>
      </c>
    </row>
    <row r="12">
      <c r="A12">
        <f>HYPERLINK("#'DEPOZITE'!A1","DEPOZITE")</f>
        <v/>
      </c>
      <c r="B12" t="inlineStr">
        <is>
          <t>sursa (dimensiune)</t>
        </is>
      </c>
      <c r="C12">
        <f>COUNTA('DEPOZITE'!A:A)</f>
        <v/>
      </c>
    </row>
    <row r="13">
      <c r="A13">
        <f>HYPERLINK("#'Regiuni'!A1","Regiuni")</f>
        <v/>
      </c>
      <c r="B13" t="inlineStr">
        <is>
          <t>sursa (dimensiune)</t>
        </is>
      </c>
      <c r="C13">
        <f>COUNTA('Regiuni'!A:A)</f>
        <v/>
      </c>
    </row>
    <row r="14">
      <c r="A14">
        <f>HYPERLINK("#'Masuri'!A1","Masuri")</f>
        <v/>
      </c>
      <c r="B14" t="inlineStr">
        <is>
          <t>lucru (masuri)</t>
        </is>
      </c>
      <c r="C14">
        <f>COUNTA('Masuri'!A:A)</f>
        <v/>
      </c>
    </row>
    <row r="15">
      <c r="A15">
        <f>HYPERLINK("#'Masuri_Context'!A1","Masuri_Context")</f>
        <v/>
      </c>
      <c r="B15" t="inlineStr">
        <is>
          <t>lucru (masuri)</t>
        </is>
      </c>
      <c r="C15">
        <f>COUNTA('Masuri_Context'!A:A)</f>
        <v/>
      </c>
    </row>
    <row r="16">
      <c r="A16">
        <f>HYPERLINK("#'Comparatii'!A1","Comparatii")</f>
        <v/>
      </c>
      <c r="B16" t="inlineStr">
        <is>
          <t>lucru (comparatie)</t>
        </is>
      </c>
      <c r="C16">
        <f>COUNTA('Comparatii'!A:A)</f>
        <v/>
      </c>
    </row>
    <row r="17">
      <c r="A17">
        <f>HYPERLINK("#'Interpretare'!A1","Interpretare")</f>
        <v/>
      </c>
      <c r="B17" t="inlineStr">
        <is>
          <t>lucru (interpretare)</t>
        </is>
      </c>
      <c r="C17">
        <f>COUNTA('Interpretare'!A:A)</f>
        <v/>
      </c>
    </row>
    <row r="18">
      <c r="A18">
        <f>HYPERLINK("#'Vizualizare'!A1","Vizualizare")</f>
        <v/>
      </c>
      <c r="B18" t="inlineStr">
        <is>
          <t>iesire (forma)</t>
        </is>
      </c>
      <c r="C18">
        <f>COUNTA('Vizualizare'!A:A)</f>
        <v/>
      </c>
    </row>
    <row r="19">
      <c r="A19">
        <f>HYPERLINK("#'Compunere'!A1","Compunere")</f>
        <v/>
      </c>
      <c r="B19" t="inlineStr">
        <is>
          <t>iesire (pagina)</t>
        </is>
      </c>
      <c r="C19">
        <f>COUNTA('Compunere'!A:A)</f>
        <v/>
      </c>
    </row>
    <row r="20">
      <c r="A20">
        <f>HYPERLINK("#'Sinteza'!A1","Sinteza")</f>
        <v/>
      </c>
      <c r="B20" t="inlineStr">
        <is>
          <t>iesire (mesaj)</t>
        </is>
      </c>
      <c r="C20">
        <f>COUNTA('Sinteza'!A:A)</f>
        <v/>
      </c>
    </row>
    <row r="21">
      <c r="A21">
        <f>HYPERLINK("#'Livrare'!A1","Livrare")</f>
        <v/>
      </c>
      <c r="B21" t="inlineStr">
        <is>
          <t>iesire (raport de decizie)</t>
        </is>
      </c>
      <c r="C21">
        <f>COUNTA('Livrare'!A:A)</f>
        <v/>
      </c>
    </row>
    <row r="22">
      <c r="A22" s="2" t="n"/>
    </row>
    <row r="23">
      <c r="A23" t="inlineStr">
        <is>
          <t>B) SURSE · o singura sursa de adevar per intrare (named range SRC_)</t>
        </is>
      </c>
    </row>
    <row r="24">
      <c r="A24" s="3" t="inlineStr">
        <is>
          <t>intrare</t>
        </is>
      </c>
      <c r="B24" s="3" t="inlineStr">
        <is>
          <t>sursa unica (SRC_)</t>
        </is>
      </c>
      <c r="C24" s="3" t="inlineStr">
        <is>
          <t>randuri (oglinda =ROWS(SRC_))</t>
        </is>
      </c>
    </row>
    <row r="25">
      <c r="A25" t="inlineStr">
        <is>
          <t>tabelul fact</t>
        </is>
      </c>
      <c r="B25" t="inlineStr">
        <is>
          <t>SRC_VANZARI -&gt; Vanzari!A2:O2001</t>
        </is>
      </c>
      <c r="C25">
        <f>ROWS(SRC_VANZARI)</f>
        <v/>
      </c>
    </row>
    <row r="26">
      <c r="A26" s="2" t="n"/>
    </row>
    <row r="27">
      <c r="A27" t="inlineStr">
        <is>
          <t>C) PASI · ordinea de reluare a muncii, fiecare pas legat de obiectul real</t>
        </is>
      </c>
    </row>
    <row r="28">
      <c r="A28" s="3" t="inlineStr">
        <is>
          <t># pas</t>
        </is>
      </c>
      <c r="B28" s="3" t="inlineStr">
        <is>
          <t>actiune (deschide obiectul)</t>
        </is>
      </c>
      <c r="C28" s="3" t="inlineStr">
        <is>
          <t>obiect atins</t>
        </is>
      </c>
      <c r="D28" s="3" t="inlineStr">
        <is>
          <t>rezultat vizibil (oglinda)</t>
        </is>
      </c>
      <c r="E28" s="3" t="inlineStr">
        <is>
          <t>candidat C18?</t>
        </is>
      </c>
    </row>
    <row r="29">
      <c r="A29" t="n">
        <v>1</v>
      </c>
      <c r="B29">
        <f>HYPERLINK("#'Vanzari'!A1","deschizi tabelul fact (sursa)")</f>
        <v/>
      </c>
      <c r="C29" t="inlineStr">
        <is>
          <t>Vanzari</t>
        </is>
      </c>
      <c r="D29">
        <f>COUNTA('Vanzari'!A:A)-1 &amp; " randuri"</f>
        <v/>
      </c>
      <c r="E29" t="inlineStr">
        <is>
          <t>nu</t>
        </is>
      </c>
    </row>
    <row r="30">
      <c r="A30" t="n">
        <v>2</v>
      </c>
      <c r="B30">
        <f>HYPERLINK("#'Masuri'!A1","recalculezi masurile peste fact")</f>
        <v/>
      </c>
      <c r="C30" t="inlineStr">
        <is>
          <t>Masuri</t>
        </is>
      </c>
      <c r="D30">
        <f>COUNTA('Masuri'!A:A) &amp; " linii masuri"</f>
        <v/>
      </c>
      <c r="E30" t="inlineStr">
        <is>
          <t>da (recalcul recurent)</t>
        </is>
      </c>
    </row>
    <row r="31">
      <c r="A31" t="n">
        <v>3</v>
      </c>
      <c r="B31">
        <f>HYPERLINK("#'Comparatii'!A1","citesti clasamentul")</f>
        <v/>
      </c>
      <c r="C31" t="inlineStr">
        <is>
          <t>Comparatii</t>
        </is>
      </c>
      <c r="D31">
        <f>COUNTA('Comparatii'!A:A) &amp; " linii"</f>
        <v/>
      </c>
      <c r="E31" t="inlineStr">
        <is>
          <t>da</t>
        </is>
      </c>
    </row>
    <row r="32">
      <c r="A32" t="n">
        <v>4</v>
      </c>
      <c r="B32">
        <f>HYPERLINK("#'Interpretare'!A1","iei explicatia (de ce)")</f>
        <v/>
      </c>
      <c r="C32" t="inlineStr">
        <is>
          <t>Interpretare</t>
        </is>
      </c>
      <c r="D32">
        <f>COUNTA('Interpretare'!A:A) &amp; " linii"</f>
        <v/>
      </c>
      <c r="E32" t="inlineStr">
        <is>
          <t>nu</t>
        </is>
      </c>
    </row>
    <row r="33">
      <c r="A33" t="n">
        <v>5</v>
      </c>
      <c r="B33">
        <f>HYPERLINK("#'Compunere'!A1","organizezi pagina raportului")</f>
        <v/>
      </c>
      <c r="C33" t="inlineStr">
        <is>
          <t>Compunere</t>
        </is>
      </c>
      <c r="D33">
        <f>COUNTA('Compunere'!A:A) &amp; " linii"</f>
        <v/>
      </c>
      <c r="E33" t="inlineStr">
        <is>
          <t>nu</t>
        </is>
      </c>
    </row>
    <row r="34">
      <c r="A34" t="n">
        <v>6</v>
      </c>
      <c r="B34">
        <f>HYPERLINK("#'Sinteza'!A1","iei mesajul esential")</f>
        <v/>
      </c>
      <c r="C34" t="inlineStr">
        <is>
          <t>Sinteza</t>
        </is>
      </c>
      <c r="D34">
        <f>COUNTA('Sinteza'!A:A) &amp; " linii"</f>
        <v/>
      </c>
      <c r="E34" t="inlineStr">
        <is>
          <t>nu</t>
        </is>
      </c>
    </row>
    <row r="35">
      <c r="A35" t="n">
        <v>7</v>
      </c>
      <c r="B35">
        <f>HYPERLINK("#'Livrare'!A1","predai raportul de decizie")</f>
        <v/>
      </c>
      <c r="C35" t="inlineStr">
        <is>
          <t>Livrare</t>
        </is>
      </c>
      <c r="D35">
        <f>COUNTA('Livrare'!A:A) &amp; " linii"</f>
        <v/>
      </c>
      <c r="E35" t="inlineStr">
        <is>
          <t>da (predare recurenta)</t>
        </is>
      </c>
    </row>
    <row r="36">
      <c r="A36" s="2" t="n"/>
    </row>
    <row r="37">
      <c r="A37" t="inlineStr">
        <is>
          <t>D) CINE POATE RELUA · profil de competenta (NU ownership, NU nume)</t>
        </is>
      </c>
    </row>
    <row r="38">
      <c r="A38" s="3" t="inlineStr">
        <is>
          <t>profil de competenta</t>
        </is>
      </c>
      <c r="B38" s="3" t="inlineStr">
        <is>
          <t>competenta minima</t>
        </is>
      </c>
    </row>
    <row r="39">
      <c r="A39" t="inlineStr">
        <is>
          <t>analist de date instruit</t>
        </is>
      </c>
      <c r="B39" t="inlineStr">
        <is>
          <t>stie tabele structurate, SUMIFS/agregari, navigare intre foi</t>
        </is>
      </c>
    </row>
    <row r="40">
      <c r="A40" s="2" t="n"/>
    </row>
    <row r="41">
      <c r="A41" t="inlineStr">
        <is>
          <t>E) PARAMETRI · convenstiile scoase din cap, ca valori vii (named range PARAM_)</t>
        </is>
      </c>
    </row>
    <row r="42">
      <c r="A42" s="3" t="inlineStr">
        <is>
          <t>parametru</t>
        </is>
      </c>
      <c r="B42" s="3" t="inlineStr">
        <is>
          <t>valoare</t>
        </is>
      </c>
      <c r="C42" s="3" t="inlineStr">
        <is>
          <t>folosit la</t>
        </is>
      </c>
    </row>
    <row r="43">
      <c r="A43" t="inlineStr">
        <is>
          <t>PARAM_SURSA_CANONICA</t>
        </is>
      </c>
      <c r="B43" t="inlineStr">
        <is>
          <t>Vanzari</t>
        </is>
      </c>
      <c r="C43" t="inlineStr">
        <is>
          <t>pasul 1 (sursa unica a faptelor)</t>
        </is>
      </c>
    </row>
    <row r="44">
      <c r="A44" t="inlineStr">
        <is>
          <t>PARAM_CATEGORIE_FOCUS</t>
        </is>
      </c>
      <c r="B44" t="inlineStr">
        <is>
          <t>Hardware</t>
        </is>
      </c>
      <c r="C44" t="inlineStr">
        <is>
          <t>pasii de raport (categoria pe care se concentreaza decizia)</t>
        </is>
      </c>
    </row>
    <row r="45">
      <c r="A45" t="inlineStr">
        <is>
          <t>PARAM_FOAIE_FINALA</t>
        </is>
      </c>
      <c r="B45" t="inlineStr">
        <is>
          <t>Livrare</t>
        </is>
      </c>
      <c r="C45" t="inlineStr">
        <is>
          <t>pasul final (unde sta raportul de decizie)</t>
        </is>
      </c>
    </row>
    <row r="46">
      <c r="A46" s="2" t="n"/>
    </row>
    <row r="47">
      <c r="A47" t="inlineStr">
        <is>
          <t>F) PORNIRE / RELUARE + GRANITA C17-&gt;C18 + TEST ANTI-SOP</t>
        </is>
      </c>
    </row>
    <row r="48">
      <c r="A48" t="inlineStr">
        <is>
          <t>START AICI</t>
        </is>
      </c>
      <c r="B48">
        <f>HYPERLINK("#_SISTEM!A29","pasul 1: deschizi tabelul fact")</f>
        <v/>
      </c>
    </row>
    <row r="49">
      <c r="A49" t="inlineStr">
        <is>
          <t>punct de reluare</t>
        </is>
      </c>
      <c r="B49" t="inlineStr">
        <is>
          <t>reintri la primul pas necompletat din blocul C (ordinea e fixa)</t>
        </is>
      </c>
    </row>
    <row r="50">
      <c r="A50" t="inlineStr">
        <is>
          <t>granita C17-&gt;C18</t>
        </is>
      </c>
      <c r="B50" t="inlineStr">
        <is>
          <t>pasii marcati "candidat C18" se vor automatiza la C18; AICI raman manuali</t>
        </is>
      </c>
    </row>
    <row r="51">
      <c r="A51" t="inlineStr">
        <is>
          <t>transformare (oglinda)</t>
        </is>
      </c>
      <c r="B51">
        <f>FORMULATEXT(Livrare!B9)</f>
        <v/>
      </c>
    </row>
    <row r="52">
      <c r="A52" t="inlineStr">
        <is>
          <t>TEST ANTI-SOP</t>
        </is>
      </c>
      <c r="B52">
        <f>COUNTA('Vanzari'!A:A) &amp; " randuri vii; sterge foile -&gt; #REF!; copiat in Word = mort"</f>
        <v/>
      </c>
    </row>
    <row r="53">
      <c r="A53" t="inlineStr">
        <is>
          <t>de ce e nativ-Excel</t>
        </is>
      </c>
      <c r="B53" t="inlineStr">
        <is>
          <t>HYPERLINK, ROWS, COUNTA, FORMULATEXT depind de foile reale: scoase, se rup</t>
        </is>
      </c>
    </row>
    <row r="55">
      <c r="A55" t="inlineStr">
        <is>
          <t>Garda OGLINDA: tot ce e mai sus OGLINDESTE si NAVIGHEAZA. Nu executa, nu judeca, nu deleaga.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VIZUALIZARE C13 · forma onesta a unui rezultat, verificata contra cifrei brute</t>
        </is>
      </c>
    </row>
    <row r="3">
      <c r="A3" s="2" t="inlineStr">
        <is>
          <t>1) REZULTATUL DE VIZUALIZAT · citit din model (nu inventat)</t>
        </is>
      </c>
    </row>
    <row r="4">
      <c r="A4" s="3" t="inlineStr">
        <is>
          <t>rezultat</t>
        </is>
      </c>
      <c r="B4" s="3" t="inlineStr">
        <is>
          <t>sursa</t>
        </is>
      </c>
      <c r="C4" s="3" t="inlineStr">
        <is>
          <t>natura</t>
        </is>
      </c>
    </row>
    <row r="5">
      <c r="A5" t="inlineStr">
        <is>
          <t>Diferenta valorii intre primele doua categorii</t>
        </is>
      </c>
      <c r="B5" t="inlineStr">
        <is>
          <t>Comparatii (C11/C12)</t>
        </is>
      </c>
      <c r="C5" t="inlineStr">
        <is>
          <t>comparatie -&gt; forma potrivita = bare cu axa de la zero</t>
        </is>
      </c>
    </row>
    <row r="6">
      <c r="A6" s="2" t="n"/>
    </row>
    <row r="7">
      <c r="A7" t="inlineStr">
        <is>
          <t>2) CIFRA BRUTA · valorile reale (referinta de adevar)</t>
        </is>
      </c>
    </row>
    <row r="8">
      <c r="A8" s="3" t="inlineStr">
        <is>
          <t>categorie</t>
        </is>
      </c>
      <c r="B8" s="3" t="inlineStr">
        <is>
          <t>valoare (live)</t>
        </is>
      </c>
      <c r="C8" s="3" t="inlineStr">
        <is>
          <t>pondere din total (%)</t>
        </is>
      </c>
    </row>
    <row r="9">
      <c r="A9" t="inlineStr">
        <is>
          <t>Hardware</t>
        </is>
      </c>
      <c r="B9">
        <f>ROUND(SUMIFS(Vanzari!J2:J2001,Vanzari!G2:G2001,"Hardware"),2)</f>
        <v/>
      </c>
      <c r="C9">
        <f>ROUND(100*SUMIFS(Vanzari!J2:J2001,Vanzari!G2:G2001,"Hardware")/SUM(Vanzari!J2:J2001),1)</f>
        <v/>
      </c>
    </row>
    <row r="10">
      <c r="A10" t="inlineStr">
        <is>
          <t>Software</t>
        </is>
      </c>
      <c r="B10">
        <f>ROUND(SUMIFS(Vanzari!J2:J2001,Vanzari!G2:G2001,"Software"),2)</f>
        <v/>
      </c>
      <c r="C10">
        <f>ROUND(100*SUMIFS(Vanzari!J2:J2001,Vanzari!G2:G2001,"Software")/SUM(Vanzari!J2:J2001),1)</f>
        <v/>
      </c>
    </row>
    <row r="11">
      <c r="A11" t="inlineStr">
        <is>
          <t>Consumabile</t>
        </is>
      </c>
      <c r="B11">
        <f>ROUND(SUMIFS(Vanzari!J2:J2001,Vanzari!G2:G2001,"Consumabile"),2)</f>
        <v/>
      </c>
      <c r="C11">
        <f>ROUND(100*SUMIFS(Vanzari!J2:J2001,Vanzari!G2:G2001,"Consumabile")/SUM(Vanzari!J2:J2001),1)</f>
        <v/>
      </c>
    </row>
    <row r="12">
      <c r="A12" t="inlineStr">
        <is>
          <t>Servicii</t>
        </is>
      </c>
      <c r="B12">
        <f>ROUND(SUMIFS(Vanzari!J2:J2001,Vanzari!G2:G2001,"Servicii"),2)</f>
        <v/>
      </c>
      <c r="C12">
        <f>ROUND(100*SUMIFS(Vanzari!J2:J2001,Vanzari!G2:G2001,"Servicii")/SUM(Vanzari!J2:J2001),1)</f>
        <v/>
      </c>
    </row>
    <row r="13">
      <c r="A13" s="2" t="n"/>
    </row>
    <row r="14">
      <c r="A14" s="3" t="inlineStr">
        <is>
          <t>3) FORMA ONESTA vs FORMA CARE MINTE · aceeasi cifra, doua concluzii</t>
        </is>
      </c>
    </row>
    <row r="15">
      <c r="A15" t="inlineStr">
        <is>
          <t>forma</t>
        </is>
      </c>
      <c r="B15" t="inlineStr">
        <is>
          <t>axa</t>
        </is>
      </c>
      <c r="C15" t="inlineStr">
        <is>
          <t>ce concluzie sugereaza</t>
        </is>
      </c>
      <c r="D15" t="inlineStr">
        <is>
          <t>verdict</t>
        </is>
      </c>
    </row>
    <row r="16">
      <c r="A16" t="inlineStr">
        <is>
          <t>bare cu axa de la zero</t>
        </is>
      </c>
      <c r="B16" t="inlineStr">
        <is>
          <t>porneste de la 0</t>
        </is>
      </c>
      <c r="C16" t="inlineStr">
        <is>
          <t>diferenta reala de 38.0% intre primele doua categorii</t>
        </is>
      </c>
      <c r="D16" t="inlineStr">
        <is>
          <t>ONESTA</t>
        </is>
      </c>
    </row>
    <row r="17">
      <c r="A17" t="inlineStr">
        <is>
          <t>bare cu axa trunchiata</t>
        </is>
      </c>
      <c r="B17" t="inlineStr">
        <is>
          <t>porneste de la a doua valoare</t>
        </is>
      </c>
      <c r="C17" t="inlineStr">
        <is>
          <t>diferenta pare uriasa, desi cifra e aceeasi</t>
        </is>
      </c>
      <c r="D17" t="inlineStr">
        <is>
          <t>MINTE</t>
        </is>
      </c>
    </row>
    <row r="18">
      <c r="A18" t="inlineStr">
        <is>
          <t>placinta cu prea multe felii</t>
        </is>
      </c>
      <c r="B18" t="inlineStr">
        <is>
          <t>fara axa</t>
        </is>
      </c>
      <c r="C18" t="inlineStr">
        <is>
          <t>ordinea si marimea categoriilor devin greu de citit</t>
        </is>
      </c>
      <c r="D18" t="inlineStr">
        <is>
          <t>MINTE</t>
        </is>
      </c>
    </row>
    <row r="19">
      <c r="A19" s="2" t="n"/>
    </row>
    <row r="20">
      <c r="A20" s="3" t="inlineStr">
        <is>
          <t>4) VERIFICARE · vizualul citit singur = cifra bruta?</t>
        </is>
      </c>
    </row>
    <row r="21">
      <c r="A21" t="inlineStr">
        <is>
          <t>proba</t>
        </is>
      </c>
      <c r="B21" t="inlineStr">
        <is>
          <t>rezultat</t>
        </is>
      </c>
    </row>
    <row r="22">
      <c r="A22" t="inlineStr">
        <is>
          <t>concluzia din forma onesta</t>
        </is>
      </c>
      <c r="B22" t="inlineStr">
        <is>
          <t>Hardware conduce, cu 38.0% peste Software</t>
        </is>
      </c>
    </row>
    <row r="23">
      <c r="A23" t="inlineStr">
        <is>
          <t>concluzia din cifra bruta (sectiunea 2)</t>
        </is>
      </c>
      <c r="B23" t="inlineStr">
        <is>
          <t>identica: Hardware conduce cu aceeasi diferenta</t>
        </is>
      </c>
    </row>
    <row r="24">
      <c r="A24" t="inlineStr">
        <is>
          <t>al doilea ochi (doar graficul, fara cifra)</t>
        </is>
      </c>
      <c r="B24" t="inlineStr">
        <is>
          <t>trage aceeasi concluzie -&gt; forma e onesta</t>
        </is>
      </c>
    </row>
    <row r="25">
      <c r="A25" s="2" t="n"/>
    </row>
    <row r="26">
      <c r="A26" s="3" t="inlineStr">
        <is>
          <t>5) CELE 6 REGULI DE ONESTITATE A FORMEI</t>
        </is>
      </c>
    </row>
    <row r="27">
      <c r="A27" t="inlineStr">
        <is>
          <t>#</t>
        </is>
      </c>
      <c r="B27" t="inlineStr">
        <is>
          <t>deformare</t>
        </is>
      </c>
      <c r="C27" t="inlineStr">
        <is>
          <t>regula onesta</t>
        </is>
      </c>
    </row>
    <row r="28">
      <c r="A28" t="n">
        <v>1</v>
      </c>
      <c r="B28" t="inlineStr">
        <is>
          <t>Axa care exagereaza</t>
        </is>
      </c>
      <c r="C28" t="inlineStr">
        <is>
          <t>axa pleaca de la zero, sau abaterea e declarata explicit</t>
        </is>
      </c>
    </row>
    <row r="29">
      <c r="A29" t="n">
        <v>2</v>
      </c>
      <c r="B29" t="inlineStr">
        <is>
          <t>Tipul de grafic nepotrivit</t>
        </is>
      </c>
      <c r="C29" t="inlineStr">
        <is>
          <t>tipul urmeaza natura rezultatului</t>
        </is>
      </c>
    </row>
    <row r="30">
      <c r="A30" t="n">
        <v>3</v>
      </c>
      <c r="B30" t="inlineStr">
        <is>
          <t>Scala care inventeaza relatii</t>
        </is>
      </c>
      <c r="C30" t="inlineStr">
        <is>
          <t>o singura scala liniara, declarata</t>
        </is>
      </c>
    </row>
    <row r="31">
      <c r="A31" t="n">
        <v>4</v>
      </c>
      <c r="B31" t="inlineStr">
        <is>
          <t>Codarea care sugereaza fals</t>
        </is>
      </c>
      <c r="C31" t="inlineStr">
        <is>
          <t>o singura dimensiune codata coerent</t>
        </is>
      </c>
    </row>
    <row r="32">
      <c r="A32" t="n">
        <v>5</v>
      </c>
      <c r="B32" t="inlineStr">
        <is>
          <t>Agregarea care ascunde variatia</t>
        </is>
      </c>
      <c r="C32" t="inlineStr">
        <is>
          <t>arati distributia / variatia, nu doar media</t>
        </is>
      </c>
    </row>
    <row r="33">
      <c r="A33" t="n">
        <v>6</v>
      </c>
      <c r="B33" t="inlineStr">
        <is>
          <t>Eticheta / unitatea / contextul lipsa</t>
        </is>
      </c>
      <c r="C33" t="inlineStr">
        <is>
          <t>fiecare vizual poarta unitate, eticheta si context</t>
        </is>
      </c>
    </row>
    <row r="34">
      <c r="A34" s="2" t="n"/>
    </row>
    <row r="35">
      <c r="A35" t="inlineStr">
        <is>
          <t>6) HANDOFF · C13 face obiectul adevarat, C14 il asaza in pagina</t>
        </is>
      </c>
    </row>
    <row r="36">
      <c r="A36" t="inlineStr">
        <is>
          <t>input de la T3 (C12)</t>
        </is>
      </c>
      <c r="B36" t="inlineStr">
        <is>
          <t>rezultat corect, explicat, dar mut in model</t>
        </is>
      </c>
    </row>
    <row r="37">
      <c r="A37" t="inlineStr">
        <is>
          <t>output C13</t>
        </is>
      </c>
      <c r="B37" t="inlineStr">
        <is>
          <t>obiect vizual onest, verificat contra cifrei brute</t>
        </is>
      </c>
    </row>
    <row r="38">
      <c r="A38" t="inlineStr">
        <is>
          <t>predat catre C14</t>
        </is>
      </c>
      <c r="B38" t="inlineStr">
        <is>
          <t>compunerea paginii / dashboard-ului (organizare spatiala)</t>
        </is>
      </c>
    </row>
    <row r="39">
      <c r="A39" t="inlineStr">
        <is>
          <t>C13 NU face</t>
        </is>
      </c>
      <c r="B39" t="inlineStr">
        <is>
          <t>dashboard, pagina, layout, mesaj, livrare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COMPUNERE C14 · asezarea spatiala a mai multor obiecte vizuale intr-o pagina de raport</t>
        </is>
      </c>
    </row>
    <row r="3">
      <c r="A3" s="2" t="inlineStr">
        <is>
          <t>1) OBIECTELE VIZUALE PRIMITE · de la treapta de vizualizare (nu redesenate, tip neschimbat)</t>
        </is>
      </c>
    </row>
    <row r="4">
      <c r="A4" s="3" t="inlineStr">
        <is>
          <t>obiect</t>
        </is>
      </c>
      <c r="B4" s="3" t="inlineStr">
        <is>
          <t>tip (neschimbat)</t>
        </is>
      </c>
      <c r="C4" s="3" t="inlineStr">
        <is>
          <t>ce arata</t>
        </is>
      </c>
    </row>
    <row r="5">
      <c r="A5" t="inlineStr">
        <is>
          <t>Clasament categorii</t>
        </is>
      </c>
      <c r="B5" t="inlineStr">
        <is>
          <t>bare cu axa de la zero</t>
        </is>
      </c>
      <c r="C5" t="inlineStr">
        <is>
          <t>comparatia valorii intre categorii</t>
        </is>
      </c>
    </row>
    <row r="6">
      <c r="A6" t="inlineStr">
        <is>
          <t>Pondere din total</t>
        </is>
      </c>
      <c r="B6" t="inlineStr">
        <is>
          <t>structura parte-din-tot</t>
        </is>
      </c>
      <c r="C6" t="inlineStr">
        <is>
          <t>cat reprezinta fiecare categorie</t>
        </is>
      </c>
    </row>
    <row r="7">
      <c r="A7" t="inlineStr">
        <is>
          <t>Context masura</t>
        </is>
      </c>
      <c r="B7" t="inlineStr">
        <is>
          <t>indicator (numar mare)</t>
        </is>
      </c>
      <c r="C7" t="inlineStr">
        <is>
          <t>o singura cifra de referinta</t>
        </is>
      </c>
    </row>
    <row r="8">
      <c r="A8" s="2" t="n"/>
    </row>
    <row r="9">
      <c r="A9" s="3" t="inlineStr">
        <is>
          <t>2) INTREBAREA C14 · ce vede ochiul intai? · raspunsul guverneaza focarul</t>
        </is>
      </c>
    </row>
    <row r="10">
      <c r="A10" t="inlineStr">
        <is>
          <t>element</t>
        </is>
      </c>
      <c r="B10" t="inlineStr">
        <is>
          <t>valoare</t>
        </is>
      </c>
    </row>
    <row r="11">
      <c r="A11" t="inlineStr">
        <is>
          <t>raspunsul venit din analiza (ce conteaza)</t>
        </is>
      </c>
      <c r="B11" t="inlineStr">
        <is>
          <t>Hardware conduce, cu 38.0% peste Software</t>
        </is>
      </c>
    </row>
    <row r="12">
      <c r="A12" t="inlineStr">
        <is>
          <t>focarul (obiectul atins primul)</t>
        </is>
      </c>
      <c r="B12" t="inlineStr">
        <is>
          <t>clasamentul categoriilor, cu Hardware in frunte</t>
        </is>
      </c>
    </row>
    <row r="13">
      <c r="A13" s="2" t="n"/>
    </row>
    <row r="14">
      <c r="A14" s="3" t="inlineStr">
        <is>
          <t>3) ASEZAREA · pozitie, ordine de citire, grup (acelasi continut, alta dispunere)</t>
        </is>
      </c>
    </row>
    <row r="15">
      <c r="A15" t="inlineStr">
        <is>
          <t>obiect</t>
        </is>
      </c>
      <c r="B15" t="inlineStr">
        <is>
          <t>pozitie</t>
        </is>
      </c>
      <c r="C15" t="inlineStr">
        <is>
          <t>ordine de citire</t>
        </is>
      </c>
      <c r="D15" t="inlineStr">
        <is>
          <t>grup</t>
        </is>
      </c>
    </row>
    <row r="16">
      <c r="A16" t="inlineStr">
        <is>
          <t>Clasament categorii</t>
        </is>
      </c>
      <c r="B16" t="inlineStr">
        <is>
          <t>sus-stanga (focar)</t>
        </is>
      </c>
      <c r="C16" t="inlineStr">
        <is>
          <t>1</t>
        </is>
      </c>
      <c r="D16" t="inlineStr">
        <is>
          <t>rezultatul principal</t>
        </is>
      </c>
    </row>
    <row r="17">
      <c r="A17" t="inlineStr">
        <is>
          <t>Pondere din total</t>
        </is>
      </c>
      <c r="B17" t="inlineStr">
        <is>
          <t>langa focar</t>
        </is>
      </c>
      <c r="C17" t="inlineStr">
        <is>
          <t>2</t>
        </is>
      </c>
      <c r="D17" t="inlineStr">
        <is>
          <t>rezultatul principal</t>
        </is>
      </c>
    </row>
    <row r="18">
      <c r="A18" t="inlineStr">
        <is>
          <t>Context masura</t>
        </is>
      </c>
      <c r="B18" t="inlineStr">
        <is>
          <t>sub focar, mai mic</t>
        </is>
      </c>
      <c r="C18" t="inlineStr">
        <is>
          <t>3</t>
        </is>
      </c>
      <c r="D18" t="inlineStr">
        <is>
          <t>suport</t>
        </is>
      </c>
    </row>
    <row r="19">
      <c r="A19" t="inlineStr">
        <is>
          <t>Tabel detaliu</t>
        </is>
      </c>
      <c r="B19" t="inlineStr">
        <is>
          <t>jos, retrogradat</t>
        </is>
      </c>
      <c r="C19" t="inlineStr">
        <is>
          <t>4</t>
        </is>
      </c>
      <c r="D19" t="inlineStr">
        <is>
          <t>detaliu la cerere</t>
        </is>
      </c>
    </row>
    <row r="20">
      <c r="A20" s="2" t="n"/>
    </row>
    <row r="21">
      <c r="A21" s="3" t="inlineStr">
        <is>
          <t>4) BEFORE / AFTER · aceleasi obiecte, alta asezare, alta decizie</t>
        </is>
      </c>
    </row>
    <row r="22">
      <c r="A22" t="inlineStr">
        <is>
          <t>dimensiune</t>
        </is>
      </c>
      <c r="B22" t="inlineStr">
        <is>
          <t>inainte (ordinea productiei)</t>
        </is>
      </c>
      <c r="C22" t="inlineStr">
        <is>
          <t>dupa (compunere guvernata de raspuns)</t>
        </is>
      </c>
    </row>
    <row r="23">
      <c r="A23" t="inlineStr">
        <is>
          <t>focar</t>
        </is>
      </c>
      <c r="B23" t="inlineStr">
        <is>
          <t>niciunul, toate egale</t>
        </is>
      </c>
      <c r="C23" t="inlineStr">
        <is>
          <t>unul singur, atins primul</t>
        </is>
      </c>
    </row>
    <row r="24">
      <c r="A24" t="inlineStr">
        <is>
          <t>ordine de citire</t>
        </is>
      </c>
      <c r="B24" t="inlineStr">
        <is>
          <t>cronologica, intamplatoare</t>
        </is>
      </c>
      <c r="C24" t="inlineStr">
        <is>
          <t>guvernata de raspuns</t>
        </is>
      </c>
    </row>
    <row r="25">
      <c r="A25" t="inlineStr">
        <is>
          <t>greutate vizuala</t>
        </is>
      </c>
      <c r="B25" t="inlineStr">
        <is>
          <t>egala la lucruri inegale</t>
        </is>
      </c>
      <c r="C25" t="inlineStr">
        <is>
          <t>ierarhie pe trei niveluri</t>
        </is>
      </c>
    </row>
    <row r="26">
      <c r="A26" t="inlineStr">
        <is>
          <t>spatiu gol</t>
        </is>
      </c>
      <c r="B26" t="inlineStr">
        <is>
          <t>umplut (horror vacui)</t>
        </is>
      </c>
      <c r="C26" t="inlineStr">
        <is>
          <t>deliberat, izoleaza focarul</t>
        </is>
      </c>
    </row>
    <row r="27">
      <c r="A27" t="inlineStr">
        <is>
          <t>decizie</t>
        </is>
      </c>
      <c r="B27" t="inlineStr">
        <is>
          <t>intarzie, ochiul rataceste</t>
        </is>
      </c>
      <c r="C27" t="inlineStr">
        <is>
          <t>se prinde in cateva secunde</t>
        </is>
      </c>
    </row>
    <row r="28">
      <c r="A28" s="2" t="n"/>
    </row>
    <row r="29">
      <c r="A29" s="3" t="inlineStr">
        <is>
          <t>5) CELE 6 OPERATII DE COMPUNERE (dezordine -&gt; compozitie pentru decizie)</t>
        </is>
      </c>
    </row>
    <row r="30">
      <c r="A30" t="inlineStr">
        <is>
          <t>#</t>
        </is>
      </c>
      <c r="B30" t="inlineStr">
        <is>
          <t>dezordine</t>
        </is>
      </c>
      <c r="C30" t="inlineStr">
        <is>
          <t>operatie de compunere</t>
        </is>
      </c>
    </row>
    <row r="31">
      <c r="A31" t="n">
        <v>1</v>
      </c>
      <c r="B31" t="inlineStr">
        <is>
          <t>Pagina-zid fara focar</t>
        </is>
      </c>
      <c r="C31" t="inlineStr">
        <is>
          <t>stabilesti un singur focar, atins primul</t>
        </is>
      </c>
    </row>
    <row r="32">
      <c r="A32" t="n">
        <v>2</v>
      </c>
      <c r="B32" t="inlineStr">
        <is>
          <t>Esentialul ingropat in colt</t>
        </is>
      </c>
      <c r="C32" t="inlineStr">
        <is>
          <t>esentialul urca in primul punct de contact al ochiului</t>
        </is>
      </c>
    </row>
    <row r="33">
      <c r="A33" t="n">
        <v>3</v>
      </c>
      <c r="B33" t="inlineStr">
        <is>
          <t>Ordinea de productie pe pagina</t>
        </is>
      </c>
      <c r="C33" t="inlineStr">
        <is>
          <t>ordinea de citire guvernata de raspuns</t>
        </is>
      </c>
    </row>
    <row r="34">
      <c r="A34" t="n">
        <v>4</v>
      </c>
      <c r="B34" t="inlineStr">
        <is>
          <t>Greutate egala la lucruri inegale</t>
        </is>
      </c>
      <c r="C34" t="inlineStr">
        <is>
          <t>ierarhie prin marime, pozitie, contrast, spatiu</t>
        </is>
      </c>
    </row>
    <row r="35">
      <c r="A35" t="n">
        <v>5</v>
      </c>
      <c r="B35" t="inlineStr">
        <is>
          <t>Proximitate care minte despre relatii</t>
        </is>
      </c>
      <c r="C35" t="inlineStr">
        <is>
          <t>grupare spatiala a obiectelor legate</t>
        </is>
      </c>
    </row>
    <row r="36">
      <c r="A36" t="n">
        <v>6</v>
      </c>
      <c r="B36" t="inlineStr">
        <is>
          <t>Horror vacui, umpli orice gol</t>
        </is>
      </c>
      <c r="C36" t="inlineStr">
        <is>
          <t>spatiul gol folosit ca instrument de ierarhie</t>
        </is>
      </c>
    </row>
    <row r="37">
      <c r="A37" s="2" t="n"/>
    </row>
    <row r="38">
      <c r="A38" t="inlineStr">
        <is>
          <t>6) HANDOFF · C14 asaza pagina, C15 ii extrage mesajul</t>
        </is>
      </c>
    </row>
    <row r="39">
      <c r="A39" t="inlineStr">
        <is>
          <t>input de la treapta de vizualizare</t>
        </is>
      </c>
      <c r="B39" t="inlineStr">
        <is>
          <t>obiecte vizuale oneste, fiecare adevarat singur</t>
        </is>
      </c>
    </row>
    <row r="40">
      <c r="A40" t="inlineStr">
        <is>
          <t>output C14</t>
        </is>
      </c>
      <c r="B40" t="inlineStr">
        <is>
          <t>pagina de raport coerenta: focar, ierarhie, traseu, grupare, spatiu</t>
        </is>
      </c>
    </row>
    <row r="41">
      <c r="A41" t="inlineStr">
        <is>
          <t>predat catre treapta de sintetizare</t>
        </is>
      </c>
      <c r="B41" t="inlineStr">
        <is>
          <t>extragerea si formularea mesajului esential</t>
        </is>
      </c>
    </row>
    <row r="42">
      <c r="A42" t="inlineStr">
        <is>
          <t>C14 NU face</t>
        </is>
      </c>
      <c r="B42" t="inlineStr">
        <is>
          <t>obiect nou, mesaj, livrare, re-analiza; nu schimba tipuri de grafice</t>
        </is>
      </c>
    </row>
    <row r="43">
      <c r="A43" t="inlineStr">
        <is>
          <t>suma conservata cap-coada</t>
        </is>
      </c>
      <c r="B43" t="n">
        <v>7986019.38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SINTEZA C15 · stratul MESAJ · formularea mesajului esential al paginii compuse</t>
        </is>
      </c>
    </row>
    <row r="3">
      <c r="A3" s="2" t="inlineStr">
        <is>
          <t>1) PAGINA PRIMITA · de la treapta de compunere (pagina-dovada, nerearanjata)</t>
        </is>
      </c>
    </row>
    <row r="4">
      <c r="A4" s="3" t="inlineStr">
        <is>
          <t>element</t>
        </is>
      </c>
      <c r="B4" s="3" t="inlineStr">
        <is>
          <t>continut</t>
        </is>
      </c>
    </row>
    <row r="5">
      <c r="A5" t="inlineStr">
        <is>
          <t>pagina compusa</t>
        </is>
      </c>
      <c r="B5" t="inlineStr">
        <is>
          <t>focar, ierarhie, traseu de citire (mostenite de la C14)</t>
        </is>
      </c>
    </row>
    <row r="6">
      <c r="A6" t="inlineStr">
        <is>
          <t>raspunsul venit din analiza (T3), de reformulat ca mesaj</t>
        </is>
      </c>
      <c r="B6" t="inlineStr">
        <is>
          <t>Hardware conduce, cu 38.0% peste Software</t>
        </is>
      </c>
    </row>
    <row r="7">
      <c r="A7" t="inlineStr">
        <is>
          <t>stare</t>
        </is>
      </c>
      <c r="B7" t="inlineStr">
        <is>
          <t>pagina ARATA corect; inca nu SPUNE nimic</t>
        </is>
      </c>
    </row>
    <row r="8">
      <c r="A8" s="2" t="n"/>
    </row>
    <row r="9">
      <c r="A9" s="3" t="inlineStr">
        <is>
          <t>2) REZUMAT vs SINTEZA · aceeasi pagina, doua iesiri</t>
        </is>
      </c>
    </row>
    <row r="10">
      <c r="A10" t="inlineStr">
        <is>
          <t>tip</t>
        </is>
      </c>
      <c r="B10" t="inlineStr">
        <is>
          <t>ce face</t>
        </is>
      </c>
      <c r="C10" t="inlineStr">
        <is>
          <t>rezultat</t>
        </is>
      </c>
    </row>
    <row r="11">
      <c r="A11" t="inlineStr">
        <is>
          <t>rezumat (automat, AI)</t>
        </is>
      </c>
      <c r="B11" t="inlineStr">
        <is>
          <t>scurteaza tot proportional</t>
        </is>
      </c>
      <c r="C11" t="inlineStr">
        <is>
          <t>lista de tot ce e pe pagina, fara ierarhie de sens</t>
        </is>
      </c>
    </row>
    <row r="12">
      <c r="A12" t="inlineStr">
        <is>
          <t>sinteza (om)</t>
        </is>
      </c>
      <c r="B12" t="inlineStr">
        <is>
          <t>alege singurul mesaj care conteaza</t>
        </is>
      </c>
      <c r="C12" t="inlineStr">
        <is>
          <t>o singura fraza pe care pagina o dovedeste</t>
        </is>
      </c>
    </row>
    <row r="13">
      <c r="A13" s="2" t="n"/>
    </row>
    <row r="14">
      <c r="A14" s="3" t="inlineStr">
        <is>
          <t>3) MESAJUL ESENTIAL · headline + so-what (text formulat de cursant, nu calculat)</t>
        </is>
      </c>
    </row>
    <row r="15">
      <c r="A15" t="inlineStr">
        <is>
          <t>camp</t>
        </is>
      </c>
      <c r="B15" t="inlineStr">
        <is>
          <t>continut (exemplu, fara cifre statice in raportul vizual)</t>
        </is>
      </c>
    </row>
    <row r="16">
      <c r="A16" t="inlineStr">
        <is>
          <t>headline (o fraza)</t>
        </is>
      </c>
      <c r="B16" t="inlineStr">
        <is>
          <t>In trimestrul analizat, Hardware duce rezultatul; restul categoriilor raman in urma.</t>
        </is>
      </c>
    </row>
    <row r="17">
      <c r="A17" t="inlineStr">
        <is>
          <t>so-what (de ce conteaza)</t>
        </is>
      </c>
      <c r="B17" t="inlineStr">
        <is>
          <t>Daca o singura categorie poarta rezultatul, acolo se uita decidentul intai.</t>
        </is>
      </c>
    </row>
    <row r="18">
      <c r="A18" t="inlineStr">
        <is>
          <t>legatura la pagina-dovada</t>
        </is>
      </c>
      <c r="B18" t="inlineStr">
        <is>
          <t>focarul paginii: clasamentul categoriilor, cu Hardware in frunte</t>
        </is>
      </c>
    </row>
    <row r="19">
      <c r="A19" t="inlineStr">
        <is>
          <t>NOTA</t>
        </is>
      </c>
      <c r="B19" t="inlineStr">
        <is>
          <t>cifra exacta traieste in pagina/Excel; mesajul o reformuleaza, nu o re-calculeaza</t>
        </is>
      </c>
    </row>
    <row r="20">
      <c r="A20" s="2" t="n"/>
    </row>
    <row r="21">
      <c r="A21" s="3" t="inlineStr">
        <is>
          <t>4) TESTUL "si ce-i cu asta?" · mesaj care muta decizia vs zgomot</t>
        </is>
      </c>
    </row>
    <row r="22">
      <c r="A22" t="inlineStr">
        <is>
          <t>fraza candidata</t>
        </is>
      </c>
      <c r="B22" t="inlineStr">
        <is>
          <t>trece testul?</t>
        </is>
      </c>
      <c r="C22" t="inlineStr">
        <is>
          <t>de ce</t>
        </is>
      </c>
    </row>
    <row r="23">
      <c r="A23" t="inlineStr">
        <is>
          <t>"Pagina contine 7 categorii si 4 indicatori."</t>
        </is>
      </c>
      <c r="B23" t="inlineStr">
        <is>
          <t>NU</t>
        </is>
      </c>
      <c r="C23" t="inlineStr">
        <is>
          <t>descrie, nu spune ce conteaza (e rezumat)</t>
        </is>
      </c>
    </row>
    <row r="24">
      <c r="A24" t="inlineStr">
        <is>
          <t>"O singura categorie duce rezultatul."</t>
        </is>
      </c>
      <c r="B24" t="inlineStr">
        <is>
          <t>DA</t>
        </is>
      </c>
      <c r="C24" t="inlineStr">
        <is>
          <t>fara ea, decidentul s-ar uita altundeva</t>
        </is>
      </c>
    </row>
    <row r="25">
      <c r="A25" t="inlineStr">
        <is>
          <t>filtru</t>
        </is>
      </c>
      <c r="B25" t="inlineStr">
        <is>
          <t>fara aceasta fraza, decidentul hotaraste la fel? Daca da, nu e mesajul.</t>
        </is>
      </c>
    </row>
    <row r="26">
      <c r="A26" s="2" t="n"/>
    </row>
    <row r="27">
      <c r="A27" s="3" t="inlineStr">
        <is>
          <t>5) REFORMULARE (E5) · mesajul se adapteaza la schimbare (verbal, NU recalcul)</t>
        </is>
      </c>
    </row>
    <row r="28">
      <c r="A28" t="inlineStr">
        <is>
          <t>situatie</t>
        </is>
      </c>
      <c r="B28" t="inlineStr">
        <is>
          <t>ce faci</t>
        </is>
      </c>
    </row>
    <row r="29">
      <c r="A29" t="inlineStr">
        <is>
          <t>datele s-au actualizat in amonte (model/T3)</t>
        </is>
      </c>
      <c r="B29" t="inlineStr">
        <is>
          <t>mesajul vechi nu mai e exact</t>
        </is>
      </c>
    </row>
    <row r="30">
      <c r="A30" t="inlineStr">
        <is>
          <t>actiunea C15</t>
        </is>
      </c>
      <c r="B30" t="inlineStr">
        <is>
          <t>reformulezi headline-ul (refaci sinteza); NU recalculezi nimic</t>
        </is>
      </c>
    </row>
    <row r="31">
      <c r="A31" t="inlineStr">
        <is>
          <t>cifrele</t>
        </is>
      </c>
      <c r="B31" t="inlineStr">
        <is>
          <t>raman ale modelului; se schimba in amonte, nu in stratul MESAJ</t>
        </is>
      </c>
    </row>
    <row r="32">
      <c r="A32" t="inlineStr">
        <is>
          <t>criteriu pastrat</t>
        </is>
      </c>
      <c r="B32" t="inlineStr">
        <is>
          <t>noul mesaj ramane o singura afirmatie sustinuta de pagina: ce conteaza</t>
        </is>
      </c>
    </row>
    <row r="33">
      <c r="A33" s="2" t="n"/>
    </row>
    <row r="34">
      <c r="A34" t="inlineStr">
        <is>
          <t>6) HANDOFF · C15 formuleaza mesajul, C16 il incadreaza pentru decizie</t>
        </is>
      </c>
    </row>
    <row r="35">
      <c r="A35" t="inlineStr">
        <is>
          <t>input de la treapta de compunere</t>
        </is>
      </c>
      <c r="B35" t="inlineStr">
        <is>
          <t>pagina coerenta: focar, ierarhie, traseu</t>
        </is>
      </c>
    </row>
    <row r="36">
      <c r="A36" t="inlineStr">
        <is>
          <t>output C15</t>
        </is>
      </c>
      <c r="B36" t="inlineStr">
        <is>
          <t>mesajul esential (o fraza) + so-what + legatura la pagina-dovada</t>
        </is>
      </c>
    </row>
    <row r="37">
      <c r="A37" t="inlineStr">
        <is>
          <t>predat catre treapta de livrare</t>
        </is>
      </c>
      <c r="B37" t="inlineStr">
        <is>
          <t>incadrarea deciziei: ce e de hotarat, pachet pentru decident</t>
        </is>
      </c>
    </row>
    <row r="38">
      <c r="A38" t="inlineStr">
        <is>
          <t>C15 NU face</t>
        </is>
      </c>
      <c r="B38" t="inlineStr">
        <is>
          <t>cifra/cauza noua (T3), rearanjare pagina (C14), recomandare/livrare (C16)</t>
        </is>
      </c>
    </row>
    <row r="39">
      <c r="A39" t="inlineStr">
        <is>
          <t>regula de aur</t>
        </is>
      </c>
      <c r="B39" t="inlineStr">
        <is>
          <t>mesajul CITESTE din pagina, nu PRODUCE pagina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LIVRARE C16 · foaia-raport de decizie: raportul devine obiect de decizie</t>
        </is>
      </c>
    </row>
    <row r="2"/>
    <row r="3">
      <c r="A3" s="2" t="inlineStr">
        <is>
          <t>1) DECIZIA CERUTA · ce se hotaraste din raport (citit din rezultat, nu inventat)</t>
        </is>
      </c>
    </row>
    <row r="4">
      <c r="A4" s="3" t="inlineStr">
        <is>
          <t>decizie ceruta</t>
        </is>
      </c>
      <c r="B4" s="3" t="inlineStr">
        <is>
          <t>sursa</t>
        </is>
      </c>
      <c r="C4" s="3" t="inlineStr">
        <is>
          <t>tip</t>
        </is>
      </c>
    </row>
    <row r="5">
      <c r="A5" t="inlineStr">
        <is>
          <t>Pe ce categorie concentram resursele in ciclul urmator</t>
        </is>
      </c>
      <c r="B5" t="inlineStr">
        <is>
          <t>Comparatii (C11/C12) + agregat pe categorie</t>
        </is>
      </c>
      <c r="C5" t="inlineStr">
        <is>
          <t>decizie de alocare, orientata spre actiune</t>
        </is>
      </c>
    </row>
    <row r="6">
      <c r="A6" s="2" t="n"/>
    </row>
    <row r="7">
      <c r="A7" t="inlineStr">
        <is>
          <t>2) CADRUL DE DECIZIE · decizie / risc / concluzie / pas urmator (ancorat in agregatul live)</t>
        </is>
      </c>
    </row>
    <row r="8">
      <c r="A8" s="3" t="inlineStr">
        <is>
          <t>element</t>
        </is>
      </c>
      <c r="B8" s="3" t="inlineStr">
        <is>
          <t>continut (ancorat in date)</t>
        </is>
      </c>
    </row>
    <row r="9">
      <c r="A9" t="inlineStr">
        <is>
          <t>Concluzie</t>
        </is>
      </c>
      <c r="B9">
        <f>CONCATENATE("Categoria ","Hardware"," conduce valoarea neta, cu ",TEXT(ROUND(100*SUMIFS(Vanzari!J2:J2001,Vanzari!G2:G2001,"Hardware")/SUM(Vanzari!J2:J2001),1),"0.0"),"%% din total")</f>
        <v/>
      </c>
    </row>
    <row r="10">
      <c r="A10" t="inlineStr">
        <is>
          <t>Decizie de luat</t>
        </is>
      </c>
      <c r="B10">
        <f>CONCATENATE("Mentinem focusul pe ","Hardware"," sau realocam spre ","Software"," (a doua)?")</f>
        <v/>
      </c>
    </row>
    <row r="11">
      <c r="A11" t="inlineStr">
        <is>
          <t>Risc</t>
        </is>
      </c>
      <c r="B11">
        <f>CONCATENATE("Dependenta de o singura categorie: ","Hardware"," tine ",TEXT(ROUND(100*SUMIFS(Vanzari!J2:J2001,Vanzari!G2:G2001,"Hardware")/SUM(Vanzari!J2:J2001),1),"0.0"),"%% din valoarea neta; prag de alerta de stabilit")</f>
        <v/>
      </c>
    </row>
    <row r="12">
      <c r="A12" t="inlineStr">
        <is>
          <t>Pas urmator</t>
        </is>
      </c>
      <c r="B12" t="inlineStr">
        <is>
          <t>Actiunea propusa (de scris explicit de decident), ancorata in agregatul de mai jos</t>
        </is>
      </c>
    </row>
    <row r="13">
      <c r="A13" s="2" t="n"/>
    </row>
    <row r="14">
      <c r="A14" t="inlineStr">
        <is>
          <t>3) CE INTRA IN DECIZIE (cap de foaie) vs CE RAMANE ANEXA</t>
        </is>
      </c>
    </row>
    <row r="15">
      <c r="A15" t="inlineStr">
        <is>
          <t>nivel</t>
        </is>
      </c>
      <c r="B15" t="inlineStr">
        <is>
          <t>continut</t>
        </is>
      </c>
      <c r="C15" t="inlineStr">
        <is>
          <t>unde sta</t>
        </is>
      </c>
    </row>
    <row r="16">
      <c r="A16" t="inlineStr">
        <is>
          <t>in decizie</t>
        </is>
      </c>
      <c r="B16" t="inlineStr">
        <is>
          <t>agregatul pe categorie (relevant pentru hotarare)</t>
        </is>
      </c>
      <c r="C16" t="inlineStr">
        <is>
          <t>capul foii</t>
        </is>
      </c>
    </row>
    <row r="17">
      <c r="A17" t="inlineStr">
        <is>
          <t>anexa</t>
        </is>
      </c>
      <c r="B17" t="inlineStr">
        <is>
          <t>detaliul brut linie cu linie (nr_factura, data_factura, client)</t>
        </is>
      </c>
      <c r="C17" t="inlineStr">
        <is>
          <t>jos / foaie separata</t>
        </is>
      </c>
    </row>
    <row r="19">
      <c r="A19" t="inlineStr">
        <is>
          <t>agregat pe categorie (cifra live, referinta de decizie):</t>
        </is>
      </c>
    </row>
    <row r="20">
      <c r="A20" s="3" t="inlineStr">
        <is>
          <t>categorie</t>
        </is>
      </c>
      <c r="B20" s="3" t="inlineStr">
        <is>
          <t>valoare neta (live)</t>
        </is>
      </c>
      <c r="C20" s="3" t="inlineStr">
        <is>
          <t>pondere din total (%)</t>
        </is>
      </c>
    </row>
    <row r="21">
      <c r="A21" t="inlineStr">
        <is>
          <t>Hardware</t>
        </is>
      </c>
      <c r="B21">
        <f>ROUND(SUMIFS(Vanzari!J2:J2001,Vanzari!G2:G2001,"Hardware"),2)</f>
        <v/>
      </c>
      <c r="C21">
        <f>ROUND(100*SUMIFS(Vanzari!J2:J2001,Vanzari!G2:G2001,"Hardware")/SUM(Vanzari!J2:J2001),1)</f>
        <v/>
      </c>
    </row>
    <row r="22">
      <c r="A22" t="inlineStr">
        <is>
          <t>Software</t>
        </is>
      </c>
      <c r="B22">
        <f>ROUND(SUMIFS(Vanzari!J2:J2001,Vanzari!G2:G2001,"Software"),2)</f>
        <v/>
      </c>
      <c r="C22">
        <f>ROUND(100*SUMIFS(Vanzari!J2:J2001,Vanzari!G2:G2001,"Software")/SUM(Vanzari!J2:J2001),1)</f>
        <v/>
      </c>
    </row>
    <row r="23">
      <c r="A23" t="inlineStr">
        <is>
          <t>Consumabile</t>
        </is>
      </c>
      <c r="B23">
        <f>ROUND(SUMIFS(Vanzari!J2:J2001,Vanzari!G2:G2001,"Consumabile"),2)</f>
        <v/>
      </c>
      <c r="C23">
        <f>ROUND(100*SUMIFS(Vanzari!J2:J2001,Vanzari!G2:G2001,"Consumabile")/SUM(Vanzari!J2:J2001),1)</f>
        <v/>
      </c>
    </row>
    <row r="24">
      <c r="A24" t="inlineStr">
        <is>
          <t>Servicii</t>
        </is>
      </c>
      <c r="B24">
        <f>ROUND(SUMIFS(Vanzari!J2:J2001,Vanzari!G2:G2001,"Servicii"),2)</f>
        <v/>
      </c>
      <c r="C24">
        <f>ROUND(100*SUMIFS(Vanzari!J2:J2001,Vanzari!G2:G2001,"Servicii")/SUM(Vanzari!J2:J2001),1)</f>
        <v/>
      </c>
    </row>
    <row r="25">
      <c r="A25" s="2" t="n"/>
    </row>
    <row r="26">
      <c r="A26" s="3" t="inlineStr">
        <is>
          <t>4) VERIFICARE · poate decidentul hotari doar din foaie? (self-standing)</t>
        </is>
      </c>
    </row>
    <row r="27">
      <c r="A27" t="inlineStr">
        <is>
          <t>proba</t>
        </is>
      </c>
      <c r="B27" t="inlineStr">
        <is>
          <t>rezultat</t>
        </is>
      </c>
    </row>
    <row r="28">
      <c r="A28" t="inlineStr">
        <is>
          <t>decizie + risc + concluzie + pas urmator prezente?</t>
        </is>
      </c>
      <c r="B28" t="inlineStr">
        <is>
          <t>da, in cadrul de decizie (sectiunea 2)</t>
        </is>
      </c>
    </row>
    <row r="29">
      <c r="A29" t="inlineStr">
        <is>
          <t>cifra are unitate / perioada / referinta?</t>
        </is>
      </c>
      <c r="B29" t="inlineStr">
        <is>
          <t>da, agregat live + sursa declarata, fara autor langa</t>
        </is>
      </c>
    </row>
    <row r="30">
      <c r="A30" t="inlineStr">
        <is>
          <t>se citeste o data si se decide?</t>
        </is>
      </c>
      <c r="B30" t="inlineStr">
        <is>
          <t>da -&gt; raportul e obiect de decizie, nu doar informatie</t>
        </is>
      </c>
    </row>
    <row r="31">
      <c r="A31" s="2" t="n"/>
    </row>
    <row r="32">
      <c r="A32" s="3" t="inlineStr">
        <is>
          <t>5) CELE 6 REGULI ALE FOII-RAPORT DE DECIZIE</t>
        </is>
      </c>
    </row>
    <row r="33">
      <c r="A33" t="inlineStr">
        <is>
          <t>#</t>
        </is>
      </c>
      <c r="B33" t="inlineStr">
        <is>
          <t>capcana</t>
        </is>
      </c>
      <c r="C33" t="inlineStr">
        <is>
          <t>regula decision-ready</t>
        </is>
      </c>
    </row>
    <row r="34">
      <c r="A34" t="n">
        <v>1</v>
      </c>
      <c r="B34" t="inlineStr">
        <is>
          <t>Concluzia ingropata</t>
        </is>
      </c>
      <c r="C34" t="inlineStr">
        <is>
          <t>concluzia ceruta sta in prima linie, nu la pagina 14</t>
        </is>
      </c>
    </row>
    <row r="35">
      <c r="A35" t="n">
        <v>2</v>
      </c>
      <c r="B35" t="inlineStr">
        <is>
          <t>Lipsa cadrului de decizie</t>
        </is>
      </c>
      <c r="C35" t="inlineStr">
        <is>
          <t>decizie / risc / concluzie / pas urmator, explicit</t>
        </is>
      </c>
    </row>
    <row r="36">
      <c r="A36" t="n">
        <v>3</v>
      </c>
      <c r="B36" t="inlineStr">
        <is>
          <t>Totul aglomerat in cap</t>
        </is>
      </c>
      <c r="C36" t="inlineStr">
        <is>
          <t>ce nu intra in decizie coboara in anexa, nu dispare</t>
        </is>
      </c>
    </row>
    <row r="37">
      <c r="A37" t="n">
        <v>4</v>
      </c>
      <c r="B37" t="inlineStr">
        <is>
          <t>Risc lasat implicit</t>
        </is>
      </c>
      <c r="C37" t="inlineStr">
        <is>
          <t>riscul se scrie, cu pragul lui</t>
        </is>
      </c>
    </row>
    <row r="38">
      <c r="A38" t="n">
        <v>5</v>
      </c>
      <c r="B38" t="inlineStr">
        <is>
          <t>Raport care se termina in constatare</t>
        </is>
      </c>
      <c r="C38" t="inlineStr">
        <is>
          <t>pasul urmator se scrie, ancorat in date</t>
        </is>
      </c>
    </row>
    <row r="39">
      <c r="A39" t="n">
        <v>6</v>
      </c>
      <c r="B39" t="inlineStr">
        <is>
          <t>Foaie care are nevoie de autor</t>
        </is>
      </c>
      <c r="C39" t="inlineStr">
        <is>
          <t>fiecare cifra poarta unitate, perioada si referinta</t>
        </is>
      </c>
    </row>
    <row r="40">
      <c r="A40" s="2" t="n"/>
    </row>
    <row r="41">
      <c r="A41" t="inlineStr">
        <is>
          <t>6) HANDOFF · C16 preda decizia gata, C17 o sistematizeaza in T5</t>
        </is>
      </c>
    </row>
    <row r="42">
      <c r="A42" t="inlineStr">
        <is>
          <t>input de la C15</t>
        </is>
      </c>
      <c r="B42" t="inlineStr">
        <is>
          <t>mesajul esential, sintetizat</t>
        </is>
      </c>
    </row>
    <row r="43">
      <c r="A43" t="inlineStr">
        <is>
          <t>output C16</t>
        </is>
      </c>
      <c r="B43" t="inlineStr">
        <is>
          <t>raport decision-ready, predabil ca obiect de decizie</t>
        </is>
      </c>
    </row>
    <row r="44">
      <c r="A44" t="inlineStr">
        <is>
          <t>predat catre T5 (C17)</t>
        </is>
      </c>
      <c r="B44" t="inlineStr">
        <is>
          <t>sistematizarea recurenta a raportului (nu e treaba C16)</t>
        </is>
      </c>
    </row>
    <row r="45">
      <c r="A45" t="inlineStr">
        <is>
          <t>C16 NU face</t>
        </is>
      </c>
      <c r="B45" t="inlineStr">
        <is>
          <t>sinteza (C15), layout vizual (C14), sistem recurent (C17), logistica</t>
        </is>
      </c>
    </row>
    <row r="46">
      <c r="A46" t="inlineStr">
        <is>
          <t>suma conservata cap-coada</t>
        </is>
      </c>
      <c r="B46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2026-06-04T08:01:52Z</dcterms:created>
  <dcterms:modified xmlns:dcterms="http://purl.org/dc/terms/" xmlns:xsi="http://www.w3.org/2001/XMLSchema-instance" xsi:type="dcterms:W3CDTF">2026-06-14T11:58:25Z</dcterms:modified>
</cp:coreProperties>
</file>