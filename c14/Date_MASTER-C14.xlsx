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Vanzari" sheetId="2" state="visible" r:id="rId2"/>
    <sheet xmlns:r="http://schemas.openxmlformats.org/officeDocument/2006/relationships" name="PRODUSE" sheetId="3" state="visible" r:id="rId3"/>
    <sheet xmlns:r="http://schemas.openxmlformats.org/officeDocument/2006/relationships" name="CLIENTI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AGENTI" sheetId="6" state="hidden" r:id="rId6"/>
    <sheet xmlns:r="http://schemas.openxmlformats.org/officeDocument/2006/relationships" name="DEPOZITE" sheetId="7" state="hidden" r:id="rId7"/>
    <sheet xmlns:r="http://schemas.openxmlformats.org/officeDocument/2006/relationships" name="Regiuni" sheetId="8" state="hidden" r:id="rId8"/>
    <sheet xmlns:r="http://schemas.openxmlformats.org/officeDocument/2006/relationships" name="Masuri" sheetId="9" state="visible" r:id="rId9"/>
    <sheet xmlns:r="http://schemas.openxmlformats.org/officeDocument/2006/relationships" name="Masuri_Context" sheetId="10" state="visible" r:id="rId10"/>
    <sheet xmlns:r="http://schemas.openxmlformats.org/officeDocument/2006/relationships" name="Comparatii" sheetId="11" state="visible" r:id="rId11"/>
    <sheet xmlns:r="http://schemas.openxmlformats.org/officeDocument/2006/relationships" name="Interpretare" sheetId="12" state="visible" r:id="rId12"/>
    <sheet xmlns:r="http://schemas.openxmlformats.org/officeDocument/2006/relationships" name="Vizualizare" sheetId="13" state="visible" r:id="rId13"/>
    <sheet xmlns:r="http://schemas.openxmlformats.org/officeDocument/2006/relationships" name="Compuner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C14 · COMPUNERE · asezarea spatiala a mai multor obiecte vizuale intr-o pagina</t>
        </is>
      </c>
    </row>
    <row r="3">
      <c r="A3" s="2" t="inlineStr">
        <is>
          <t>Ideea mare:</t>
        </is>
      </c>
    </row>
    <row r="4">
      <c r="A4" t="inlineStr">
        <is>
          <t>Treapta de vizualizare a dat obiecte vizuale oneste, fiecare adevarat singur.</t>
        </is>
      </c>
    </row>
    <row r="5">
      <c r="A5" t="inlineStr">
        <is>
          <t>Dar pe o pagina fara ordine, adevarul exista peste tot si nu se vede nicaieri.</t>
        </is>
      </c>
    </row>
    <row r="6">
      <c r="A6" t="inlineStr">
        <is>
          <t>C14 asaza obiectele: focar, ierarhie, traseu de citire, grupare, spatiu.</t>
        </is>
      </c>
    </row>
    <row r="7">
      <c r="A7" t="inlineStr">
        <is>
          <t>Aceleasi grafice, alta ordine, alta decizie.</t>
        </is>
      </c>
    </row>
    <row r="9">
      <c r="A9" t="inlineStr">
        <is>
          <t>AHA: Aceleasi grafice, alta ordine, alta decizie.</t>
        </is>
      </c>
    </row>
    <row r="10">
      <c r="A10" t="inlineStr">
        <is>
          <t>MANTRA: Compun privirea, nu pagina.</t>
        </is>
      </c>
    </row>
    <row r="11">
      <c r="A11" t="inlineStr">
        <is>
          <t>MOTTO: Ce vede ochiul intai schimba decizia.</t>
        </is>
      </c>
    </row>
    <row r="13">
      <c r="A13" s="2" t="inlineStr">
        <is>
          <t>Ce ai in acest fisier:</t>
        </is>
      </c>
    </row>
    <row r="14">
      <c r="A14" t="inlineStr">
        <is>
          <t xml:space="preserve">  Vanzari        tabelul fact (neatins fata de C13, suma conservata)</t>
        </is>
      </c>
    </row>
    <row r="15">
      <c r="A15" t="inlineStr">
        <is>
          <t xml:space="preserve">  Comparatii     clasamentul mostenit (obiect vizual de asezat)</t>
        </is>
      </c>
    </row>
    <row r="16">
      <c r="A16" t="inlineStr">
        <is>
          <t xml:space="preserve">  Vizualizare    obiectele vizuale oneste mostenite de la treapta anterioara</t>
        </is>
      </c>
    </row>
    <row r="17">
      <c r="A17" t="inlineStr">
        <is>
          <t xml:space="preserve">  Compunere      SUPORT: focar, ierarhie, traseu, grupare, spatiu + before/after</t>
        </is>
      </c>
    </row>
    <row r="19">
      <c r="A19" s="2" t="inlineStr">
        <is>
          <t>Exercitiul:</t>
        </is>
      </c>
    </row>
    <row r="20">
      <c r="A20" t="inlineStr">
        <is>
          <t xml:space="preserve">  1. Pleci de la obiectele vizuale oneste (mostenite), fara sa le redesenezi.</t>
        </is>
      </c>
    </row>
    <row r="21">
      <c r="A21" t="inlineStr">
        <is>
          <t xml:space="preserve">  2. Stabilesti un singur focar: obiectul care poarta raspunsul, atins primul.</t>
        </is>
      </c>
    </row>
    <row r="22">
      <c r="A22" t="inlineStr">
        <is>
          <t xml:space="preserve">  3. Ordonezi traseul de citire si retrogradezi ce nu muta decizia.</t>
        </is>
      </c>
    </row>
    <row r="23">
      <c r="A23" t="inlineStr">
        <is>
          <t xml:space="preserve">  4. Faci ierarhia cu marime, pozitie, contrast, spatiu; grupezi ce e legat.</t>
        </is>
      </c>
    </row>
    <row r="24">
      <c r="A24" t="inlineStr">
        <is>
          <t xml:space="preserve">  5. Verifici cu al doilea ochi: in 3 secunde se prinde aceeasi prioritate?</t>
        </is>
      </c>
    </row>
    <row r="26">
      <c r="A26" t="inlineStr">
        <is>
          <t>C14 doar ASAZA. Nu deseneaza obiectul (C13), nu formuleaza mesajul (C15),</t>
        </is>
      </c>
    </row>
    <row r="27">
      <c r="A27" t="inlineStr">
        <is>
          <t>nu livreaza (C16), nu re-analizeaza (T3). C14 face pagina; C15 ii extrage mesajul.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 C10 · definitiile: o singura sursa de adevar, baza, reper, semnal</t>
        </is>
      </c>
    </row>
    <row r="3">
      <c r="A3" s="2" t="inlineStr">
        <is>
          <t>1) MASURILE · single source of truth (definite o singura data, reutilizabile)</t>
        </is>
      </c>
    </row>
    <row r="4">
      <c r="A4" s="3" t="inlineStr">
        <is>
          <t>cod</t>
        </is>
      </c>
      <c r="B4" s="3" t="inlineStr">
        <is>
          <t>masura</t>
        </is>
      </c>
      <c r="C4" s="3" t="inlineStr">
        <is>
          <t>definitie</t>
        </is>
      </c>
      <c r="D4" s="3" t="inlineStr">
        <is>
          <t>formula (live)</t>
        </is>
      </c>
      <c r="E4" s="3" t="inlineStr">
        <is>
          <t>rezultat</t>
        </is>
      </c>
      <c r="F4" s="3" t="inlineStr">
        <is>
          <t>baza de raportare</t>
        </is>
      </c>
    </row>
    <row r="5">
      <c r="A5" t="inlineStr">
        <is>
          <t>M1</t>
        </is>
      </c>
      <c r="B5" t="inlineStr">
        <is>
          <t>Total valoare</t>
        </is>
      </c>
      <c r="C5" t="inlineStr">
        <is>
          <t>suma valorii nete pe tot setul</t>
        </is>
      </c>
      <c r="D5">
        <f>ROUND(SUM(Vanzari!J2:J2001),2)</f>
        <v/>
      </c>
      <c r="E5" t="n">
        <v>7986019.38</v>
      </c>
      <c r="F5" t="inlineStr">
        <is>
          <t>tot setul (toate tranzactiile)</t>
        </is>
      </c>
    </row>
    <row r="6">
      <c r="A6" t="inlineStr">
        <is>
          <t>M2</t>
        </is>
      </c>
      <c r="B6" t="inlineStr">
        <is>
          <t>Numar tranzactii</t>
        </is>
      </c>
      <c r="C6" t="inlineStr">
        <is>
          <t>cate tranzactii are setul</t>
        </is>
      </c>
      <c r="D6">
        <f>COUNTA(Vanzari!A2:A2001)</f>
        <v/>
      </c>
      <c r="E6" t="n">
        <v>2000</v>
      </c>
      <c r="F6" t="inlineStr">
        <is>
          <t>tot setul</t>
        </is>
      </c>
    </row>
    <row r="7">
      <c r="A7" t="inlineStr">
        <is>
          <t>M3</t>
        </is>
      </c>
      <c r="B7" t="inlineStr">
        <is>
          <t>Valoare medie per tranzactie</t>
        </is>
      </c>
      <c r="C7" t="inlineStr">
        <is>
          <t>M1 impartit la M2</t>
        </is>
      </c>
      <c r="D7">
        <f>ROUND(E5/E6,2)</f>
        <v/>
      </c>
      <c r="E7" t="n">
        <v>3993.01</v>
      </c>
      <c r="F7" t="inlineStr">
        <is>
          <t>numar tranzactii (declarat)</t>
        </is>
      </c>
    </row>
    <row r="8">
      <c r="A8" t="inlineStr">
        <is>
          <t>M4</t>
        </is>
      </c>
      <c r="B8" t="inlineStr">
        <is>
          <t>Valoare medie per client</t>
        </is>
      </c>
      <c r="C8" t="inlineStr">
        <is>
          <t>M1 impartit la numarul de clienti distincti</t>
        </is>
      </c>
      <c r="D8">
        <f>ROUND(E5/SUMPRODUCT(1/COUNTIF(Vanzari!C2:C2001,Vanzari!C2:C2001)),2)</f>
        <v/>
      </c>
      <c r="E8" t="n">
        <v>532401.29</v>
      </c>
      <c r="F8" t="inlineStr">
        <is>
          <t>clienti distincti (declarat)</t>
        </is>
      </c>
    </row>
    <row r="9">
      <c r="A9" t="inlineStr">
        <is>
          <t>M5</t>
        </is>
      </c>
      <c r="B9" t="inlineStr">
        <is>
          <t>Valoare medie pe zi activa</t>
        </is>
      </c>
      <c r="C9" t="inlineStr">
        <is>
          <t>M1 impartit la numarul de zile cu vanzari</t>
        </is>
      </c>
      <c r="D9">
        <f>ROUND(E5/SUMPRODUCT(1/COUNTIF(Vanzari!B2:B2001,Vanzari!B2:B2001)),2)</f>
        <v/>
      </c>
      <c r="E9" t="n">
        <v>21939.61</v>
      </c>
      <c r="F9" t="inlineStr">
        <is>
          <t>zile active (cu cel putin o vanzare)</t>
        </is>
      </c>
    </row>
    <row r="10">
      <c r="A10" s="2" t="n"/>
    </row>
    <row r="11">
      <c r="A11" s="3" t="inlineStr">
        <is>
          <t>2) REPER / PRAG · masura capata sens raportata la o tinta definita</t>
        </is>
      </c>
    </row>
    <row r="12">
      <c r="A12" t="inlineStr">
        <is>
          <t>masura</t>
        </is>
      </c>
      <c r="B12" t="inlineStr">
        <is>
          <t>reper (tinta interna)</t>
        </is>
      </c>
      <c r="C12" t="inlineStr">
        <is>
          <t>formula semnal (live)</t>
        </is>
      </c>
      <c r="D12" t="inlineStr">
        <is>
          <t>semnal</t>
        </is>
      </c>
    </row>
    <row r="13">
      <c r="A13" t="inlineStr">
        <is>
          <t>M3 Valoare medie per tranzactie</t>
        </is>
      </c>
      <c r="B13" t="n">
        <v>3500</v>
      </c>
      <c r="C13">
        <f>IF(E7&gt;=B13,"peste reper","sub reper")</f>
        <v/>
      </c>
      <c r="D13" t="inlineStr">
        <is>
          <t>peste reper</t>
        </is>
      </c>
    </row>
    <row r="14">
      <c r="A14" s="2" t="n"/>
    </row>
    <row r="15">
      <c r="A15" s="3" t="inlineStr">
        <is>
          <t>3) CIFRA UTILA vs CIFRA DECORATIVA · criteriul de selectie</t>
        </is>
      </c>
    </row>
    <row r="16">
      <c r="A16" t="inlineStr">
        <is>
          <t>cifra</t>
        </is>
      </c>
      <c r="B16" t="inlineStr">
        <is>
          <t>statut</t>
        </is>
      </c>
      <c r="C16" t="inlineStr">
        <is>
          <t>de ce</t>
        </is>
      </c>
    </row>
    <row r="17">
      <c r="A17" t="inlineStr">
        <is>
          <t>suma valoare_neta</t>
        </is>
      </c>
      <c r="B17" t="inlineStr">
        <is>
          <t>UTILA -&gt; masura M1</t>
        </is>
      </c>
      <c r="C17" t="inlineStr">
        <is>
          <t>raspunde la o intrebare de business</t>
        </is>
      </c>
    </row>
    <row r="18">
      <c r="A18" t="inlineStr">
        <is>
          <t>media valorii per tranzactie</t>
        </is>
      </c>
      <c r="B18" t="inlineStr">
        <is>
          <t>UTILA -&gt; masura M3</t>
        </is>
      </c>
      <c r="C18" t="inlineStr">
        <is>
          <t>controlabila, are baza si reper</t>
        </is>
      </c>
    </row>
    <row r="19">
      <c r="A19" t="inlineStr">
        <is>
          <t>suma numerelor de factura</t>
        </is>
      </c>
      <c r="B19" t="inlineStr">
        <is>
          <t>DECORATIVA</t>
        </is>
      </c>
      <c r="C19" t="inlineStr">
        <is>
          <t>nu raspunde la nicio intrebare reala</t>
        </is>
      </c>
    </row>
    <row r="20">
      <c r="A20" t="inlineStr">
        <is>
          <t>media cotei TVA</t>
        </is>
      </c>
      <c r="B20" t="inlineStr">
        <is>
          <t>DECORATIVA</t>
        </is>
      </c>
      <c r="C20" t="inlineStr">
        <is>
          <t>constanta fiscala, nu indicator de decizie</t>
        </is>
      </c>
    </row>
    <row r="21">
      <c r="A21" s="2" t="n"/>
    </row>
    <row r="22">
      <c r="A22" t="inlineStr">
        <is>
          <t>4) HANDOFF</t>
        </is>
      </c>
    </row>
    <row r="23">
      <c r="A23" t="inlineStr">
        <is>
          <t>input de la C09</t>
        </is>
      </c>
      <c r="B23" t="inlineStr">
        <is>
          <t>model relational interogabil (relatii activate)</t>
        </is>
      </c>
    </row>
    <row r="24">
      <c r="A24" t="inlineStr">
        <is>
          <t>output C10</t>
        </is>
      </c>
      <c r="B24" t="inlineStr">
        <is>
          <t>masuri definite (single source of truth, baza, reper, semnal)</t>
        </is>
      </c>
    </row>
    <row r="25">
      <c r="A25" t="inlineStr">
        <is>
          <t>predat catre C11</t>
        </is>
      </c>
      <c r="B25" t="inlineStr">
        <is>
          <t>compara masurile (clasament/diferenta); C10 nu compara</t>
        </is>
      </c>
    </row>
    <row r="26">
      <c r="A26" t="inlineStr">
        <is>
          <t>suma conservata cap-coada</t>
        </is>
      </c>
      <c r="B26" t="n">
        <v>7986019.38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MASURI_CONTEXT C10 · aceeasi masura, taieturi diferite</t>
        </is>
      </c>
    </row>
    <row r="3">
      <c r="A3" t="inlineStr">
        <is>
          <t>Masura demonstrata: Valoare medie per tranzactie (definitia din Masuri!M3).</t>
        </is>
      </c>
    </row>
    <row r="4">
      <c r="A4" t="inlineStr">
        <is>
          <t>Scop: dovada ca ACEEASI definitie da rezultat corect pe orice taietura.</t>
        </is>
      </c>
    </row>
    <row r="5">
      <c r="A5" t="inlineStr">
        <is>
          <t>NU este clasament. CARE taietura e mai mare se decide la C11, nu aici.</t>
        </is>
      </c>
    </row>
    <row r="7">
      <c r="A7" s="3" t="inlineStr">
        <is>
          <t>taietura</t>
        </is>
      </c>
      <c r="B7" s="3" t="inlineStr">
        <is>
          <t>formula (live)</t>
        </is>
      </c>
      <c r="C7" s="3" t="inlineStr">
        <is>
          <t>rezultat</t>
        </is>
      </c>
    </row>
    <row r="8">
      <c r="A8" t="inlineStr">
        <is>
          <t>tot setul (overall)</t>
        </is>
      </c>
      <c r="B8">
        <f>ROUND(AVERAGE(Vanzari!J2:J2001),2)</f>
        <v/>
      </c>
      <c r="C8" t="n">
        <v>3993.01</v>
      </c>
    </row>
    <row r="9">
      <c r="A9" t="inlineStr">
        <is>
          <t>categorie = "Hardware"</t>
        </is>
      </c>
      <c r="B9">
        <f>ROUND(AVERAGEIF(Vanzari!G2:G2001,"Hardware",Vanzari!J2:J2001),2)</f>
        <v/>
      </c>
      <c r="C9" t="n">
        <v>4050.99</v>
      </c>
    </row>
    <row r="10">
      <c r="A10" t="inlineStr">
        <is>
          <t>client = "SC AROMET TRADING SRL"</t>
        </is>
      </c>
      <c r="B10">
        <f>ROUND(AVERAGEIF(Vanzari!C2:C2001,"SC AROMET TRADING SRL",Vanzari!J2:J2001),2)</f>
        <v/>
      </c>
      <c r="C10" t="n">
        <v>3792.95</v>
      </c>
    </row>
    <row r="11">
      <c r="A11" t="inlineStr">
        <is>
          <t>luna = 2025-06</t>
        </is>
      </c>
      <c r="B11">
        <f>ROUND(AVERAGEIFS(Vanzari!J2:J2001,Vanzari!B2:B2001,"&gt;="&amp;DATE(2025,6,1),Vanzari!B2:B2001,"&lt;"&amp;EDATE(DATE(2025,6,1),1)),2)</f>
        <v/>
      </c>
      <c r="C11" t="n">
        <v>3806.92</v>
      </c>
    </row>
    <row r="13">
      <c r="A13" t="inlineStr">
        <is>
          <t>Citire: valorile difera pentru ca taietura difera, nu pentru ca masura e alta.</t>
        </is>
      </c>
    </row>
    <row r="14">
      <c r="A14" t="inlineStr">
        <is>
          <t>Definitia este identica in toate cele patru cazuri. Aceasta e o masura robusta.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12" customWidth="1" min="5" max="5"/>
    <col width="10" customWidth="1" min="6" max="6"/>
  </cols>
  <sheetData>
    <row r="1">
      <c r="A1" s="5" t="inlineStr">
        <is>
          <t>Actor (categorie)</t>
        </is>
      </c>
      <c r="B1" s="5" t="inlineStr">
        <is>
          <t>Masura (valoare_neta)</t>
        </is>
      </c>
      <c r="C1" s="5" t="inlineStr">
        <is>
          <t>Rang</t>
        </is>
      </c>
      <c r="D1" s="5" t="inlineStr">
        <is>
          <t>Contributie_%</t>
        </is>
      </c>
      <c r="E1" s="5" t="inlineStr">
        <is>
          <t>Cumulat_%</t>
        </is>
      </c>
      <c r="F1" s="5" t="inlineStr">
        <is>
          <t>Clasa_ABC</t>
        </is>
      </c>
    </row>
    <row r="2">
      <c r="A2" t="inlineStr">
        <is>
          <t>Hardware</t>
        </is>
      </c>
      <c r="B2" t="n">
        <v>3876798.93</v>
      </c>
      <c r="C2" t="n">
        <v>1</v>
      </c>
      <c r="D2" t="n">
        <v>48.54</v>
      </c>
      <c r="E2" t="n">
        <v>48.54</v>
      </c>
      <c r="F2" t="inlineStr">
        <is>
          <t>A</t>
        </is>
      </c>
    </row>
    <row r="3">
      <c r="A3" t="inlineStr">
        <is>
          <t>Software</t>
        </is>
      </c>
      <c r="B3" t="n">
        <v>2401725.83</v>
      </c>
      <c r="C3" t="n">
        <v>2</v>
      </c>
      <c r="D3" t="n">
        <v>30.07</v>
      </c>
      <c r="E3" t="n">
        <v>78.62</v>
      </c>
      <c r="F3" t="inlineStr">
        <is>
          <t>A</t>
        </is>
      </c>
    </row>
    <row r="4">
      <c r="A4" t="inlineStr">
        <is>
          <t>Consumabile</t>
        </is>
      </c>
      <c r="B4" t="n">
        <v>1644165.2</v>
      </c>
      <c r="C4" t="n">
        <v>3</v>
      </c>
      <c r="D4" t="n">
        <v>20.59</v>
      </c>
      <c r="E4" t="n">
        <v>99.20999999999999</v>
      </c>
      <c r="F4" t="inlineStr">
        <is>
          <t>C</t>
        </is>
      </c>
    </row>
    <row r="5">
      <c r="A5" t="inlineStr">
        <is>
          <t>Servicii</t>
        </is>
      </c>
      <c r="B5" t="n">
        <v>63329.42</v>
      </c>
      <c r="C5" t="n">
        <v>4</v>
      </c>
      <c r="D5" t="n">
        <v>0.79</v>
      </c>
      <c r="E5" t="n">
        <v>100</v>
      </c>
      <c r="F5" t="inlineStr">
        <is>
          <t>C</t>
        </is>
      </c>
    </row>
    <row r="7">
      <c r="A7" t="inlineStr">
        <is>
          <t>TOTAL</t>
        </is>
      </c>
      <c r="B7" t="n">
        <v>7986019.38</v>
      </c>
      <c r="D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INTERPRETARE C12 · de ce arata rezultatul asa, citit din model</t>
        </is>
      </c>
    </row>
    <row r="3">
      <c r="A3" s="2" t="inlineStr">
        <is>
          <t>1) INTREBAREA · "De ce?"</t>
        </is>
      </c>
    </row>
    <row r="4">
      <c r="A4" s="3" t="inlineStr">
        <is>
          <t>rezultat de explicat</t>
        </is>
      </c>
      <c r="B4" s="3" t="inlineStr">
        <is>
          <t>sursa</t>
        </is>
      </c>
      <c r="C4" s="3" t="inlineStr">
        <is>
          <t>intrebarea</t>
        </is>
      </c>
    </row>
    <row r="5">
      <c r="A5" t="inlineStr">
        <is>
          <t>"Hardware" conduce clasamentul valorii</t>
        </is>
      </c>
      <c r="B5" t="inlineStr">
        <is>
          <t>Comparatii (C11)</t>
        </is>
      </c>
      <c r="C5" t="inlineStr">
        <is>
          <t>De ce conduce Hardware, si ce anume il duce acolo?</t>
        </is>
      </c>
    </row>
    <row r="6">
      <c r="A6" s="2" t="n"/>
    </row>
    <row r="7">
      <c r="A7" t="inlineStr">
        <is>
          <t>2) CAUZA CITITA DIN MODEL · drill sub total (nu ghicit)</t>
        </is>
      </c>
    </row>
    <row r="8">
      <c r="A8" s="3" t="inlineStr">
        <is>
          <t>factor</t>
        </is>
      </c>
      <c r="B8" s="3" t="inlineStr">
        <is>
          <t>tip</t>
        </is>
      </c>
      <c r="C8" s="3" t="inlineStr">
        <is>
          <t>formula (live)</t>
        </is>
      </c>
      <c r="D8" s="3" t="inlineStr">
        <is>
          <t>valoare</t>
        </is>
      </c>
      <c r="E8" s="3" t="inlineStr">
        <is>
          <t>pondere in Hardware (%)</t>
        </is>
      </c>
    </row>
    <row r="9">
      <c r="A9" t="inlineStr">
        <is>
          <t>produs: Laptop business 15"</t>
        </is>
      </c>
      <c r="B9" t="inlineStr">
        <is>
          <t>factor principal</t>
        </is>
      </c>
      <c r="C9">
        <f>ROUND(SUMIFS(Vanzari!J2:J2001,Vanzari!G2:G2001,"Hardware",Vanzari!F2:F2001,"Laptop business 15"""),2)</f>
        <v/>
      </c>
      <c r="D9" t="n">
        <v>1434342.95</v>
      </c>
      <c r="E9" t="n">
        <v>37</v>
      </c>
    </row>
    <row r="10">
      <c r="A10" t="inlineStr">
        <is>
          <t>produs: Server tower 16GB</t>
        </is>
      </c>
      <c r="B10" t="inlineStr">
        <is>
          <t>factor principal</t>
        </is>
      </c>
      <c r="C10">
        <f>ROUND(SUMIFS(Vanzari!J2:J2001,Vanzari!G2:G2001,"Hardware",Vanzari!F2:F2001,"Server tower 16GB"),2)</f>
        <v/>
      </c>
      <c r="D10" t="n">
        <v>1313763.35</v>
      </c>
      <c r="E10" t="n">
        <v>33.9</v>
      </c>
    </row>
    <row r="11">
      <c r="A11" t="inlineStr">
        <is>
          <t>produs: Monitor 27" 4K</t>
        </is>
      </c>
      <c r="B11" t="inlineStr">
        <is>
          <t>factor principal</t>
        </is>
      </c>
      <c r="C11">
        <f>ROUND(SUMIFS(Vanzari!J2:J2001,Vanzari!G2:G2001,"Hardware",Vanzari!F2:F2001,"Monitor 27"" 4K"),2)</f>
        <v/>
      </c>
      <c r="D11" t="n">
        <v>643735.35</v>
      </c>
      <c r="E11" t="n">
        <v>16.6</v>
      </c>
    </row>
    <row r="12">
      <c r="A12" t="inlineStr">
        <is>
          <t>client: SC AROMET TRADING SRL</t>
        </is>
      </c>
      <c r="B12" t="inlineStr">
        <is>
          <t>factor principal</t>
        </is>
      </c>
      <c r="C12">
        <f>ROUND(SUMIFS(Vanzari!J2:J2001,Vanzari!G2:G2001,"Hardware",Vanzari!C2:C2001,"SC AROMET TRADING SRL"),2)</f>
        <v/>
      </c>
      <c r="D12" t="n">
        <v>724988.75</v>
      </c>
      <c r="E12" t="n">
        <v>18.7</v>
      </c>
    </row>
    <row r="13">
      <c r="A13" t="inlineStr">
        <is>
          <t>client: SC INTEGROMED SA</t>
        </is>
      </c>
      <c r="B13" t="inlineStr">
        <is>
          <t>factor principal</t>
        </is>
      </c>
      <c r="C13">
        <f>ROUND(SUMIFS(Vanzari!J2:J2001,Vanzari!G2:G2001,"Hardware",Vanzari!C2:C2001,"SC INTEGROMED SA"),2)</f>
        <v/>
      </c>
      <c r="D13" t="n">
        <v>473369.36</v>
      </c>
      <c r="E13" t="n">
        <v>12.2</v>
      </c>
    </row>
    <row r="14">
      <c r="A14" s="2" t="n"/>
    </row>
    <row r="15">
      <c r="A15" s="3" t="inlineStr">
        <is>
          <t>3) FACTORI PRINCIPALI · rezultatul rar are o singura cauza</t>
        </is>
      </c>
    </row>
    <row r="16">
      <c r="A16" t="inlineStr">
        <is>
          <t>constatare</t>
        </is>
      </c>
      <c r="B16" t="inlineStr">
        <is>
          <t>dovada (citita mai sus)</t>
        </is>
      </c>
    </row>
    <row r="17">
      <c r="A17" t="inlineStr">
        <is>
          <t>nu o cauza unica: doua produse trag impreuna cea mai mare parte din Hardware</t>
        </is>
      </c>
      <c r="B17" t="inlineStr">
        <is>
          <t>primele 2 produse = 70.9% din Hardware</t>
        </is>
      </c>
    </row>
    <row r="18">
      <c r="A18" t="inlineStr">
        <is>
          <t>si concentrarea pe clienti contribuie</t>
        </is>
      </c>
      <c r="B18" t="inlineStr">
        <is>
          <t>primul client = 18.7% din Hardware</t>
        </is>
      </c>
    </row>
    <row r="19">
      <c r="A19" s="2" t="n"/>
    </row>
    <row r="20">
      <c r="A20" s="3" t="inlineStr">
        <is>
          <t>4) COINCIDENTA vs CAUZA · ce apare impreuna nu explica automat</t>
        </is>
      </c>
    </row>
    <row r="21">
      <c r="A21" t="inlineStr">
        <is>
          <t>observatie</t>
        </is>
      </c>
      <c r="B21" t="inlineStr">
        <is>
          <t>verdict</t>
        </is>
      </c>
      <c r="C21" t="inlineStr">
        <is>
          <t>de ce</t>
        </is>
      </c>
    </row>
    <row r="22">
      <c r="A22" t="inlineStr">
        <is>
          <t>Hardware are si cele mai multe tranzactii</t>
        </is>
      </c>
      <c r="B22" t="inlineStr">
        <is>
          <t>COINCIDENTA partiala</t>
        </is>
      </c>
      <c r="C22" t="inlineStr">
        <is>
          <t>volumul mare de tranzactii insoteste rezultatul, dar nu e singura cauza</t>
        </is>
      </c>
    </row>
    <row r="23">
      <c r="A23" t="inlineStr">
        <is>
          <t>valoarea medie/tranzactie nu e cea mai mare la Hardware</t>
        </is>
      </c>
      <c r="B23" t="inlineStr">
        <is>
          <t>CAUZA reala = mix</t>
        </is>
      </c>
      <c r="C23" t="inlineStr">
        <is>
          <t>Software are media/tranzactie cea mai mare (5099.21), dar nu conduce totalul: Hardware conduce prin produse-cheie + volum, nu prin pret mediu</t>
        </is>
      </c>
    </row>
    <row r="24">
      <c r="A24" s="2" t="n"/>
    </row>
    <row r="25">
      <c r="A25" s="3" t="inlineStr">
        <is>
          <t>5) CAUZA ASCUNSA DE AGREGARE · apare doar sub total</t>
        </is>
      </c>
    </row>
    <row r="26">
      <c r="A26" t="inlineStr">
        <is>
          <t>nivel</t>
        </is>
      </c>
      <c r="B26" t="inlineStr">
        <is>
          <t>ce vezi</t>
        </is>
      </c>
    </row>
    <row r="27">
      <c r="A27" t="inlineStr">
        <is>
          <t>la nivel de total (clasament C11)</t>
        </is>
      </c>
      <c r="B27" t="inlineStr">
        <is>
          <t>doar ca "Hardware conduce" (CARE)</t>
        </is>
      </c>
    </row>
    <row r="28">
      <c r="A28" t="inlineStr">
        <is>
          <t>cobori sub total (aici)</t>
        </is>
      </c>
      <c r="B28" t="inlineStr">
        <is>
          <t>doua produse duc 70.9% din categorie: cauza reala, ascunsa de totalul agregat</t>
        </is>
      </c>
    </row>
    <row r="29">
      <c r="A29" s="2" t="n"/>
    </row>
    <row r="30">
      <c r="A30" s="3" t="inlineStr">
        <is>
          <t>6) EXPLICATIE VERIFICABILA · insight verbal ancorat in model</t>
        </is>
      </c>
    </row>
    <row r="31">
      <c r="A31" t="inlineStr">
        <is>
          <t>insight (fraza)</t>
        </is>
      </c>
      <c r="B31" t="inlineStr">
        <is>
          <t>se verifica in</t>
        </is>
      </c>
    </row>
    <row r="32">
      <c r="A32" t="inlineStr">
        <is>
          <t>"Hardware conduce nu pentru ca fiecare vanzare e cea mai mare, ci pentru ca doua produse-cheie si cativa clienti concentrati ii duc 70.9% din valoare; pretul mediu mai mare e la alta categorie."</t>
        </is>
      </c>
      <c r="B32" t="inlineStr">
        <is>
          <t>sectiunile 2-5 de mai sus (formule live pe Vanzari)</t>
        </is>
      </c>
    </row>
    <row r="33">
      <c r="A33" s="2" t="n"/>
    </row>
    <row r="34">
      <c r="A34" t="inlineStr">
        <is>
          <t>7) HANDOFF · inchidere T3</t>
        </is>
      </c>
    </row>
    <row r="35">
      <c r="A35" t="inlineStr">
        <is>
          <t>input de la C11</t>
        </is>
      </c>
      <c r="B35" t="inlineStr">
        <is>
          <t>clasament (CARE conduce, contributie, ABC)</t>
        </is>
      </c>
    </row>
    <row r="36">
      <c r="A36" t="inlineStr">
        <is>
          <t>output C12</t>
        </is>
      </c>
      <c r="B36" t="inlineStr">
        <is>
          <t>explicatie: DE CE conduce, cauza citita din model, verificabila</t>
        </is>
      </c>
    </row>
    <row r="37">
      <c r="A37" t="inlineStr">
        <is>
          <t>treapta T3 ANALIZA</t>
        </is>
      </c>
      <c r="B37" t="inlineStr">
        <is>
          <t>FINALIZATA (corect -&gt; inteles -&gt; interpretat)</t>
        </is>
      </c>
    </row>
    <row r="38">
      <c r="A38" t="inlineStr">
        <is>
          <t>predat catre T4 (C13)</t>
        </is>
      </c>
      <c r="B38" t="inlineStr">
        <is>
          <t>raportarea face explicatia vizibila; C12 nu vizualizeaza</t>
        </is>
      </c>
    </row>
    <row r="39">
      <c r="A39" t="inlineStr">
        <is>
          <t>suma conservata cap-coada</t>
        </is>
      </c>
      <c r="B39" t="n">
        <v>7986019.38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VIZUALIZARE C13 · forma onesta a unui rezultat, verificata contra cifrei brute</t>
        </is>
      </c>
    </row>
    <row r="3">
      <c r="A3" s="2" t="inlineStr">
        <is>
          <t>1) REZULTATUL DE VIZUALIZAT · citit din model (nu inventat)</t>
        </is>
      </c>
    </row>
    <row r="4">
      <c r="A4" s="3" t="inlineStr">
        <is>
          <t>rezultat</t>
        </is>
      </c>
      <c r="B4" s="3" t="inlineStr">
        <is>
          <t>sursa</t>
        </is>
      </c>
      <c r="C4" s="3" t="inlineStr">
        <is>
          <t>natura</t>
        </is>
      </c>
    </row>
    <row r="5">
      <c r="A5" t="inlineStr">
        <is>
          <t>Diferenta valorii intre primele doua categorii</t>
        </is>
      </c>
      <c r="B5" t="inlineStr">
        <is>
          <t>Comparatii (C11/C12)</t>
        </is>
      </c>
      <c r="C5" t="inlineStr">
        <is>
          <t>comparatie -&gt; forma potrivita = bare cu axa de la zero</t>
        </is>
      </c>
    </row>
    <row r="6">
      <c r="A6" s="2" t="n"/>
    </row>
    <row r="7">
      <c r="A7" t="inlineStr">
        <is>
          <t>2) CIFRA BRUTA · valorile reale (referinta de adevar)</t>
        </is>
      </c>
    </row>
    <row r="8">
      <c r="A8" s="3" t="inlineStr">
        <is>
          <t>categorie</t>
        </is>
      </c>
      <c r="B8" s="3" t="inlineStr">
        <is>
          <t>valoare (live)</t>
        </is>
      </c>
      <c r="C8" s="3" t="inlineStr">
        <is>
          <t>pondere din total (%)</t>
        </is>
      </c>
    </row>
    <row r="9">
      <c r="A9" t="inlineStr">
        <is>
          <t>Hardware</t>
        </is>
      </c>
      <c r="B9">
        <f>ROUND(SUMIFS(Vanzari!J2:J2001,Vanzari!G2:G2001,"Hardware"),2)</f>
        <v/>
      </c>
      <c r="C9">
        <f>ROUND(100*SUMIFS(Vanzari!J2:J2001,Vanzari!G2:G2001,"Hardware")/SUM(Vanzari!J2:J2001),1)</f>
        <v/>
      </c>
    </row>
    <row r="10">
      <c r="A10" t="inlineStr">
        <is>
          <t>Software</t>
        </is>
      </c>
      <c r="B10">
        <f>ROUND(SUMIFS(Vanzari!J2:J2001,Vanzari!G2:G2001,"Software"),2)</f>
        <v/>
      </c>
      <c r="C10">
        <f>ROUND(100*SUMIFS(Vanzari!J2:J2001,Vanzari!G2:G2001,"Software")/SUM(Vanzari!J2:J2001),1)</f>
        <v/>
      </c>
    </row>
    <row r="11">
      <c r="A11" t="inlineStr">
        <is>
          <t>Consumabile</t>
        </is>
      </c>
      <c r="B11">
        <f>ROUND(SUMIFS(Vanzari!J2:J2001,Vanzari!G2:G2001,"Consumabile"),2)</f>
        <v/>
      </c>
      <c r="C11">
        <f>ROUND(100*SUMIFS(Vanzari!J2:J2001,Vanzari!G2:G2001,"Consumabile")/SUM(Vanzari!J2:J2001),1)</f>
        <v/>
      </c>
    </row>
    <row r="12">
      <c r="A12" t="inlineStr">
        <is>
          <t>Servicii</t>
        </is>
      </c>
      <c r="B12">
        <f>ROUND(SUMIFS(Vanzari!J2:J2001,Vanzari!G2:G2001,"Servicii"),2)</f>
        <v/>
      </c>
      <c r="C12">
        <f>ROUND(100*SUMIFS(Vanzari!J2:J2001,Vanzari!G2:G2001,"Servicii")/SUM(Vanzari!J2:J2001),1)</f>
        <v/>
      </c>
    </row>
    <row r="13">
      <c r="A13" s="2" t="n"/>
    </row>
    <row r="14">
      <c r="A14" s="3" t="inlineStr">
        <is>
          <t>3) FORMA ONESTA vs FORMA CARE MINTE · aceeasi cifra, doua concluzii</t>
        </is>
      </c>
    </row>
    <row r="15">
      <c r="A15" t="inlineStr">
        <is>
          <t>forma</t>
        </is>
      </c>
      <c r="B15" t="inlineStr">
        <is>
          <t>axa</t>
        </is>
      </c>
      <c r="C15" t="inlineStr">
        <is>
          <t>ce concluzie sugereaza</t>
        </is>
      </c>
      <c r="D15" t="inlineStr">
        <is>
          <t>verdict</t>
        </is>
      </c>
    </row>
    <row r="16">
      <c r="A16" t="inlineStr">
        <is>
          <t>bare cu axa de la zero</t>
        </is>
      </c>
      <c r="B16" t="inlineStr">
        <is>
          <t>porneste de la 0</t>
        </is>
      </c>
      <c r="C16" t="inlineStr">
        <is>
          <t>diferenta reala de 38.0% intre primele doua categorii</t>
        </is>
      </c>
      <c r="D16" t="inlineStr">
        <is>
          <t>ONESTA</t>
        </is>
      </c>
    </row>
    <row r="17">
      <c r="A17" t="inlineStr">
        <is>
          <t>bare cu axa trunchiata</t>
        </is>
      </c>
      <c r="B17" t="inlineStr">
        <is>
          <t>porneste de la a doua valoare</t>
        </is>
      </c>
      <c r="C17" t="inlineStr">
        <is>
          <t>diferenta pare uriasa, desi cifra e aceeasi</t>
        </is>
      </c>
      <c r="D17" t="inlineStr">
        <is>
          <t>MINTE</t>
        </is>
      </c>
    </row>
    <row r="18">
      <c r="A18" t="inlineStr">
        <is>
          <t>placinta cu prea multe felii</t>
        </is>
      </c>
      <c r="B18" t="inlineStr">
        <is>
          <t>fara axa</t>
        </is>
      </c>
      <c r="C18" t="inlineStr">
        <is>
          <t>ordinea si marimea categoriilor devin greu de citit</t>
        </is>
      </c>
      <c r="D18" t="inlineStr">
        <is>
          <t>MINTE</t>
        </is>
      </c>
    </row>
    <row r="19">
      <c r="A19" s="2" t="n"/>
    </row>
    <row r="20">
      <c r="A20" s="3" t="inlineStr">
        <is>
          <t>4) VERIFICARE · vizualul citit singur = cifra bruta?</t>
        </is>
      </c>
    </row>
    <row r="21">
      <c r="A21" t="inlineStr">
        <is>
          <t>proba</t>
        </is>
      </c>
      <c r="B21" t="inlineStr">
        <is>
          <t>rezultat</t>
        </is>
      </c>
    </row>
    <row r="22">
      <c r="A22" t="inlineStr">
        <is>
          <t>concluzia din forma onesta</t>
        </is>
      </c>
      <c r="B22" t="inlineStr">
        <is>
          <t>Hardware conduce, cu 38.0% peste Software</t>
        </is>
      </c>
    </row>
    <row r="23">
      <c r="A23" t="inlineStr">
        <is>
          <t>concluzia din cifra bruta (sectiunea 2)</t>
        </is>
      </c>
      <c r="B23" t="inlineStr">
        <is>
          <t>identica: Hardware conduce cu aceeasi diferenta</t>
        </is>
      </c>
    </row>
    <row r="24">
      <c r="A24" t="inlineStr">
        <is>
          <t>al doilea ochi (doar graficul, fara cifra)</t>
        </is>
      </c>
      <c r="B24" t="inlineStr">
        <is>
          <t>trage aceeasi concluzie -&gt; forma e onesta</t>
        </is>
      </c>
    </row>
    <row r="25">
      <c r="A25" s="2" t="n"/>
    </row>
    <row r="26">
      <c r="A26" s="3" t="inlineStr">
        <is>
          <t>5) CELE 6 REGULI DE ONESTITATE A FORMEI</t>
        </is>
      </c>
    </row>
    <row r="27">
      <c r="A27" t="inlineStr">
        <is>
          <t>#</t>
        </is>
      </c>
      <c r="B27" t="inlineStr">
        <is>
          <t>deformare</t>
        </is>
      </c>
      <c r="C27" t="inlineStr">
        <is>
          <t>regula onesta</t>
        </is>
      </c>
    </row>
    <row r="28">
      <c r="A28" t="n">
        <v>1</v>
      </c>
      <c r="B28" t="inlineStr">
        <is>
          <t>Axa care exagereaza</t>
        </is>
      </c>
      <c r="C28" t="inlineStr">
        <is>
          <t>axa pleaca de la zero, sau abaterea e declarata explicit</t>
        </is>
      </c>
    </row>
    <row r="29">
      <c r="A29" t="n">
        <v>2</v>
      </c>
      <c r="B29" t="inlineStr">
        <is>
          <t>Tipul de grafic nepotrivit</t>
        </is>
      </c>
      <c r="C29" t="inlineStr">
        <is>
          <t>tipul urmeaza natura rezultatului</t>
        </is>
      </c>
    </row>
    <row r="30">
      <c r="A30" t="n">
        <v>3</v>
      </c>
      <c r="B30" t="inlineStr">
        <is>
          <t>Scala care inventeaza relatii</t>
        </is>
      </c>
      <c r="C30" t="inlineStr">
        <is>
          <t>o singura scala liniara, declarata</t>
        </is>
      </c>
    </row>
    <row r="31">
      <c r="A31" t="n">
        <v>4</v>
      </c>
      <c r="B31" t="inlineStr">
        <is>
          <t>Codarea care sugereaza fals</t>
        </is>
      </c>
      <c r="C31" t="inlineStr">
        <is>
          <t>o singura dimensiune codata coerent</t>
        </is>
      </c>
    </row>
    <row r="32">
      <c r="A32" t="n">
        <v>5</v>
      </c>
      <c r="B32" t="inlineStr">
        <is>
          <t>Agregarea care ascunde variatia</t>
        </is>
      </c>
      <c r="C32" t="inlineStr">
        <is>
          <t>arati distributia / variatia, nu doar media</t>
        </is>
      </c>
    </row>
    <row r="33">
      <c r="A33" t="n">
        <v>6</v>
      </c>
      <c r="B33" t="inlineStr">
        <is>
          <t>Eticheta / unitatea / contextul lipsa</t>
        </is>
      </c>
      <c r="C33" t="inlineStr">
        <is>
          <t>fiecare vizual poarta unitate, eticheta si context</t>
        </is>
      </c>
    </row>
    <row r="34">
      <c r="A34" s="2" t="n"/>
    </row>
    <row r="35">
      <c r="A35" t="inlineStr">
        <is>
          <t>6) HANDOFF · C13 face obiectul adevarat, C14 il asaza in pagina</t>
        </is>
      </c>
    </row>
    <row r="36">
      <c r="A36" t="inlineStr">
        <is>
          <t>input de la T3 (C12)</t>
        </is>
      </c>
      <c r="B36" t="inlineStr">
        <is>
          <t>rezultat corect, explicat, dar mut in model</t>
        </is>
      </c>
    </row>
    <row r="37">
      <c r="A37" t="inlineStr">
        <is>
          <t>output C13</t>
        </is>
      </c>
      <c r="B37" t="inlineStr">
        <is>
          <t>obiect vizual onest, verificat contra cifrei brute</t>
        </is>
      </c>
    </row>
    <row r="38">
      <c r="A38" t="inlineStr">
        <is>
          <t>predat catre C14</t>
        </is>
      </c>
      <c r="B38" t="inlineStr">
        <is>
          <t>compunerea paginii / dashboard-ului (organizare spatiala)</t>
        </is>
      </c>
    </row>
    <row r="39">
      <c r="A39" t="inlineStr">
        <is>
          <t>C13 NU face</t>
        </is>
      </c>
      <c r="B39" t="inlineStr">
        <is>
          <t>dashboard, pagina, layout, mesaj, livrare</t>
        </is>
      </c>
    </row>
    <row r="40">
      <c r="A40" t="inlineStr">
        <is>
          <t>suma conservata cap-coada</t>
        </is>
      </c>
      <c r="B40" t="n">
        <v>7986019.38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COMPUNERE C14 · asezarea spatiala a mai multor obiecte vizuale intr-o pagina de raport</t>
        </is>
      </c>
    </row>
    <row r="3">
      <c r="A3" s="2" t="inlineStr">
        <is>
          <t>1) OBIECTELE VIZUALE PRIMITE · de la treapta de vizualizare (nu redesenate, tip neschimbat)</t>
        </is>
      </c>
    </row>
    <row r="4">
      <c r="A4" s="3" t="inlineStr">
        <is>
          <t>obiect</t>
        </is>
      </c>
      <c r="B4" s="3" t="inlineStr">
        <is>
          <t>tip (neschimbat)</t>
        </is>
      </c>
      <c r="C4" s="3" t="inlineStr">
        <is>
          <t>ce arata</t>
        </is>
      </c>
    </row>
    <row r="5">
      <c r="A5" t="inlineStr">
        <is>
          <t>Clasament categorii</t>
        </is>
      </c>
      <c r="B5" t="inlineStr">
        <is>
          <t>bare cu axa de la zero</t>
        </is>
      </c>
      <c r="C5" t="inlineStr">
        <is>
          <t>comparatia valorii intre categorii</t>
        </is>
      </c>
    </row>
    <row r="6">
      <c r="A6" t="inlineStr">
        <is>
          <t>Pondere din total</t>
        </is>
      </c>
      <c r="B6" t="inlineStr">
        <is>
          <t>structura parte-din-tot</t>
        </is>
      </c>
      <c r="C6" t="inlineStr">
        <is>
          <t>cat reprezinta fiecare categorie</t>
        </is>
      </c>
    </row>
    <row r="7">
      <c r="A7" t="inlineStr">
        <is>
          <t>Context masura</t>
        </is>
      </c>
      <c r="B7" t="inlineStr">
        <is>
          <t>indicator (numar mare)</t>
        </is>
      </c>
      <c r="C7" t="inlineStr">
        <is>
          <t>o singura cifra de referinta</t>
        </is>
      </c>
    </row>
    <row r="8">
      <c r="A8" s="2" t="n"/>
    </row>
    <row r="9">
      <c r="A9" s="3" t="inlineStr">
        <is>
          <t>2) INTREBAREA C14 · ce vede ochiul intai? · raspunsul guverneaza focarul</t>
        </is>
      </c>
    </row>
    <row r="10">
      <c r="A10" t="inlineStr">
        <is>
          <t>element</t>
        </is>
      </c>
      <c r="B10" t="inlineStr">
        <is>
          <t>valoare</t>
        </is>
      </c>
    </row>
    <row r="11">
      <c r="A11" t="inlineStr">
        <is>
          <t>raspunsul venit din analiza (ce conteaza)</t>
        </is>
      </c>
      <c r="B11" t="inlineStr">
        <is>
          <t>Hardware conduce, cu 38.0% peste Software</t>
        </is>
      </c>
    </row>
    <row r="12">
      <c r="A12" t="inlineStr">
        <is>
          <t>focarul (obiectul atins primul)</t>
        </is>
      </c>
      <c r="B12" t="inlineStr">
        <is>
          <t>clasamentul categoriilor, cu Hardware in frunte</t>
        </is>
      </c>
    </row>
    <row r="13">
      <c r="A13" s="2" t="n"/>
    </row>
    <row r="14">
      <c r="A14" s="3" t="inlineStr">
        <is>
          <t>3) ASEZAREA · pozitie, ordine de citire, grup (acelasi continut, alta dispunere)</t>
        </is>
      </c>
    </row>
    <row r="15">
      <c r="A15" t="inlineStr">
        <is>
          <t>obiect</t>
        </is>
      </c>
      <c r="B15" t="inlineStr">
        <is>
          <t>pozitie</t>
        </is>
      </c>
      <c r="C15" t="inlineStr">
        <is>
          <t>ordine de citire</t>
        </is>
      </c>
      <c r="D15" t="inlineStr">
        <is>
          <t>grup</t>
        </is>
      </c>
    </row>
    <row r="16">
      <c r="A16" t="inlineStr">
        <is>
          <t>Clasament categorii</t>
        </is>
      </c>
      <c r="B16" t="inlineStr">
        <is>
          <t>sus-stanga (focar)</t>
        </is>
      </c>
      <c r="C16" t="inlineStr">
        <is>
          <t>1</t>
        </is>
      </c>
      <c r="D16" t="inlineStr">
        <is>
          <t>rezultatul principal</t>
        </is>
      </c>
    </row>
    <row r="17">
      <c r="A17" t="inlineStr">
        <is>
          <t>Pondere din total</t>
        </is>
      </c>
      <c r="B17" t="inlineStr">
        <is>
          <t>langa focar</t>
        </is>
      </c>
      <c r="C17" t="inlineStr">
        <is>
          <t>2</t>
        </is>
      </c>
      <c r="D17" t="inlineStr">
        <is>
          <t>rezultatul principal</t>
        </is>
      </c>
    </row>
    <row r="18">
      <c r="A18" t="inlineStr">
        <is>
          <t>Context masura</t>
        </is>
      </c>
      <c r="B18" t="inlineStr">
        <is>
          <t>sub focar, mai mic</t>
        </is>
      </c>
      <c r="C18" t="inlineStr">
        <is>
          <t>3</t>
        </is>
      </c>
      <c r="D18" t="inlineStr">
        <is>
          <t>suport</t>
        </is>
      </c>
    </row>
    <row r="19">
      <c r="A19" t="inlineStr">
        <is>
          <t>Tabel detaliu</t>
        </is>
      </c>
      <c r="B19" t="inlineStr">
        <is>
          <t>jos, retrogradat</t>
        </is>
      </c>
      <c r="C19" t="inlineStr">
        <is>
          <t>4</t>
        </is>
      </c>
      <c r="D19" t="inlineStr">
        <is>
          <t>detaliu la cerere</t>
        </is>
      </c>
    </row>
    <row r="20">
      <c r="A20" s="2" t="n"/>
    </row>
    <row r="21">
      <c r="A21" s="3" t="inlineStr">
        <is>
          <t>4) BEFORE / AFTER · aceleasi obiecte, alta asezare, alta decizie</t>
        </is>
      </c>
    </row>
    <row r="22">
      <c r="A22" t="inlineStr">
        <is>
          <t>dimensiune</t>
        </is>
      </c>
      <c r="B22" t="inlineStr">
        <is>
          <t>inainte (ordinea productiei)</t>
        </is>
      </c>
      <c r="C22" t="inlineStr">
        <is>
          <t>dupa (compunere guvernata de raspuns)</t>
        </is>
      </c>
    </row>
    <row r="23">
      <c r="A23" t="inlineStr">
        <is>
          <t>focar</t>
        </is>
      </c>
      <c r="B23" t="inlineStr">
        <is>
          <t>niciunul, toate egale</t>
        </is>
      </c>
      <c r="C23" t="inlineStr">
        <is>
          <t>unul singur, atins primul</t>
        </is>
      </c>
    </row>
    <row r="24">
      <c r="A24" t="inlineStr">
        <is>
          <t>ordine de citire</t>
        </is>
      </c>
      <c r="B24" t="inlineStr">
        <is>
          <t>cronologica, intamplatoare</t>
        </is>
      </c>
      <c r="C24" t="inlineStr">
        <is>
          <t>guvernata de raspuns</t>
        </is>
      </c>
    </row>
    <row r="25">
      <c r="A25" t="inlineStr">
        <is>
          <t>greutate vizuala</t>
        </is>
      </c>
      <c r="B25" t="inlineStr">
        <is>
          <t>egala la lucruri inegale</t>
        </is>
      </c>
      <c r="C25" t="inlineStr">
        <is>
          <t>ierarhie pe trei niveluri</t>
        </is>
      </c>
    </row>
    <row r="26">
      <c r="A26" t="inlineStr">
        <is>
          <t>spatiu gol</t>
        </is>
      </c>
      <c r="B26" t="inlineStr">
        <is>
          <t>umplut (horror vacui)</t>
        </is>
      </c>
      <c r="C26" t="inlineStr">
        <is>
          <t>deliberat, izoleaza focarul</t>
        </is>
      </c>
    </row>
    <row r="27">
      <c r="A27" t="inlineStr">
        <is>
          <t>decizie</t>
        </is>
      </c>
      <c r="B27" t="inlineStr">
        <is>
          <t>intarzie, ochiul rataceste</t>
        </is>
      </c>
      <c r="C27" t="inlineStr">
        <is>
          <t>se prinde in cateva secunde</t>
        </is>
      </c>
    </row>
    <row r="28">
      <c r="A28" s="2" t="n"/>
    </row>
    <row r="29">
      <c r="A29" s="3" t="inlineStr">
        <is>
          <t>5) CELE 6 OPERATII DE COMPUNERE (dezordine -&gt; compozitie pentru decizie)</t>
        </is>
      </c>
    </row>
    <row r="30">
      <c r="A30" t="inlineStr">
        <is>
          <t>#</t>
        </is>
      </c>
      <c r="B30" t="inlineStr">
        <is>
          <t>dezordine</t>
        </is>
      </c>
      <c r="C30" t="inlineStr">
        <is>
          <t>operatie de compunere</t>
        </is>
      </c>
    </row>
    <row r="31">
      <c r="A31" t="n">
        <v>1</v>
      </c>
      <c r="B31" t="inlineStr">
        <is>
          <t>Pagina-zid fara focar</t>
        </is>
      </c>
      <c r="C31" t="inlineStr">
        <is>
          <t>stabilesti un singur focar, atins primul</t>
        </is>
      </c>
    </row>
    <row r="32">
      <c r="A32" t="n">
        <v>2</v>
      </c>
      <c r="B32" t="inlineStr">
        <is>
          <t>Esentialul ingropat in colt</t>
        </is>
      </c>
      <c r="C32" t="inlineStr">
        <is>
          <t>esentialul urca in primul punct de contact al ochiului</t>
        </is>
      </c>
    </row>
    <row r="33">
      <c r="A33" t="n">
        <v>3</v>
      </c>
      <c r="B33" t="inlineStr">
        <is>
          <t>Ordinea de productie pe pagina</t>
        </is>
      </c>
      <c r="C33" t="inlineStr">
        <is>
          <t>ordinea de citire guvernata de raspuns</t>
        </is>
      </c>
    </row>
    <row r="34">
      <c r="A34" t="n">
        <v>4</v>
      </c>
      <c r="B34" t="inlineStr">
        <is>
          <t>Greutate egala la lucruri inegale</t>
        </is>
      </c>
      <c r="C34" t="inlineStr">
        <is>
          <t>ierarhie prin marime, pozitie, contrast, spatiu</t>
        </is>
      </c>
    </row>
    <row r="35">
      <c r="A35" t="n">
        <v>5</v>
      </c>
      <c r="B35" t="inlineStr">
        <is>
          <t>Proximitate care minte despre relatii</t>
        </is>
      </c>
      <c r="C35" t="inlineStr">
        <is>
          <t>grupare spatiala a obiectelor legate</t>
        </is>
      </c>
    </row>
    <row r="36">
      <c r="A36" t="n">
        <v>6</v>
      </c>
      <c r="B36" t="inlineStr">
        <is>
          <t>Horror vacui, umpli orice gol</t>
        </is>
      </c>
      <c r="C36" t="inlineStr">
        <is>
          <t>spatiul gol folosit ca instrument de ierarhie</t>
        </is>
      </c>
    </row>
    <row r="37">
      <c r="A37" s="2" t="n"/>
    </row>
    <row r="38">
      <c r="A38" t="inlineStr">
        <is>
          <t>6) HANDOFF · C14 asaza pagina, C15 ii extrage mesajul</t>
        </is>
      </c>
    </row>
    <row r="39">
      <c r="A39" t="inlineStr">
        <is>
          <t>input de la treapta de vizualizare</t>
        </is>
      </c>
      <c r="B39" t="inlineStr">
        <is>
          <t>obiecte vizuale oneste, fiecare adevarat singur</t>
        </is>
      </c>
    </row>
    <row r="40">
      <c r="A40" t="inlineStr">
        <is>
          <t>output C14</t>
        </is>
      </c>
      <c r="B40" t="inlineStr">
        <is>
          <t>pagina de raport coerenta: focar, ierarhie, traseu, grupare, spatiu</t>
        </is>
      </c>
    </row>
    <row r="41">
      <c r="A41" t="inlineStr">
        <is>
          <t>predat catre treapta de sintetizare</t>
        </is>
      </c>
      <c r="B41" t="inlineStr">
        <is>
          <t>extragerea si formularea mesajului esential</t>
        </is>
      </c>
    </row>
    <row r="42">
      <c r="A42" t="inlineStr">
        <is>
          <t>C14 NU face</t>
        </is>
      </c>
      <c r="B42" t="inlineStr">
        <is>
          <t>obiect nou, mesaj, livrare, re-analiza; nu schimba tipuri de grafice</t>
        </is>
      </c>
    </row>
    <row r="43">
      <c r="A43" t="inlineStr">
        <is>
          <t>suma conservata cap-coada</t>
        </is>
      </c>
      <c r="B43" t="n">
        <v>7986019.38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2026-06-04T08:01:52Z</dcterms:created>
  <dcterms:modified xmlns:dcterms="http://purl.org/dc/terms/" xmlns:xsi="http://www.w3.org/2001/XMLSchema-instance" xsi:type="dcterms:W3CDTF">2026-06-08T10:31:08Z</dcterms:modified>
</cp:coreProperties>
</file>